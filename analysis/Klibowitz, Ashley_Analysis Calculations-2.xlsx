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hidePivotFieldList="1"/>
  <mc:AlternateContent xmlns:mc="http://schemas.openxmlformats.org/markup-compatibility/2006">
    <mc:Choice Requires="x15">
      <x15ac:absPath xmlns:x15ac="http://schemas.microsoft.com/office/spreadsheetml/2010/11/ac" url="https://panthers-my.sharepoint.com/personal/klibowi2_uwm_edu/Documents/"/>
    </mc:Choice>
  </mc:AlternateContent>
  <xr:revisionPtr revIDLastSave="466" documentId="8_{5575225F-73B7-40AC-997B-DD80969870BC}" xr6:coauthVersionLast="47" xr6:coauthVersionMax="47" xr10:uidLastSave="{3B06EC8C-093B-4EEA-BD34-8F4F1326F3B5}"/>
  <bookViews>
    <workbookView xWindow="-120" yWindow="-120" windowWidth="23130" windowHeight="14490" xr2:uid="{399E8A18-7126-4DFD-974C-0D6FAFFABFD6}"/>
  </bookViews>
  <sheets>
    <sheet name="Crime Data 202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9" i="1" l="1"/>
  <c r="L60" i="1"/>
  <c r="L57" i="1"/>
  <c r="L56" i="1"/>
  <c r="L58" i="1"/>
  <c r="M42" i="1"/>
  <c r="M41" i="1"/>
  <c r="H19" i="1"/>
  <c r="H22" i="1"/>
  <c r="H25" i="1"/>
  <c r="C2" i="1"/>
  <c r="H16" i="1"/>
  <c r="H13" i="1"/>
  <c r="H10" i="1" a="1"/>
  <c r="H10" i="1"/>
  <c r="H7" i="1"/>
  <c r="H4" i="1"/>
  <c r="M23" i="1"/>
  <c r="C32" i="1"/>
  <c r="C33" i="1"/>
  <c r="C34" i="1"/>
  <c r="N23" i="1"/>
  <c r="C35" i="1"/>
  <c r="M24" i="1"/>
  <c r="N24" i="1"/>
  <c r="C36" i="1"/>
  <c r="M25" i="1"/>
  <c r="N25" i="1"/>
  <c r="C37" i="1"/>
  <c r="M26" i="1"/>
  <c r="N26" i="1"/>
  <c r="C38" i="1"/>
  <c r="M27" i="1"/>
  <c r="N27" i="1"/>
  <c r="C39" i="1"/>
  <c r="M28" i="1"/>
  <c r="N28" i="1"/>
  <c r="C40" i="1"/>
  <c r="M29" i="1"/>
  <c r="N29" i="1"/>
  <c r="C41" i="1"/>
  <c r="M30" i="1"/>
  <c r="N30" i="1"/>
  <c r="C42" i="1"/>
  <c r="M31" i="1"/>
  <c r="N31" i="1"/>
  <c r="C43" i="1"/>
  <c r="M32" i="1"/>
  <c r="N32" i="1"/>
  <c r="C44" i="1"/>
  <c r="M33" i="1"/>
  <c r="N33" i="1"/>
  <c r="C45" i="1"/>
  <c r="M34" i="1"/>
  <c r="N34" i="1"/>
  <c r="C46" i="1"/>
  <c r="M35" i="1"/>
  <c r="N35" i="1"/>
  <c r="C47" i="1"/>
  <c r="M36" i="1"/>
  <c r="N36" i="1"/>
  <c r="C48" i="1"/>
  <c r="C3" i="1"/>
  <c r="N41" i="1"/>
  <c r="M43" i="1"/>
  <c r="M54" i="1"/>
  <c r="M53" i="1"/>
  <c r="M52" i="1"/>
  <c r="M51" i="1"/>
  <c r="M50" i="1"/>
  <c r="M49" i="1"/>
  <c r="M48" i="1"/>
  <c r="M47" i="1"/>
  <c r="M46" i="1"/>
  <c r="M45" i="1"/>
  <c r="M44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<sst xmlns="http://schemas.openxmlformats.org/spreadsheetml/2006/main" count="22005" uniqueCount="44">
  <si>
    <t>Crm Cd Desc</t>
  </si>
  <si>
    <t>Vict Age</t>
  </si>
  <si>
    <t>Vict Age Group</t>
  </si>
  <si>
    <t>Vict Sex</t>
  </si>
  <si>
    <t>Descriptive Statistics Calculations</t>
  </si>
  <si>
    <t>Chi square test</t>
  </si>
  <si>
    <t>THEFT OF IDENTITY</t>
  </si>
  <si>
    <t>F</t>
  </si>
  <si>
    <t>M</t>
  </si>
  <si>
    <t>Mean (Average)</t>
  </si>
  <si>
    <t>Observed Values</t>
  </si>
  <si>
    <t>Age Group</t>
  </si>
  <si>
    <t>Male Victims</t>
  </si>
  <si>
    <t>Female Victims</t>
  </si>
  <si>
    <t>20-24</t>
  </si>
  <si>
    <t>Median</t>
  </si>
  <si>
    <t>25-29</t>
  </si>
  <si>
    <t>30-34</t>
  </si>
  <si>
    <t>35-39</t>
  </si>
  <si>
    <t>Mode</t>
  </si>
  <si>
    <t>40-44</t>
  </si>
  <si>
    <t>45-49</t>
  </si>
  <si>
    <t>50-54</t>
  </si>
  <si>
    <t>Standard Deviation</t>
  </si>
  <si>
    <t>55-59</t>
  </si>
  <si>
    <t>60-64</t>
  </si>
  <si>
    <t>65-69</t>
  </si>
  <si>
    <t>Varience</t>
  </si>
  <si>
    <t>70-74</t>
  </si>
  <si>
    <t>75-79</t>
  </si>
  <si>
    <t>80-84</t>
  </si>
  <si>
    <t>Range</t>
  </si>
  <si>
    <t>85+</t>
  </si>
  <si>
    <t>Skewness</t>
  </si>
  <si>
    <t>Expected Values</t>
  </si>
  <si>
    <t>Kurtosis</t>
  </si>
  <si>
    <t>chi square calculation ((actual - expected)^2 / expected)</t>
  </si>
  <si>
    <t>chi square value to test against critical value.</t>
  </si>
  <si>
    <t>calculated p-value, this is much lower than 0.05 so significant.</t>
  </si>
  <si>
    <t>calculated p-value using CHITEST.</t>
  </si>
  <si>
    <t>chi square value from the chi square table using calculated p-value.</t>
  </si>
  <si>
    <t xml:space="preserve">critical value from the chi square table using significance level of 0.05. </t>
  </si>
  <si>
    <t>chi-square value exceeds this critical value.</t>
  </si>
  <si>
    <t>null hypothesis is rejected.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</si>
</sst>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22613-39B4-4729-8781-B2ABB4B9D8EF}">
  <dimension ref="A1:AG10966"/>
  <sheetViews>
    <sheetView tabSelected="1" topLeftCell="K48" zoomScaleNormal="100" workbookViewId="0">
      <selection activeCell="L64" sqref="L64"/>
    </sheetView>
  </sheetViews>
  <sheetFormatPr defaultRowHeight="12.75"/>
  <sheetData>
    <row r="1" spans="1:33">
      <c r="A1" t="s">
        <v>0</v>
      </c>
      <c r="B1" t="s">
        <v>1</v>
      </c>
      <c r="C1" t="s">
        <v>2</v>
      </c>
      <c r="D1" t="s">
        <v>3</v>
      </c>
      <c r="G1" t="s">
        <v>4</v>
      </c>
      <c r="L1" t="s">
        <v>5</v>
      </c>
    </row>
    <row r="2" spans="1:33">
      <c r="A2" t="s">
        <v>6</v>
      </c>
      <c r="B2">
        <v>41</v>
      </c>
      <c r="C2" t="str">
        <f>CHOOSE(MATCH(B2, {20,25,30,35,40,45,50,55,60,65,70,75,80,85}, 1), "20-24", "25-29", "30-34", "35-39", "40-44", "45-49", "50-54", "55-59", "60-64", "65-69", "70-74", "75-79", "80-84", "85+")</f>
        <v>40-44</v>
      </c>
      <c r="D2" t="s">
        <v>7</v>
      </c>
    </row>
    <row r="3" spans="1:33">
      <c r="A3" t="s">
        <v>6</v>
      </c>
      <c r="B3">
        <v>41</v>
      </c>
      <c r="C3" t="str">
        <f>CHOOSE(MATCH(B3, {20,25,30,35,40,45,50,55,60,65,70,75,80,85}, 1), "20-24", "25-29", "30-34", "35-39", "40-44", "45-49", "50-54", "55-59", "60-64", "65-69", "70-74", "75-79", "80-84", "85+")</f>
        <v>40-44</v>
      </c>
      <c r="D3" t="s">
        <v>8</v>
      </c>
      <c r="H3" t="s">
        <v>9</v>
      </c>
      <c r="J3" s="1"/>
      <c r="K3" s="1"/>
      <c r="L3" t="s">
        <v>10</v>
      </c>
    </row>
    <row r="4" spans="1:33" ht="24">
      <c r="A4" t="s">
        <v>6</v>
      </c>
      <c r="B4">
        <v>41</v>
      </c>
      <c r="C4" t="str">
        <f>CHOOSE(MATCH(B4, {20,25,30,35,40,45,50,55,60,65,70,75,80,85}, 1), "20-24", "25-29", "30-34", "35-39", "40-44", "45-49", "50-54", "55-59", "60-64", "65-69", "70-74", "75-79", "80-84", "85+")</f>
        <v>40-44</v>
      </c>
      <c r="D4" t="s">
        <v>8</v>
      </c>
      <c r="H4">
        <f>AVERAGE(B2:B10966)</f>
        <v>42.080346557227543</v>
      </c>
      <c r="J4" s="2"/>
      <c r="K4" s="2"/>
      <c r="L4" s="1" t="s">
        <v>11</v>
      </c>
      <c r="M4" s="1" t="s">
        <v>12</v>
      </c>
      <c r="N4" s="1" t="s">
        <v>13</v>
      </c>
      <c r="O4" s="1"/>
    </row>
    <row r="5" spans="1:33">
      <c r="A5" t="s">
        <v>6</v>
      </c>
      <c r="B5">
        <v>41</v>
      </c>
      <c r="C5" t="str">
        <f>CHOOSE(MATCH(B5, {20,25,30,35,40,45,50,55,60,65,70,75,80,85}, 1), "20-24", "25-29", "30-34", "35-39", "40-44", "45-49", "50-54", "55-59", "60-64", "65-69", "70-74", "75-79", "80-84", "85+")</f>
        <v>40-44</v>
      </c>
      <c r="D5" t="s">
        <v>8</v>
      </c>
      <c r="J5" s="2"/>
      <c r="K5" s="2"/>
      <c r="L5" s="2" t="s">
        <v>14</v>
      </c>
      <c r="M5" s="2">
        <v>234</v>
      </c>
      <c r="N5" s="2">
        <v>490</v>
      </c>
      <c r="O5" s="1">
        <v>724</v>
      </c>
    </row>
    <row r="6" spans="1:33">
      <c r="A6" t="s">
        <v>6</v>
      </c>
      <c r="B6">
        <v>41</v>
      </c>
      <c r="C6" t="str">
        <f>CHOOSE(MATCH(B6, {20,25,30,35,40,45,50,55,60,65,70,75,80,85}, 1), "20-24", "25-29", "30-34", "35-39", "40-44", "45-49", "50-54", "55-59", "60-64", "65-69", "70-74", "75-79", "80-84", "85+")</f>
        <v>40-44</v>
      </c>
      <c r="D6" t="s">
        <v>7</v>
      </c>
      <c r="H6" t="s">
        <v>15</v>
      </c>
      <c r="J6" s="2"/>
      <c r="K6" s="2"/>
      <c r="L6" s="2" t="s">
        <v>16</v>
      </c>
      <c r="M6" s="2">
        <v>514</v>
      </c>
      <c r="N6" s="2">
        <v>1080</v>
      </c>
      <c r="O6" s="1">
        <v>1594</v>
      </c>
    </row>
    <row r="7" spans="1:33">
      <c r="A7" t="s">
        <v>6</v>
      </c>
      <c r="B7">
        <v>41</v>
      </c>
      <c r="C7" t="str">
        <f>CHOOSE(MATCH(B7, {20,25,30,35,40,45,50,55,60,65,70,75,80,85}, 1), "20-24", "25-29", "30-34", "35-39", "40-44", "45-49", "50-54", "55-59", "60-64", "65-69", "70-74", "75-79", "80-84", "85+")</f>
        <v>40-44</v>
      </c>
      <c r="D7" t="s">
        <v>8</v>
      </c>
      <c r="H7">
        <f>MEDIAN(B2:B10966)</f>
        <v>38</v>
      </c>
      <c r="J7" s="2"/>
      <c r="K7" s="2"/>
      <c r="L7" s="2" t="s">
        <v>17</v>
      </c>
      <c r="M7" s="2">
        <v>609</v>
      </c>
      <c r="N7" s="2">
        <v>1277</v>
      </c>
      <c r="O7" s="1">
        <v>1886</v>
      </c>
    </row>
    <row r="8" spans="1:33">
      <c r="A8" t="s">
        <v>6</v>
      </c>
      <c r="B8">
        <v>41</v>
      </c>
      <c r="C8" t="str">
        <f>CHOOSE(MATCH(B8, {20,25,30,35,40,45,50,55,60,65,70,75,80,85}, 1), "20-24", "25-29", "30-34", "35-39", "40-44", "45-49", "50-54", "55-59", "60-64", "65-69", "70-74", "75-79", "80-84", "85+")</f>
        <v>40-44</v>
      </c>
      <c r="D8" t="s">
        <v>8</v>
      </c>
      <c r="J8" s="2"/>
      <c r="K8" s="2"/>
      <c r="L8" s="2" t="s">
        <v>18</v>
      </c>
      <c r="M8" s="2">
        <v>647</v>
      </c>
      <c r="N8" s="2">
        <v>1024</v>
      </c>
      <c r="O8" s="1">
        <v>1671</v>
      </c>
    </row>
    <row r="9" spans="1:33">
      <c r="A9" t="s">
        <v>6</v>
      </c>
      <c r="B9">
        <v>41</v>
      </c>
      <c r="C9" t="str">
        <f>CHOOSE(MATCH(B9, {20,25,30,35,40,45,50,55,60,65,70,75,80,85}, 1), "20-24", "25-29", "30-34", "35-39", "40-44", "45-49", "50-54", "55-59", "60-64", "65-69", "70-74", "75-79", "80-84", "85+")</f>
        <v>40-44</v>
      </c>
      <c r="D9" t="s">
        <v>7</v>
      </c>
      <c r="H9" t="s">
        <v>19</v>
      </c>
      <c r="J9" s="2"/>
      <c r="K9" s="2"/>
      <c r="L9" s="2" t="s">
        <v>20</v>
      </c>
      <c r="M9" s="2">
        <v>513</v>
      </c>
      <c r="N9" s="2">
        <v>693</v>
      </c>
      <c r="O9" s="1">
        <v>1206</v>
      </c>
    </row>
    <row r="10" spans="1:33">
      <c r="A10" t="s">
        <v>6</v>
      </c>
      <c r="B10">
        <v>55</v>
      </c>
      <c r="C10" t="str">
        <f>CHOOSE(MATCH(B10, {20,25,30,35,40,45,50,55,60,65,70,75,80,85}, 1), "20-24", "25-29", "30-34", "35-39", "40-44", "45-49", "50-54", "55-59", "60-64", "65-69", "70-74", "75-79", "80-84", "85+")</f>
        <v>55-59</v>
      </c>
      <c r="D10" t="s">
        <v>8</v>
      </c>
      <c r="H10" cm="1">
        <f t="array" ref="H10">_xlfn.MODE.MULT(B2:B10966)</f>
        <v>32</v>
      </c>
      <c r="J10" s="2"/>
      <c r="K10" s="2"/>
      <c r="L10" s="2" t="s">
        <v>21</v>
      </c>
      <c r="M10" s="2">
        <v>388</v>
      </c>
      <c r="N10" s="2">
        <v>524</v>
      </c>
      <c r="O10" s="1">
        <v>912</v>
      </c>
    </row>
    <row r="11" spans="1:33">
      <c r="A11" t="s">
        <v>6</v>
      </c>
      <c r="B11">
        <v>99</v>
      </c>
      <c r="C11" t="str">
        <f>CHOOSE(MATCH(B11, {20,25,30,35,40,45,50,55,60,65,70,75,80,85}, 1), "20-24", "25-29", "30-34", "35-39", "40-44", "45-49", "50-54", "55-59", "60-64", "65-69", "70-74", "75-79", "80-84", "85+")</f>
        <v>85+</v>
      </c>
      <c r="D11" t="s">
        <v>7</v>
      </c>
      <c r="J11" s="2"/>
      <c r="L11" s="2" t="s">
        <v>22</v>
      </c>
      <c r="M11" s="2">
        <v>333</v>
      </c>
      <c r="N11" s="2">
        <v>392</v>
      </c>
      <c r="O11" s="1">
        <v>725</v>
      </c>
      <c r="AD11" s="1"/>
      <c r="AE11" s="1"/>
      <c r="AF11" s="1"/>
      <c r="AG11" s="1"/>
    </row>
    <row r="12" spans="1:33">
      <c r="A12" t="s">
        <v>6</v>
      </c>
      <c r="B12">
        <v>44</v>
      </c>
      <c r="C12" t="str">
        <f>CHOOSE(MATCH(B12, {20,25,30,35,40,45,50,55,60,65,70,75,80,85}, 1), "20-24", "25-29", "30-34", "35-39", "40-44", "45-49", "50-54", "55-59", "60-64", "65-69", "70-74", "75-79", "80-84", "85+")</f>
        <v>40-44</v>
      </c>
      <c r="D12" t="s">
        <v>7</v>
      </c>
      <c r="H12" t="s">
        <v>23</v>
      </c>
      <c r="J12" s="2"/>
      <c r="L12" s="2" t="s">
        <v>24</v>
      </c>
      <c r="M12" s="2">
        <v>308</v>
      </c>
      <c r="N12" s="2">
        <v>295</v>
      </c>
      <c r="O12" s="1">
        <v>603</v>
      </c>
      <c r="AD12" s="2"/>
      <c r="AE12" s="2"/>
      <c r="AF12" s="2"/>
      <c r="AG12" s="1"/>
    </row>
    <row r="13" spans="1:33">
      <c r="A13" t="s">
        <v>6</v>
      </c>
      <c r="B13">
        <v>64</v>
      </c>
      <c r="C13" t="str">
        <f>CHOOSE(MATCH(B13, {20,25,30,35,40,45,50,55,60,65,70,75,80,85}, 1), "20-24", "25-29", "30-34", "35-39", "40-44", "45-49", "50-54", "55-59", "60-64", "65-69", "70-74", "75-79", "80-84", "85+")</f>
        <v>60-64</v>
      </c>
      <c r="D13" t="s">
        <v>8</v>
      </c>
      <c r="H13">
        <f>_xlfn.STDEV.P(B2:B10966)</f>
        <v>14.990345622946856</v>
      </c>
      <c r="J13" s="2"/>
      <c r="L13" s="2" t="s">
        <v>25</v>
      </c>
      <c r="M13" s="2">
        <v>285</v>
      </c>
      <c r="N13" s="2">
        <v>240</v>
      </c>
      <c r="O13" s="1">
        <v>525</v>
      </c>
      <c r="AD13" s="2"/>
      <c r="AE13" s="2"/>
      <c r="AF13" s="2"/>
      <c r="AG13" s="1"/>
    </row>
    <row r="14" spans="1:33">
      <c r="A14" t="s">
        <v>6</v>
      </c>
      <c r="B14">
        <v>46</v>
      </c>
      <c r="C14" t="str">
        <f>CHOOSE(MATCH(B14, {20,25,30,35,40,45,50,55,60,65,70,75,80,85}, 1), "20-24", "25-29", "30-34", "35-39", "40-44", "45-49", "50-54", "55-59", "60-64", "65-69", "70-74", "75-79", "80-84", "85+")</f>
        <v>45-49</v>
      </c>
      <c r="D14" t="s">
        <v>7</v>
      </c>
      <c r="J14" s="2"/>
      <c r="L14" s="2" t="s">
        <v>26</v>
      </c>
      <c r="M14" s="2">
        <v>190</v>
      </c>
      <c r="N14" s="2">
        <v>220</v>
      </c>
      <c r="O14" s="1">
        <v>410</v>
      </c>
      <c r="AD14" s="2"/>
      <c r="AE14" s="2"/>
      <c r="AF14" s="2"/>
      <c r="AG14" s="1"/>
    </row>
    <row r="15" spans="1:33">
      <c r="A15" t="s">
        <v>6</v>
      </c>
      <c r="B15">
        <v>32</v>
      </c>
      <c r="C15" t="str">
        <f>CHOOSE(MATCH(B15, {20,25,30,35,40,45,50,55,60,65,70,75,80,85}, 1), "20-24", "25-29", "30-34", "35-39", "40-44", "45-49", "50-54", "55-59", "60-64", "65-69", "70-74", "75-79", "80-84", "85+")</f>
        <v>30-34</v>
      </c>
      <c r="D15" t="s">
        <v>7</v>
      </c>
      <c r="H15" t="s">
        <v>27</v>
      </c>
      <c r="J15" s="2"/>
      <c r="L15" s="2" t="s">
        <v>28</v>
      </c>
      <c r="M15" s="2">
        <v>148</v>
      </c>
      <c r="N15" s="2">
        <v>162</v>
      </c>
      <c r="O15" s="1">
        <v>310</v>
      </c>
      <c r="AD15" s="2"/>
      <c r="AE15" s="2"/>
      <c r="AF15" s="2"/>
      <c r="AG15" s="1"/>
    </row>
    <row r="16" spans="1:33">
      <c r="A16" t="s">
        <v>6</v>
      </c>
      <c r="B16">
        <v>34</v>
      </c>
      <c r="C16" t="str">
        <f>CHOOSE(MATCH(B16, {20,25,30,35,40,45,50,55,60,65,70,75,80,85}, 1), "20-24", "25-29", "30-34", "35-39", "40-44", "45-49", "50-54", "55-59", "60-64", "65-69", "70-74", "75-79", "80-84", "85+")</f>
        <v>30-34</v>
      </c>
      <c r="D16" t="s">
        <v>8</v>
      </c>
      <c r="H16">
        <f>_xlfn.VAR.P(B2:B10966)</f>
        <v>224.71046189540198</v>
      </c>
      <c r="J16" s="2"/>
      <c r="L16" s="2" t="s">
        <v>29</v>
      </c>
      <c r="M16" s="2">
        <v>88</v>
      </c>
      <c r="N16" s="2">
        <v>113</v>
      </c>
      <c r="O16" s="1">
        <v>201</v>
      </c>
      <c r="AD16" s="2"/>
      <c r="AE16" s="2"/>
      <c r="AF16" s="2"/>
      <c r="AG16" s="1"/>
    </row>
    <row r="17" spans="1:33">
      <c r="A17" t="s">
        <v>6</v>
      </c>
      <c r="B17">
        <v>45</v>
      </c>
      <c r="C17" t="str">
        <f>CHOOSE(MATCH(B17, {20,25,30,35,40,45,50,55,60,65,70,75,80,85}, 1), "20-24", "25-29", "30-34", "35-39", "40-44", "45-49", "50-54", "55-59", "60-64", "65-69", "70-74", "75-79", "80-84", "85+")</f>
        <v>45-49</v>
      </c>
      <c r="D17" t="s">
        <v>7</v>
      </c>
      <c r="J17" s="2"/>
      <c r="L17" s="2" t="s">
        <v>30</v>
      </c>
      <c r="M17" s="2">
        <v>51</v>
      </c>
      <c r="N17" s="2">
        <v>56</v>
      </c>
      <c r="O17" s="1">
        <v>107</v>
      </c>
      <c r="AD17" s="2"/>
      <c r="AE17" s="2"/>
      <c r="AF17" s="2"/>
      <c r="AG17" s="1"/>
    </row>
    <row r="18" spans="1:33">
      <c r="A18" t="s">
        <v>6</v>
      </c>
      <c r="B18">
        <v>52</v>
      </c>
      <c r="C18" t="str">
        <f>CHOOSE(MATCH(B18, {20,25,30,35,40,45,50,55,60,65,70,75,80,85}, 1), "20-24", "25-29", "30-34", "35-39", "40-44", "45-49", "50-54", "55-59", "60-64", "65-69", "70-74", "75-79", "80-84", "85+")</f>
        <v>50-54</v>
      </c>
      <c r="D18" t="s">
        <v>7</v>
      </c>
      <c r="H18" t="s">
        <v>31</v>
      </c>
      <c r="L18" s="2" t="s">
        <v>32</v>
      </c>
      <c r="M18" s="2">
        <v>27</v>
      </c>
      <c r="N18" s="2">
        <v>64</v>
      </c>
      <c r="O18" s="1">
        <v>91</v>
      </c>
      <c r="AD18" s="2"/>
      <c r="AE18" s="2"/>
      <c r="AF18" s="2"/>
      <c r="AG18" s="1"/>
    </row>
    <row r="19" spans="1:33">
      <c r="A19" t="s">
        <v>6</v>
      </c>
      <c r="B19">
        <v>62</v>
      </c>
      <c r="C19" t="str">
        <f>CHOOSE(MATCH(B19, {20,25,30,35,40,45,50,55,60,65,70,75,80,85}, 1), "20-24", "25-29", "30-34", "35-39", "40-44", "45-49", "50-54", "55-59", "60-64", "65-69", "70-74", "75-79", "80-84", "85+")</f>
        <v>60-64</v>
      </c>
      <c r="D19" t="s">
        <v>7</v>
      </c>
      <c r="H19">
        <f>MAX(B2:B10966) - MIN(B2:B10966)</f>
        <v>79</v>
      </c>
      <c r="L19" s="1"/>
      <c r="M19" s="1">
        <v>4335</v>
      </c>
      <c r="N19" s="1">
        <v>6630</v>
      </c>
      <c r="O19" s="1">
        <v>10965</v>
      </c>
      <c r="AD19" s="2"/>
      <c r="AE19" s="2"/>
      <c r="AF19" s="2"/>
      <c r="AG19" s="1"/>
    </row>
    <row r="20" spans="1:33">
      <c r="A20" t="s">
        <v>6</v>
      </c>
      <c r="B20">
        <v>26</v>
      </c>
      <c r="C20" t="str">
        <f>CHOOSE(MATCH(B20, {20,25,30,35,40,45,50,55,60,65,70,75,80,85}, 1), "20-24", "25-29", "30-34", "35-39", "40-44", "45-49", "50-54", "55-59", "60-64", "65-69", "70-74", "75-79", "80-84", "85+")</f>
        <v>25-29</v>
      </c>
      <c r="D20" t="s">
        <v>8</v>
      </c>
      <c r="AD20" s="2"/>
      <c r="AE20" s="2"/>
      <c r="AF20" s="2"/>
      <c r="AG20" s="1"/>
    </row>
    <row r="21" spans="1:33">
      <c r="A21" t="s">
        <v>6</v>
      </c>
      <c r="B21">
        <v>29</v>
      </c>
      <c r="C21" t="str">
        <f>CHOOSE(MATCH(B21, {20,25,30,35,40,45,50,55,60,65,70,75,80,85}, 1), "20-24", "25-29", "30-34", "35-39", "40-44", "45-49", "50-54", "55-59", "60-64", "65-69", "70-74", "75-79", "80-84", "85+")</f>
        <v>25-29</v>
      </c>
      <c r="D21" t="s">
        <v>7</v>
      </c>
      <c r="H21" t="s">
        <v>33</v>
      </c>
      <c r="L21" t="s">
        <v>34</v>
      </c>
      <c r="AD21" s="2"/>
      <c r="AE21" s="2"/>
      <c r="AF21" s="2"/>
      <c r="AG21" s="1"/>
    </row>
    <row r="22" spans="1:33" ht="24">
      <c r="A22" t="s">
        <v>6</v>
      </c>
      <c r="B22">
        <v>41</v>
      </c>
      <c r="C22" t="str">
        <f>CHOOSE(MATCH(B22, {20,25,30,35,40,45,50,55,60,65,70,75,80,85}, 1), "20-24", "25-29", "30-34", "35-39", "40-44", "45-49", "50-54", "55-59", "60-64", "65-69", "70-74", "75-79", "80-84", "85+")</f>
        <v>40-44</v>
      </c>
      <c r="D22" t="s">
        <v>7</v>
      </c>
      <c r="H22">
        <f>SKEW(B2:B10966)</f>
        <v>0.88675304282356249</v>
      </c>
      <c r="L22" s="1" t="s">
        <v>11</v>
      </c>
      <c r="M22" s="1" t="s">
        <v>12</v>
      </c>
      <c r="N22" s="1" t="s">
        <v>13</v>
      </c>
      <c r="O22" s="1"/>
      <c r="AD22" s="2"/>
      <c r="AE22" s="2"/>
      <c r="AF22" s="2"/>
      <c r="AG22" s="1"/>
    </row>
    <row r="23" spans="1:33">
      <c r="A23" t="s">
        <v>6</v>
      </c>
      <c r="B23">
        <v>23</v>
      </c>
      <c r="C23" t="str">
        <f>CHOOSE(MATCH(B23, {20,25,30,35,40,45,50,55,60,65,70,75,80,85}, 1), "20-24", "25-29", "30-34", "35-39", "40-44", "45-49", "50-54", "55-59", "60-64", "65-69", "70-74", "75-79", "80-84", "85+")</f>
        <v>20-24</v>
      </c>
      <c r="D23" t="s">
        <v>8</v>
      </c>
      <c r="L23" s="2" t="s">
        <v>14</v>
      </c>
      <c r="M23" s="2">
        <f>M37*O23/O37</f>
        <v>286.23255813953489</v>
      </c>
      <c r="N23" s="2">
        <f>N37*O23/O37</f>
        <v>437.76744186046511</v>
      </c>
      <c r="O23" s="1">
        <v>724</v>
      </c>
      <c r="AD23" s="2"/>
      <c r="AE23" s="2"/>
      <c r="AF23" s="2"/>
      <c r="AG23" s="1"/>
    </row>
    <row r="24" spans="1:33">
      <c r="A24" t="s">
        <v>6</v>
      </c>
      <c r="B24">
        <v>20</v>
      </c>
      <c r="C24" t="str">
        <f>CHOOSE(MATCH(B24, {20,25,30,35,40,45,50,55,60,65,70,75,80,85}, 1), "20-24", "25-29", "30-34", "35-39", "40-44", "45-49", "50-54", "55-59", "60-64", "65-69", "70-74", "75-79", "80-84", "85+")</f>
        <v>20-24</v>
      </c>
      <c r="D24" t="s">
        <v>7</v>
      </c>
      <c r="H24" t="s">
        <v>35</v>
      </c>
      <c r="L24" s="2" t="s">
        <v>16</v>
      </c>
      <c r="M24" s="2">
        <f>M37*O24/O37</f>
        <v>630.18604651162786</v>
      </c>
      <c r="N24" s="2">
        <f>N37*O24/O37</f>
        <v>963.81395348837214</v>
      </c>
      <c r="O24" s="1">
        <v>1594</v>
      </c>
      <c r="AD24" s="2"/>
      <c r="AE24" s="2"/>
      <c r="AF24" s="2"/>
      <c r="AG24" s="1"/>
    </row>
    <row r="25" spans="1:33">
      <c r="A25" t="s">
        <v>6</v>
      </c>
      <c r="B25">
        <v>39</v>
      </c>
      <c r="C25" t="str">
        <f>CHOOSE(MATCH(B25, {20,25,30,35,40,45,50,55,60,65,70,75,80,85}, 1), "20-24", "25-29", "30-34", "35-39", "40-44", "45-49", "50-54", "55-59", "60-64", "65-69", "70-74", "75-79", "80-84", "85+")</f>
        <v>35-39</v>
      </c>
      <c r="D25" t="s">
        <v>8</v>
      </c>
      <c r="H25">
        <f>KURT(B2:B10966)</f>
        <v>0.1598852629708758</v>
      </c>
      <c r="L25" s="2" t="s">
        <v>17</v>
      </c>
      <c r="M25" s="2">
        <f>M37*O25/O37</f>
        <v>745.62790697674416</v>
      </c>
      <c r="N25" s="2">
        <f>N37*O25/O37</f>
        <v>1140.3720930232557</v>
      </c>
      <c r="O25" s="1">
        <v>1886</v>
      </c>
      <c r="AD25" s="2"/>
      <c r="AE25" s="2"/>
      <c r="AF25" s="2"/>
      <c r="AG25" s="1"/>
    </row>
    <row r="26" spans="1:33">
      <c r="A26" t="s">
        <v>6</v>
      </c>
      <c r="B26">
        <v>51</v>
      </c>
      <c r="C26" t="str">
        <f>CHOOSE(MATCH(B26, {20,25,30,35,40,45,50,55,60,65,70,75,80,85}, 1), "20-24", "25-29", "30-34", "35-39", "40-44", "45-49", "50-54", "55-59", "60-64", "65-69", "70-74", "75-79", "80-84", "85+")</f>
        <v>50-54</v>
      </c>
      <c r="D26" t="s">
        <v>8</v>
      </c>
      <c r="L26" s="2" t="s">
        <v>18</v>
      </c>
      <c r="M26" s="2">
        <f>M37*O26/O37</f>
        <v>660.62790697674416</v>
      </c>
      <c r="N26" s="2">
        <f>N37*O26/O37</f>
        <v>1010.3720930232558</v>
      </c>
      <c r="O26" s="1">
        <v>1671</v>
      </c>
      <c r="AD26" s="1"/>
      <c r="AE26" s="1"/>
      <c r="AF26" s="1"/>
      <c r="AG26" s="1"/>
    </row>
    <row r="27" spans="1:33">
      <c r="A27" t="s">
        <v>6</v>
      </c>
      <c r="B27">
        <v>71</v>
      </c>
      <c r="C27" t="str">
        <f>CHOOSE(MATCH(B27, {20,25,30,35,40,45,50,55,60,65,70,75,80,85}, 1), "20-24", "25-29", "30-34", "35-39", "40-44", "45-49", "50-54", "55-59", "60-64", "65-69", "70-74", "75-79", "80-84", "85+")</f>
        <v>70-74</v>
      </c>
      <c r="D27" t="s">
        <v>7</v>
      </c>
      <c r="L27" s="2" t="s">
        <v>20</v>
      </c>
      <c r="M27" s="2">
        <f>M37*O27/O37</f>
        <v>476.7906976744186</v>
      </c>
      <c r="N27" s="2">
        <f>N37*O27/O37</f>
        <v>729.20930232558135</v>
      </c>
      <c r="O27" s="1">
        <v>1206</v>
      </c>
    </row>
    <row r="28" spans="1:33">
      <c r="A28" t="s">
        <v>6</v>
      </c>
      <c r="B28">
        <v>44</v>
      </c>
      <c r="C28" t="str">
        <f>CHOOSE(MATCH(B28, {20,25,30,35,40,45,50,55,60,65,70,75,80,85}, 1), "20-24", "25-29", "30-34", "35-39", "40-44", "45-49", "50-54", "55-59", "60-64", "65-69", "70-74", "75-79", "80-84", "85+")</f>
        <v>40-44</v>
      </c>
      <c r="D28" t="s">
        <v>8</v>
      </c>
      <c r="L28" s="2" t="s">
        <v>21</v>
      </c>
      <c r="M28" s="2">
        <f>M37*O28/O37</f>
        <v>360.55813953488371</v>
      </c>
      <c r="N28" s="2">
        <f>N37*O28/O37</f>
        <v>551.44186046511629</v>
      </c>
      <c r="O28" s="1">
        <v>912</v>
      </c>
    </row>
    <row r="29" spans="1:33">
      <c r="A29" t="s">
        <v>6</v>
      </c>
      <c r="B29">
        <v>29</v>
      </c>
      <c r="C29" t="str">
        <f>CHOOSE(MATCH(B29, {20,25,30,35,40,45,50,55,60,65,70,75,80,85}, 1), "20-24", "25-29", "30-34", "35-39", "40-44", "45-49", "50-54", "55-59", "60-64", "65-69", "70-74", "75-79", "80-84", "85+")</f>
        <v>25-29</v>
      </c>
      <c r="D29" t="s">
        <v>7</v>
      </c>
      <c r="L29" s="2" t="s">
        <v>22</v>
      </c>
      <c r="M29" s="2">
        <f>M37*O29/O37</f>
        <v>286.62790697674421</v>
      </c>
      <c r="N29" s="2">
        <f>N37*O29/O37</f>
        <v>438.37209302325579</v>
      </c>
      <c r="O29" s="1">
        <v>725</v>
      </c>
    </row>
    <row r="30" spans="1:33">
      <c r="A30" t="s">
        <v>6</v>
      </c>
      <c r="B30">
        <v>23</v>
      </c>
      <c r="C30" t="str">
        <f>CHOOSE(MATCH(B30, {20,25,30,35,40,45,50,55,60,65,70,75,80,85}, 1), "20-24", "25-29", "30-34", "35-39", "40-44", "45-49", "50-54", "55-59", "60-64", "65-69", "70-74", "75-79", "80-84", "85+")</f>
        <v>20-24</v>
      </c>
      <c r="D30" t="s">
        <v>7</v>
      </c>
      <c r="L30" s="2" t="s">
        <v>24</v>
      </c>
      <c r="M30" s="2">
        <f>M37*O30/O37</f>
        <v>238.3953488372093</v>
      </c>
      <c r="N30" s="2">
        <f>N37*O30/O37</f>
        <v>364.60465116279067</v>
      </c>
      <c r="O30" s="1">
        <v>603</v>
      </c>
    </row>
    <row r="31" spans="1:33">
      <c r="A31" t="s">
        <v>6</v>
      </c>
      <c r="B31">
        <v>32</v>
      </c>
      <c r="C31" t="str">
        <f>CHOOSE(MATCH(B31, {20,25,30,35,40,45,50,55,60,65,70,75,80,85}, 1), "20-24", "25-29", "30-34", "35-39", "40-44", "45-49", "50-54", "55-59", "60-64", "65-69", "70-74", "75-79", "80-84", "85+")</f>
        <v>30-34</v>
      </c>
      <c r="D31" t="s">
        <v>7</v>
      </c>
      <c r="L31" s="2" t="s">
        <v>25</v>
      </c>
      <c r="M31" s="2">
        <f>M37*O31/O37</f>
        <v>207.55813953488371</v>
      </c>
      <c r="N31" s="2">
        <f>N37*O31/O37</f>
        <v>317.44186046511629</v>
      </c>
      <c r="O31" s="1">
        <v>525</v>
      </c>
    </row>
    <row r="32" spans="1:33">
      <c r="A32" t="s">
        <v>6</v>
      </c>
      <c r="B32">
        <v>29</v>
      </c>
      <c r="C32" t="str">
        <f>CHOOSE(MATCH(B32, {20,25,30,35,40,45,50,55,60,65,70,75,80,85}, 1), "20-24", "25-29", "30-34", "35-39", "40-44", "45-49", "50-54", "55-59", "60-64", "65-69", "70-74", "75-79", "80-84", "85+")</f>
        <v>25-29</v>
      </c>
      <c r="D32" t="s">
        <v>7</v>
      </c>
      <c r="L32" s="2" t="s">
        <v>26</v>
      </c>
      <c r="M32" s="2">
        <f>M37*O32/O37</f>
        <v>162.09302325581396</v>
      </c>
      <c r="N32" s="2">
        <f>N37*O32/O37</f>
        <v>247.90697674418604</v>
      </c>
      <c r="O32" s="1">
        <v>410</v>
      </c>
    </row>
    <row r="33" spans="1:24">
      <c r="A33" t="s">
        <v>6</v>
      </c>
      <c r="B33">
        <v>37</v>
      </c>
      <c r="C33" t="str">
        <f>CHOOSE(MATCH(B33, {20,25,30,35,40,45,50,55,60,65,70,75,80,85}, 1), "20-24", "25-29", "30-34", "35-39", "40-44", "45-49", "50-54", "55-59", "60-64", "65-69", "70-74", "75-79", "80-84", "85+")</f>
        <v>35-39</v>
      </c>
      <c r="D33" t="s">
        <v>7</v>
      </c>
      <c r="L33" s="2" t="s">
        <v>28</v>
      </c>
      <c r="M33" s="2">
        <f>M37*O33/O37</f>
        <v>122.55813953488372</v>
      </c>
      <c r="N33" s="2">
        <f>N37*O33/O37</f>
        <v>187.44186046511629</v>
      </c>
      <c r="O33" s="1">
        <v>310</v>
      </c>
    </row>
    <row r="34" spans="1:24">
      <c r="A34" t="s">
        <v>6</v>
      </c>
      <c r="B34">
        <v>30</v>
      </c>
      <c r="C34" t="str">
        <f>CHOOSE(MATCH(B34, {20,25,30,35,40,45,50,55,60,65,70,75,80,85}, 1), "20-24", "25-29", "30-34", "35-39", "40-44", "45-49", "50-54", "55-59", "60-64", "65-69", "70-74", "75-79", "80-84", "85+")</f>
        <v>30-34</v>
      </c>
      <c r="D34" t="s">
        <v>7</v>
      </c>
      <c r="L34" s="2" t="s">
        <v>29</v>
      </c>
      <c r="M34" s="2">
        <f>M37*O34/O37</f>
        <v>79.465116279069761</v>
      </c>
      <c r="N34" s="2">
        <f>N37*O34/O37</f>
        <v>121.53488372093024</v>
      </c>
      <c r="O34" s="1">
        <v>201</v>
      </c>
    </row>
    <row r="35" spans="1:24">
      <c r="A35" t="s">
        <v>6</v>
      </c>
      <c r="B35">
        <v>38</v>
      </c>
      <c r="C35" t="str">
        <f>CHOOSE(MATCH(B35, {20,25,30,35,40,45,50,55,60,65,70,75,80,85}, 1), "20-24", "25-29", "30-34", "35-39", "40-44", "45-49", "50-54", "55-59", "60-64", "65-69", "70-74", "75-79", "80-84", "85+")</f>
        <v>35-39</v>
      </c>
      <c r="D35" t="s">
        <v>7</v>
      </c>
      <c r="L35" s="2" t="s">
        <v>30</v>
      </c>
      <c r="M35" s="2">
        <f>M37*O35/O37</f>
        <v>42.302325581395351</v>
      </c>
      <c r="N35" s="2">
        <f>N37*O35/O37</f>
        <v>64.697674418604649</v>
      </c>
      <c r="O35" s="1">
        <v>107</v>
      </c>
    </row>
    <row r="36" spans="1:24">
      <c r="A36" t="s">
        <v>6</v>
      </c>
      <c r="B36">
        <v>25</v>
      </c>
      <c r="C36" t="str">
        <f>CHOOSE(MATCH(B36, {20,25,30,35,40,45,50,55,60,65,70,75,80,85}, 1), "20-24", "25-29", "30-34", "35-39", "40-44", "45-49", "50-54", "55-59", "60-64", "65-69", "70-74", "75-79", "80-84", "85+")</f>
        <v>25-29</v>
      </c>
      <c r="D36" t="s">
        <v>7</v>
      </c>
      <c r="L36" s="2" t="s">
        <v>32</v>
      </c>
      <c r="M36" s="2">
        <f>M37*O36/O37</f>
        <v>35.97674418604651</v>
      </c>
      <c r="N36" s="2">
        <f>N37*O36/O37</f>
        <v>55.02325581395349</v>
      </c>
      <c r="O36" s="1">
        <v>91</v>
      </c>
    </row>
    <row r="37" spans="1:24">
      <c r="A37" t="s">
        <v>6</v>
      </c>
      <c r="B37">
        <v>25</v>
      </c>
      <c r="C37" t="str">
        <f>CHOOSE(MATCH(B37, {20,25,30,35,40,45,50,55,60,65,70,75,80,85}, 1), "20-24", "25-29", "30-34", "35-39", "40-44", "45-49", "50-54", "55-59", "60-64", "65-69", "70-74", "75-79", "80-84", "85+")</f>
        <v>25-29</v>
      </c>
      <c r="D37" t="s">
        <v>8</v>
      </c>
      <c r="L37" s="1"/>
      <c r="M37" s="1">
        <v>4335</v>
      </c>
      <c r="N37" s="1">
        <v>6630</v>
      </c>
      <c r="O37" s="1">
        <v>10965</v>
      </c>
    </row>
    <row r="38" spans="1:24">
      <c r="A38" t="s">
        <v>6</v>
      </c>
      <c r="B38">
        <v>34</v>
      </c>
      <c r="C38" t="str">
        <f>CHOOSE(MATCH(B38, {20,25,30,35,40,45,50,55,60,65,70,75,80,85}, 1), "20-24", "25-29", "30-34", "35-39", "40-44", "45-49", "50-54", "55-59", "60-64", "65-69", "70-74", "75-79", "80-84", "85+")</f>
        <v>30-34</v>
      </c>
      <c r="D38" t="s">
        <v>8</v>
      </c>
    </row>
    <row r="39" spans="1:24">
      <c r="A39" t="s">
        <v>6</v>
      </c>
      <c r="B39">
        <v>44</v>
      </c>
      <c r="C39" t="str">
        <f>CHOOSE(MATCH(B39, {20,25,30,35,40,45,50,55,60,65,70,75,80,85}, 1), "20-24", "25-29", "30-34", "35-39", "40-44", "45-49", "50-54", "55-59", "60-64", "65-69", "70-74", "75-79", "80-84", "85+")</f>
        <v>40-44</v>
      </c>
      <c r="D39" t="s">
        <v>8</v>
      </c>
      <c r="L39" t="s">
        <v>36</v>
      </c>
    </row>
    <row r="40" spans="1:24" ht="24">
      <c r="A40" t="s">
        <v>6</v>
      </c>
      <c r="B40">
        <v>26</v>
      </c>
      <c r="C40" t="str">
        <f>CHOOSE(MATCH(B40, {20,25,30,35,40,45,50,55,60,65,70,75,80,85}, 1), "20-24", "25-29", "30-34", "35-39", "40-44", "45-49", "50-54", "55-59", "60-64", "65-69", "70-74", "75-79", "80-84", "85+")</f>
        <v>25-29</v>
      </c>
      <c r="D40" t="s">
        <v>7</v>
      </c>
      <c r="L40" s="1" t="s">
        <v>11</v>
      </c>
      <c r="M40" s="1" t="s">
        <v>12</v>
      </c>
      <c r="N40" s="1" t="s">
        <v>13</v>
      </c>
    </row>
    <row r="41" spans="1:24">
      <c r="A41" t="s">
        <v>6</v>
      </c>
      <c r="B41">
        <v>33</v>
      </c>
      <c r="C41" t="str">
        <f>CHOOSE(MATCH(B41, {20,25,30,35,40,45,50,55,60,65,70,75,80,85}, 1), "20-24", "25-29", "30-34", "35-39", "40-44", "45-49", "50-54", "55-59", "60-64", "65-69", "70-74", "75-79", "80-84", "85+")</f>
        <v>30-34</v>
      </c>
      <c r="D41" t="s">
        <v>7</v>
      </c>
      <c r="L41" s="2" t="s">
        <v>14</v>
      </c>
      <c r="M41" s="2">
        <f>((M5-M23)^2/M23)</f>
        <v>9.531550664721756</v>
      </c>
      <c r="N41" s="2">
        <f>((N5-N23)^2/N23)</f>
        <v>6.2321677423180706</v>
      </c>
    </row>
    <row r="42" spans="1:24">
      <c r="A42" t="s">
        <v>6</v>
      </c>
      <c r="B42">
        <v>40</v>
      </c>
      <c r="C42" t="str">
        <f>CHOOSE(MATCH(B42, {20,25,30,35,40,45,50,55,60,65,70,75,80,85}, 1), "20-24", "25-29", "30-34", "35-39", "40-44", "45-49", "50-54", "55-59", "60-64", "65-69", "70-74", "75-79", "80-84", "85+")</f>
        <v>40-44</v>
      </c>
      <c r="D42" t="s">
        <v>8</v>
      </c>
      <c r="L42" s="2" t="s">
        <v>16</v>
      </c>
      <c r="M42" s="2">
        <f>((M6-M24)^2/M24)</f>
        <v>21.42097159835016</v>
      </c>
      <c r="N42" s="2">
        <f>((N6-N24)^2/N24)</f>
        <v>14.00601989122895</v>
      </c>
    </row>
    <row r="43" spans="1:24">
      <c r="A43" t="s">
        <v>6</v>
      </c>
      <c r="B43">
        <v>27</v>
      </c>
      <c r="C43" t="str">
        <f>CHOOSE(MATCH(B43, {20,25,30,35,40,45,50,55,60,65,70,75,80,85}, 1), "20-24", "25-29", "30-34", "35-39", "40-44", "45-49", "50-54", "55-59", "60-64", "65-69", "70-74", "75-79", "80-84", "85+")</f>
        <v>25-29</v>
      </c>
      <c r="D43" t="s">
        <v>7</v>
      </c>
      <c r="L43" s="2" t="s">
        <v>17</v>
      </c>
      <c r="M43" s="2">
        <f>((M7-M25)^2/M25)</f>
        <v>25.035523469788902</v>
      </c>
      <c r="N43" s="2">
        <f>((N7-N25)^2/N25)</f>
        <v>16.369380730246618</v>
      </c>
    </row>
    <row r="44" spans="1:24">
      <c r="A44" t="s">
        <v>6</v>
      </c>
      <c r="B44">
        <v>26</v>
      </c>
      <c r="C44" t="str">
        <f>CHOOSE(MATCH(B44, {20,25,30,35,40,45,50,55,60,65,70,75,80,85}, 1), "20-24", "25-29", "30-34", "35-39", "40-44", "45-49", "50-54", "55-59", "60-64", "65-69", "70-74", "75-79", "80-84", "85+")</f>
        <v>25-29</v>
      </c>
      <c r="D44" t="s">
        <v>7</v>
      </c>
      <c r="L44" s="2" t="s">
        <v>18</v>
      </c>
      <c r="M44" s="2">
        <f>((M8-M26)^2/M26)</f>
        <v>0.28112625368296756</v>
      </c>
      <c r="N44" s="2">
        <f>((N8-N26)^2/N26)</f>
        <v>0.18381331971578649</v>
      </c>
      <c r="X44" s="5"/>
    </row>
    <row r="45" spans="1:24">
      <c r="A45" t="s">
        <v>6</v>
      </c>
      <c r="B45">
        <v>62</v>
      </c>
      <c r="C45" t="str">
        <f>CHOOSE(MATCH(B45, {20,25,30,35,40,45,50,55,60,65,70,75,80,85}, 1), "20-24", "25-29", "30-34", "35-39", "40-44", "45-49", "50-54", "55-59", "60-64", "65-69", "70-74", "75-79", "80-84", "85+")</f>
        <v>60-64</v>
      </c>
      <c r="D45" t="s">
        <v>8</v>
      </c>
      <c r="L45" s="2" t="s">
        <v>20</v>
      </c>
      <c r="M45" s="2">
        <f>((M9-M27)^2/M27)</f>
        <v>2.7498723890805903</v>
      </c>
      <c r="N45" s="2">
        <f>((N9-N27)^2/N27)</f>
        <v>1.7979934851680728</v>
      </c>
      <c r="X45" s="4"/>
    </row>
    <row r="46" spans="1:24">
      <c r="A46" t="s">
        <v>6</v>
      </c>
      <c r="B46">
        <v>77</v>
      </c>
      <c r="C46" t="str">
        <f>CHOOSE(MATCH(B46, {20,25,30,35,40,45,50,55,60,65,70,75,80,85}, 1), "20-24", "25-29", "30-34", "35-39", "40-44", "45-49", "50-54", "55-59", "60-64", "65-69", "70-74", "75-79", "80-84", "85+")</f>
        <v>75-79</v>
      </c>
      <c r="D46" t="s">
        <v>8</v>
      </c>
      <c r="L46" s="2" t="s">
        <v>21</v>
      </c>
      <c r="M46" s="2">
        <f>((M10-M28)^2/M28)</f>
        <v>2.0885832913336713</v>
      </c>
      <c r="N46" s="2">
        <f>((N10-N28)^2/N28)</f>
        <v>1.3656121520258619</v>
      </c>
    </row>
    <row r="47" spans="1:24">
      <c r="A47" t="s">
        <v>6</v>
      </c>
      <c r="B47">
        <v>72</v>
      </c>
      <c r="C47" t="str">
        <f>CHOOSE(MATCH(B47, {20,25,30,35,40,45,50,55,60,65,70,75,80,85}, 1), "20-24", "25-29", "30-34", "35-39", "40-44", "45-49", "50-54", "55-59", "60-64", "65-69", "70-74", "75-79", "80-84", "85+")</f>
        <v>70-74</v>
      </c>
      <c r="D47" t="s">
        <v>8</v>
      </c>
      <c r="L47" s="2" t="s">
        <v>22</v>
      </c>
      <c r="M47" s="2">
        <f>((M11-M29)^2/M29)</f>
        <v>7.5023085994622294</v>
      </c>
      <c r="N47" s="2">
        <f>((N11-N29)^2/N29)</f>
        <v>4.9053556227253043</v>
      </c>
    </row>
    <row r="48" spans="1:24">
      <c r="A48" t="s">
        <v>6</v>
      </c>
      <c r="B48">
        <v>26</v>
      </c>
      <c r="C48" t="str">
        <f>CHOOSE(MATCH(B48, {20,25,30,35,40,45,50,55,60,65,70,75,80,85}, 1), "20-24", "25-29", "30-34", "35-39", "40-44", "45-49", "50-54", "55-59", "60-64", "65-69", "70-74", "75-79", "80-84", "85+")</f>
        <v>25-29</v>
      </c>
      <c r="D48" t="s">
        <v>7</v>
      </c>
      <c r="L48" s="2" t="s">
        <v>24</v>
      </c>
      <c r="M48" s="2">
        <f>((M12-M30)^2/M30)</f>
        <v>20.322575449247157</v>
      </c>
      <c r="N48" s="2">
        <f>((N12-N30)^2/N30)</f>
        <v>13.287837793738516</v>
      </c>
    </row>
    <row r="49" spans="1:20">
      <c r="A49" t="s">
        <v>6</v>
      </c>
      <c r="B49">
        <v>50</v>
      </c>
      <c r="C49" t="str">
        <f>CHOOSE(MATCH(B49, {20,25,30,35,40,45,50,55,60,65,70,75,80,85}, 1), "20-24", "25-29", "30-34", "35-39", "40-44", "45-49", "50-54", "55-59", "60-64", "65-69", "70-74", "75-79", "80-84", "85+")</f>
        <v>50-54</v>
      </c>
      <c r="D49" t="s">
        <v>8</v>
      </c>
      <c r="L49" s="2" t="s">
        <v>25</v>
      </c>
      <c r="M49" s="2">
        <f>((M13-M31)^2/M31)</f>
        <v>28.894273988665244</v>
      </c>
      <c r="N49" s="2">
        <f>((N13-N31)^2/N31)</f>
        <v>18.892409915665734</v>
      </c>
    </row>
    <row r="50" spans="1:20">
      <c r="A50" t="s">
        <v>6</v>
      </c>
      <c r="B50">
        <v>45</v>
      </c>
      <c r="C50" t="str">
        <f>CHOOSE(MATCH(B50, {20,25,30,35,40,45,50,55,60,65,70,75,80,85}, 1), "20-24", "25-29", "30-34", "35-39", "40-44", "45-49", "50-54", "55-59", "60-64", "65-69", "70-74", "75-79", "80-84", "85+")</f>
        <v>45-49</v>
      </c>
      <c r="D50" t="s">
        <v>8</v>
      </c>
      <c r="L50" s="2" t="s">
        <v>26</v>
      </c>
      <c r="M50" s="2">
        <f>((M14-M32)^2/M32)</f>
        <v>4.8046444896733487</v>
      </c>
      <c r="N50" s="2">
        <f>((N14-N32)^2/N32)</f>
        <v>3.1414983201710358</v>
      </c>
    </row>
    <row r="51" spans="1:20">
      <c r="A51" t="s">
        <v>6</v>
      </c>
      <c r="B51">
        <v>31</v>
      </c>
      <c r="C51" t="str">
        <f>CHOOSE(MATCH(B51, {20,25,30,35,40,45,50,55,60,65,70,75,80,85}, 1), "20-24", "25-29", "30-34", "35-39", "40-44", "45-49", "50-54", "55-59", "60-64", "65-69", "70-74", "75-79", "80-84", "85+")</f>
        <v>30-34</v>
      </c>
      <c r="D51" t="s">
        <v>7</v>
      </c>
      <c r="L51" s="2" t="s">
        <v>28</v>
      </c>
      <c r="M51" s="2">
        <f>((M15-M33)^2/M33)</f>
        <v>5.2814791933277432</v>
      </c>
      <c r="N51" s="2">
        <f>((N15-N33)^2/N33)</f>
        <v>3.4532748571758356</v>
      </c>
      <c r="T51" s="3"/>
    </row>
    <row r="52" spans="1:20">
      <c r="A52" t="s">
        <v>6</v>
      </c>
      <c r="B52">
        <v>22</v>
      </c>
      <c r="C52" t="str">
        <f>CHOOSE(MATCH(B52, {20,25,30,35,40,45,50,55,60,65,70,75,80,85}, 1), "20-24", "25-29", "30-34", "35-39", "40-44", "45-49", "50-54", "55-59", "60-64", "65-69", "70-74", "75-79", "80-84", "85+")</f>
        <v>20-24</v>
      </c>
      <c r="D52" t="s">
        <v>7</v>
      </c>
      <c r="L52" s="2" t="s">
        <v>29</v>
      </c>
      <c r="M52" s="2">
        <f>((M16-M34)^2/M34)</f>
        <v>0.91668197997699741</v>
      </c>
      <c r="N52" s="2">
        <f>((N16-N34)^2/N34)</f>
        <v>0.59936898690803675</v>
      </c>
    </row>
    <row r="53" spans="1:20">
      <c r="A53" t="s">
        <v>6</v>
      </c>
      <c r="B53">
        <v>58</v>
      </c>
      <c r="C53" t="str">
        <f>CHOOSE(MATCH(B53, {20,25,30,35,40,45,50,55,60,65,70,75,80,85}, 1), "20-24", "25-29", "30-34", "35-39", "40-44", "45-49", "50-54", "55-59", "60-64", "65-69", "70-74", "75-79", "80-84", "85+")</f>
        <v>55-59</v>
      </c>
      <c r="D53" t="s">
        <v>7</v>
      </c>
      <c r="L53" s="2" t="s">
        <v>30</v>
      </c>
      <c r="M53" s="2">
        <f>((M17-M35)^2/M35)</f>
        <v>1.7883068898065628</v>
      </c>
      <c r="N53" s="2">
        <f>((N17-N35)^2/N35)</f>
        <v>1.1692775817965988</v>
      </c>
    </row>
    <row r="54" spans="1:20">
      <c r="A54" t="s">
        <v>6</v>
      </c>
      <c r="B54">
        <v>36</v>
      </c>
      <c r="C54" t="str">
        <f>CHOOSE(MATCH(B54, {20,25,30,35,40,45,50,55,60,65,70,75,80,85}, 1), "20-24", "25-29", "30-34", "35-39", "40-44", "45-49", "50-54", "55-59", "60-64", "65-69", "70-74", "75-79", "80-84", "85+")</f>
        <v>35-39</v>
      </c>
      <c r="D54" t="s">
        <v>8</v>
      </c>
      <c r="L54" s="2" t="s">
        <v>32</v>
      </c>
      <c r="M54" s="2">
        <f>((M18-M36)^2/M36)</f>
        <v>2.2398340373716561</v>
      </c>
      <c r="N54" s="2">
        <f>((N18-N36)^2/N36)</f>
        <v>1.4645068705891597</v>
      </c>
    </row>
    <row r="55" spans="1:20">
      <c r="A55" t="s">
        <v>6</v>
      </c>
      <c r="B55">
        <v>36</v>
      </c>
      <c r="C55" t="str">
        <f>CHOOSE(MATCH(B55, {20,25,30,35,40,45,50,55,60,65,70,75,80,85}, 1), "20-24", "25-29", "30-34", "35-39", "40-44", "45-49", "50-54", "55-59", "60-64", "65-69", "70-74", "75-79", "80-84", "85+")</f>
        <v>35-39</v>
      </c>
      <c r="D55" t="s">
        <v>7</v>
      </c>
    </row>
    <row r="56" spans="1:20">
      <c r="A56" t="s">
        <v>6</v>
      </c>
      <c r="B56">
        <v>60</v>
      </c>
      <c r="C56" t="str">
        <f>CHOOSE(MATCH(B56, {20,25,30,35,40,45,50,55,60,65,70,75,80,85}, 1), "20-24", "25-29", "30-34", "35-39", "40-44", "45-49", "50-54", "55-59", "60-64", "65-69", "70-74", "75-79", "80-84", "85+")</f>
        <v>60-64</v>
      </c>
      <c r="D56" t="s">
        <v>7</v>
      </c>
      <c r="L56">
        <f>SUM(M41:N54)</f>
        <v>219.72624956396257</v>
      </c>
      <c r="M56" t="s">
        <v>37</v>
      </c>
    </row>
    <row r="57" spans="1:20">
      <c r="A57" t="s">
        <v>6</v>
      </c>
      <c r="B57">
        <v>26</v>
      </c>
      <c r="C57" t="str">
        <f>CHOOSE(MATCH(B57, {20,25,30,35,40,45,50,55,60,65,70,75,80,85}, 1), "20-24", "25-29", "30-34", "35-39", "40-44", "45-49", "50-54", "55-59", "60-64", "65-69", "70-74", "75-79", "80-84", "85+")</f>
        <v>25-29</v>
      </c>
      <c r="D57" t="s">
        <v>8</v>
      </c>
      <c r="L57">
        <f>CHIDIST(L56,13)</f>
        <v>1.1874280595994978E-39</v>
      </c>
      <c r="M57" t="s">
        <v>38</v>
      </c>
    </row>
    <row r="58" spans="1:20">
      <c r="A58" t="s">
        <v>6</v>
      </c>
      <c r="B58">
        <v>56</v>
      </c>
      <c r="C58" t="str">
        <f>CHOOSE(MATCH(B58, {20,25,30,35,40,45,50,55,60,65,70,75,80,85}, 1), "20-24", "25-29", "30-34", "35-39", "40-44", "45-49", "50-54", "55-59", "60-64", "65-69", "70-74", "75-79", "80-84", "85+")</f>
        <v>55-59</v>
      </c>
      <c r="D58" t="s">
        <v>8</v>
      </c>
      <c r="L58">
        <f>CHITEST(M5:N18,M23:N36)</f>
        <v>1.1874280595994978E-39</v>
      </c>
      <c r="M58" t="s">
        <v>39</v>
      </c>
    </row>
    <row r="59" spans="1:20">
      <c r="A59" t="s">
        <v>6</v>
      </c>
      <c r="B59">
        <v>31</v>
      </c>
      <c r="C59" t="str">
        <f>CHOOSE(MATCH(B59, {20,25,30,35,40,45,50,55,60,65,70,75,80,85}, 1), "20-24", "25-29", "30-34", "35-39", "40-44", "45-49", "50-54", "55-59", "60-64", "65-69", "70-74", "75-79", "80-84", "85+")</f>
        <v>30-34</v>
      </c>
      <c r="D59" t="s">
        <v>7</v>
      </c>
      <c r="L59">
        <f>CHIINV(L57,13)</f>
        <v>219.72624956396257</v>
      </c>
      <c r="M59" t="s">
        <v>40</v>
      </c>
    </row>
    <row r="60" spans="1:20">
      <c r="A60" t="s">
        <v>6</v>
      </c>
      <c r="B60">
        <v>75</v>
      </c>
      <c r="C60" t="str">
        <f>CHOOSE(MATCH(B60, {20,25,30,35,40,45,50,55,60,65,70,75,80,85}, 1), "20-24", "25-29", "30-34", "35-39", "40-44", "45-49", "50-54", "55-59", "60-64", "65-69", "70-74", "75-79", "80-84", "85+")</f>
        <v>75-79</v>
      </c>
      <c r="D60" t="s">
        <v>7</v>
      </c>
      <c r="L60">
        <f>CHIINV(0.05, 13)</f>
        <v>22.362032494826938</v>
      </c>
      <c r="M60" t="s">
        <v>41</v>
      </c>
    </row>
    <row r="61" spans="1:20">
      <c r="A61" t="s">
        <v>6</v>
      </c>
      <c r="B61">
        <v>43</v>
      </c>
      <c r="C61" t="str">
        <f>CHOOSE(MATCH(B61, {20,25,30,35,40,45,50,55,60,65,70,75,80,85}, 1), "20-24", "25-29", "30-34", "35-39", "40-44", "45-49", "50-54", "55-59", "60-64", "65-69", "70-74", "75-79", "80-84", "85+")</f>
        <v>40-44</v>
      </c>
      <c r="D61" t="s">
        <v>8</v>
      </c>
      <c r="M61" t="s">
        <v>42</v>
      </c>
    </row>
    <row r="62" spans="1:20">
      <c r="A62" t="s">
        <v>6</v>
      </c>
      <c r="B62">
        <v>56</v>
      </c>
      <c r="C62" t="str">
        <f>CHOOSE(MATCH(B62, {20,25,30,35,40,45,50,55,60,65,70,75,80,85}, 1), "20-24", "25-29", "30-34", "35-39", "40-44", "45-49", "50-54", "55-59", "60-64", "65-69", "70-74", "75-79", "80-84", "85+")</f>
        <v>55-59</v>
      </c>
      <c r="D62" t="s">
        <v>7</v>
      </c>
      <c r="M62" t="s">
        <v>43</v>
      </c>
    </row>
    <row r="63" spans="1:20">
      <c r="A63" t="s">
        <v>6</v>
      </c>
      <c r="B63">
        <v>58</v>
      </c>
      <c r="C63" t="str">
        <f>CHOOSE(MATCH(B63, {20,25,30,35,40,45,50,55,60,65,70,75,80,85}, 1), "20-24", "25-29", "30-34", "35-39", "40-44", "45-49", "50-54", "55-59", "60-64", "65-69", "70-74", "75-79", "80-84", "85+")</f>
        <v>55-59</v>
      </c>
      <c r="D63" t="s">
        <v>8</v>
      </c>
    </row>
    <row r="64" spans="1:20">
      <c r="A64" t="s">
        <v>6</v>
      </c>
      <c r="B64">
        <v>55</v>
      </c>
      <c r="C64" t="str">
        <f>CHOOSE(MATCH(B64, {20,25,30,35,40,45,50,55,60,65,70,75,80,85}, 1), "20-24", "25-29", "30-34", "35-39", "40-44", "45-49", "50-54", "55-59", "60-64", "65-69", "70-74", "75-79", "80-84", "85+")</f>
        <v>55-59</v>
      </c>
      <c r="D64" t="s">
        <v>8</v>
      </c>
    </row>
    <row r="65" spans="1:4">
      <c r="A65" t="s">
        <v>6</v>
      </c>
      <c r="B65">
        <v>39</v>
      </c>
      <c r="C65" t="str">
        <f>CHOOSE(MATCH(B65, {20,25,30,35,40,45,50,55,60,65,70,75,80,85}, 1), "20-24", "25-29", "30-34", "35-39", "40-44", "45-49", "50-54", "55-59", "60-64", "65-69", "70-74", "75-79", "80-84", "85+")</f>
        <v>35-39</v>
      </c>
      <c r="D65" t="s">
        <v>8</v>
      </c>
    </row>
    <row r="66" spans="1:4">
      <c r="A66" t="s">
        <v>6</v>
      </c>
      <c r="B66">
        <v>80</v>
      </c>
      <c r="C66" t="str">
        <f>CHOOSE(MATCH(B66, {20,25,30,35,40,45,50,55,60,65,70,75,80,85}, 1), "20-24", "25-29", "30-34", "35-39", "40-44", "45-49", "50-54", "55-59", "60-64", "65-69", "70-74", "75-79", "80-84", "85+")</f>
        <v>80-84</v>
      </c>
      <c r="D66" t="s">
        <v>7</v>
      </c>
    </row>
    <row r="67" spans="1:4">
      <c r="A67" t="s">
        <v>6</v>
      </c>
      <c r="B67">
        <v>62</v>
      </c>
      <c r="C67" t="str">
        <f>CHOOSE(MATCH(B67, {20,25,30,35,40,45,50,55,60,65,70,75,80,85}, 1), "20-24", "25-29", "30-34", "35-39", "40-44", "45-49", "50-54", "55-59", "60-64", "65-69", "70-74", "75-79", "80-84", "85+")</f>
        <v>60-64</v>
      </c>
      <c r="D67" t="s">
        <v>7</v>
      </c>
    </row>
    <row r="68" spans="1:4">
      <c r="A68" t="s">
        <v>6</v>
      </c>
      <c r="B68">
        <v>50</v>
      </c>
      <c r="C68" t="str">
        <f>CHOOSE(MATCH(B68, {20,25,30,35,40,45,50,55,60,65,70,75,80,85}, 1), "20-24", "25-29", "30-34", "35-39", "40-44", "45-49", "50-54", "55-59", "60-64", "65-69", "70-74", "75-79", "80-84", "85+")</f>
        <v>50-54</v>
      </c>
      <c r="D68" t="s">
        <v>8</v>
      </c>
    </row>
    <row r="69" spans="1:4">
      <c r="A69" t="s">
        <v>6</v>
      </c>
      <c r="B69">
        <v>38</v>
      </c>
      <c r="C69" t="str">
        <f>CHOOSE(MATCH(B69, {20,25,30,35,40,45,50,55,60,65,70,75,80,85}, 1), "20-24", "25-29", "30-34", "35-39", "40-44", "45-49", "50-54", "55-59", "60-64", "65-69", "70-74", "75-79", "80-84", "85+")</f>
        <v>35-39</v>
      </c>
      <c r="D69" t="s">
        <v>8</v>
      </c>
    </row>
    <row r="70" spans="1:4">
      <c r="A70" t="s">
        <v>6</v>
      </c>
      <c r="B70">
        <v>35</v>
      </c>
      <c r="C70" t="str">
        <f>CHOOSE(MATCH(B70, {20,25,30,35,40,45,50,55,60,65,70,75,80,85}, 1), "20-24", "25-29", "30-34", "35-39", "40-44", "45-49", "50-54", "55-59", "60-64", "65-69", "70-74", "75-79", "80-84", "85+")</f>
        <v>35-39</v>
      </c>
      <c r="D70" t="s">
        <v>7</v>
      </c>
    </row>
    <row r="71" spans="1:4">
      <c r="A71" t="s">
        <v>6</v>
      </c>
      <c r="B71">
        <v>25</v>
      </c>
      <c r="C71" t="str">
        <f>CHOOSE(MATCH(B71, {20,25,30,35,40,45,50,55,60,65,70,75,80,85}, 1), "20-24", "25-29", "30-34", "35-39", "40-44", "45-49", "50-54", "55-59", "60-64", "65-69", "70-74", "75-79", "80-84", "85+")</f>
        <v>25-29</v>
      </c>
      <c r="D71" t="s">
        <v>7</v>
      </c>
    </row>
    <row r="72" spans="1:4">
      <c r="A72" t="s">
        <v>6</v>
      </c>
      <c r="B72">
        <v>49</v>
      </c>
      <c r="C72" t="str">
        <f>CHOOSE(MATCH(B72, {20,25,30,35,40,45,50,55,60,65,70,75,80,85}, 1), "20-24", "25-29", "30-34", "35-39", "40-44", "45-49", "50-54", "55-59", "60-64", "65-69", "70-74", "75-79", "80-84", "85+")</f>
        <v>45-49</v>
      </c>
      <c r="D72" t="s">
        <v>8</v>
      </c>
    </row>
    <row r="73" spans="1:4">
      <c r="A73" t="s">
        <v>6</v>
      </c>
      <c r="B73">
        <v>59</v>
      </c>
      <c r="C73" t="str">
        <f>CHOOSE(MATCH(B73, {20,25,30,35,40,45,50,55,60,65,70,75,80,85}, 1), "20-24", "25-29", "30-34", "35-39", "40-44", "45-49", "50-54", "55-59", "60-64", "65-69", "70-74", "75-79", "80-84", "85+")</f>
        <v>55-59</v>
      </c>
      <c r="D73" t="s">
        <v>7</v>
      </c>
    </row>
    <row r="74" spans="1:4">
      <c r="A74" t="s">
        <v>6</v>
      </c>
      <c r="B74">
        <v>46</v>
      </c>
      <c r="C74" t="str">
        <f>CHOOSE(MATCH(B74, {20,25,30,35,40,45,50,55,60,65,70,75,80,85}, 1), "20-24", "25-29", "30-34", "35-39", "40-44", "45-49", "50-54", "55-59", "60-64", "65-69", "70-74", "75-79", "80-84", "85+")</f>
        <v>45-49</v>
      </c>
      <c r="D74" t="s">
        <v>7</v>
      </c>
    </row>
    <row r="75" spans="1:4">
      <c r="A75" t="s">
        <v>6</v>
      </c>
      <c r="B75">
        <v>44</v>
      </c>
      <c r="C75" t="str">
        <f>CHOOSE(MATCH(B75, {20,25,30,35,40,45,50,55,60,65,70,75,80,85}, 1), "20-24", "25-29", "30-34", "35-39", "40-44", "45-49", "50-54", "55-59", "60-64", "65-69", "70-74", "75-79", "80-84", "85+")</f>
        <v>40-44</v>
      </c>
      <c r="D75" t="s">
        <v>7</v>
      </c>
    </row>
    <row r="76" spans="1:4">
      <c r="A76" t="s">
        <v>6</v>
      </c>
      <c r="B76">
        <v>69</v>
      </c>
      <c r="C76" t="str">
        <f>CHOOSE(MATCH(B76, {20,25,30,35,40,45,50,55,60,65,70,75,80,85}, 1), "20-24", "25-29", "30-34", "35-39", "40-44", "45-49", "50-54", "55-59", "60-64", "65-69", "70-74", "75-79", "80-84", "85+")</f>
        <v>65-69</v>
      </c>
      <c r="D76" t="s">
        <v>7</v>
      </c>
    </row>
    <row r="77" spans="1:4">
      <c r="A77" t="s">
        <v>6</v>
      </c>
      <c r="B77">
        <v>26</v>
      </c>
      <c r="C77" t="str">
        <f>CHOOSE(MATCH(B77, {20,25,30,35,40,45,50,55,60,65,70,75,80,85}, 1), "20-24", "25-29", "30-34", "35-39", "40-44", "45-49", "50-54", "55-59", "60-64", "65-69", "70-74", "75-79", "80-84", "85+")</f>
        <v>25-29</v>
      </c>
      <c r="D77" t="s">
        <v>7</v>
      </c>
    </row>
    <row r="78" spans="1:4">
      <c r="A78" t="s">
        <v>6</v>
      </c>
      <c r="B78">
        <v>23</v>
      </c>
      <c r="C78" t="str">
        <f>CHOOSE(MATCH(B78, {20,25,30,35,40,45,50,55,60,65,70,75,80,85}, 1), "20-24", "25-29", "30-34", "35-39", "40-44", "45-49", "50-54", "55-59", "60-64", "65-69", "70-74", "75-79", "80-84", "85+")</f>
        <v>20-24</v>
      </c>
      <c r="D78" t="s">
        <v>7</v>
      </c>
    </row>
    <row r="79" spans="1:4">
      <c r="A79" t="s">
        <v>6</v>
      </c>
      <c r="B79">
        <v>26</v>
      </c>
      <c r="C79" t="str">
        <f>CHOOSE(MATCH(B79, {20,25,30,35,40,45,50,55,60,65,70,75,80,85}, 1), "20-24", "25-29", "30-34", "35-39", "40-44", "45-49", "50-54", "55-59", "60-64", "65-69", "70-74", "75-79", "80-84", "85+")</f>
        <v>25-29</v>
      </c>
      <c r="D79" t="s">
        <v>7</v>
      </c>
    </row>
    <row r="80" spans="1:4">
      <c r="A80" t="s">
        <v>6</v>
      </c>
      <c r="B80">
        <v>38</v>
      </c>
      <c r="C80" t="str">
        <f>CHOOSE(MATCH(B80, {20,25,30,35,40,45,50,55,60,65,70,75,80,85}, 1), "20-24", "25-29", "30-34", "35-39", "40-44", "45-49", "50-54", "55-59", "60-64", "65-69", "70-74", "75-79", "80-84", "85+")</f>
        <v>35-39</v>
      </c>
      <c r="D80" t="s">
        <v>8</v>
      </c>
    </row>
    <row r="81" spans="1:4">
      <c r="A81" t="s">
        <v>6</v>
      </c>
      <c r="B81">
        <v>57</v>
      </c>
      <c r="C81" t="str">
        <f>CHOOSE(MATCH(B81, {20,25,30,35,40,45,50,55,60,65,70,75,80,85}, 1), "20-24", "25-29", "30-34", "35-39", "40-44", "45-49", "50-54", "55-59", "60-64", "65-69", "70-74", "75-79", "80-84", "85+")</f>
        <v>55-59</v>
      </c>
      <c r="D81" t="s">
        <v>7</v>
      </c>
    </row>
    <row r="82" spans="1:4">
      <c r="A82" t="s">
        <v>6</v>
      </c>
      <c r="B82">
        <v>68</v>
      </c>
      <c r="C82" t="str">
        <f>CHOOSE(MATCH(B82, {20,25,30,35,40,45,50,55,60,65,70,75,80,85}, 1), "20-24", "25-29", "30-34", "35-39", "40-44", "45-49", "50-54", "55-59", "60-64", "65-69", "70-74", "75-79", "80-84", "85+")</f>
        <v>65-69</v>
      </c>
      <c r="D82" t="s">
        <v>8</v>
      </c>
    </row>
    <row r="83" spans="1:4">
      <c r="A83" t="s">
        <v>6</v>
      </c>
      <c r="B83">
        <v>59</v>
      </c>
      <c r="C83" t="str">
        <f>CHOOSE(MATCH(B83, {20,25,30,35,40,45,50,55,60,65,70,75,80,85}, 1), "20-24", "25-29", "30-34", "35-39", "40-44", "45-49", "50-54", "55-59", "60-64", "65-69", "70-74", "75-79", "80-84", "85+")</f>
        <v>55-59</v>
      </c>
      <c r="D83" t="s">
        <v>7</v>
      </c>
    </row>
    <row r="84" spans="1:4">
      <c r="A84" t="s">
        <v>6</v>
      </c>
      <c r="B84">
        <v>57</v>
      </c>
      <c r="C84" t="str">
        <f>CHOOSE(MATCH(B84, {20,25,30,35,40,45,50,55,60,65,70,75,80,85}, 1), "20-24", "25-29", "30-34", "35-39", "40-44", "45-49", "50-54", "55-59", "60-64", "65-69", "70-74", "75-79", "80-84", "85+")</f>
        <v>55-59</v>
      </c>
      <c r="D84" t="s">
        <v>8</v>
      </c>
    </row>
    <row r="85" spans="1:4">
      <c r="A85" t="s">
        <v>6</v>
      </c>
      <c r="B85">
        <v>47</v>
      </c>
      <c r="C85" t="str">
        <f>CHOOSE(MATCH(B85, {20,25,30,35,40,45,50,55,60,65,70,75,80,85}, 1), "20-24", "25-29", "30-34", "35-39", "40-44", "45-49", "50-54", "55-59", "60-64", "65-69", "70-74", "75-79", "80-84", "85+")</f>
        <v>45-49</v>
      </c>
      <c r="D85" t="s">
        <v>7</v>
      </c>
    </row>
    <row r="86" spans="1:4">
      <c r="A86" t="s">
        <v>6</v>
      </c>
      <c r="B86">
        <v>44</v>
      </c>
      <c r="C86" t="str">
        <f>CHOOSE(MATCH(B86, {20,25,30,35,40,45,50,55,60,65,70,75,80,85}, 1), "20-24", "25-29", "30-34", "35-39", "40-44", "45-49", "50-54", "55-59", "60-64", "65-69", "70-74", "75-79", "80-84", "85+")</f>
        <v>40-44</v>
      </c>
      <c r="D86" t="s">
        <v>7</v>
      </c>
    </row>
    <row r="87" spans="1:4">
      <c r="A87" t="s">
        <v>6</v>
      </c>
      <c r="B87">
        <v>54</v>
      </c>
      <c r="C87" t="str">
        <f>CHOOSE(MATCH(B87, {20,25,30,35,40,45,50,55,60,65,70,75,80,85}, 1), "20-24", "25-29", "30-34", "35-39", "40-44", "45-49", "50-54", "55-59", "60-64", "65-69", "70-74", "75-79", "80-84", "85+")</f>
        <v>50-54</v>
      </c>
      <c r="D87" t="s">
        <v>7</v>
      </c>
    </row>
    <row r="88" spans="1:4">
      <c r="A88" t="s">
        <v>6</v>
      </c>
      <c r="B88">
        <v>44</v>
      </c>
      <c r="C88" t="str">
        <f>CHOOSE(MATCH(B88, {20,25,30,35,40,45,50,55,60,65,70,75,80,85}, 1), "20-24", "25-29", "30-34", "35-39", "40-44", "45-49", "50-54", "55-59", "60-64", "65-69", "70-74", "75-79", "80-84", "85+")</f>
        <v>40-44</v>
      </c>
      <c r="D88" t="s">
        <v>7</v>
      </c>
    </row>
    <row r="89" spans="1:4">
      <c r="A89" t="s">
        <v>6</v>
      </c>
      <c r="B89">
        <v>44</v>
      </c>
      <c r="C89" t="str">
        <f>CHOOSE(MATCH(B89, {20,25,30,35,40,45,50,55,60,65,70,75,80,85}, 1), "20-24", "25-29", "30-34", "35-39", "40-44", "45-49", "50-54", "55-59", "60-64", "65-69", "70-74", "75-79", "80-84", "85+")</f>
        <v>40-44</v>
      </c>
      <c r="D89" t="s">
        <v>8</v>
      </c>
    </row>
    <row r="90" spans="1:4">
      <c r="A90" t="s">
        <v>6</v>
      </c>
      <c r="B90">
        <v>34</v>
      </c>
      <c r="C90" t="str">
        <f>CHOOSE(MATCH(B90, {20,25,30,35,40,45,50,55,60,65,70,75,80,85}, 1), "20-24", "25-29", "30-34", "35-39", "40-44", "45-49", "50-54", "55-59", "60-64", "65-69", "70-74", "75-79", "80-84", "85+")</f>
        <v>30-34</v>
      </c>
      <c r="D90" t="s">
        <v>7</v>
      </c>
    </row>
    <row r="91" spans="1:4">
      <c r="A91" t="s">
        <v>6</v>
      </c>
      <c r="B91">
        <v>25</v>
      </c>
      <c r="C91" t="str">
        <f>CHOOSE(MATCH(B91, {20,25,30,35,40,45,50,55,60,65,70,75,80,85}, 1), "20-24", "25-29", "30-34", "35-39", "40-44", "45-49", "50-54", "55-59", "60-64", "65-69", "70-74", "75-79", "80-84", "85+")</f>
        <v>25-29</v>
      </c>
      <c r="D91" t="s">
        <v>7</v>
      </c>
    </row>
    <row r="92" spans="1:4">
      <c r="A92" t="s">
        <v>6</v>
      </c>
      <c r="B92">
        <v>36</v>
      </c>
      <c r="C92" t="str">
        <f>CHOOSE(MATCH(B92, {20,25,30,35,40,45,50,55,60,65,70,75,80,85}, 1), "20-24", "25-29", "30-34", "35-39", "40-44", "45-49", "50-54", "55-59", "60-64", "65-69", "70-74", "75-79", "80-84", "85+")</f>
        <v>35-39</v>
      </c>
      <c r="D92" t="s">
        <v>8</v>
      </c>
    </row>
    <row r="93" spans="1:4">
      <c r="A93" t="s">
        <v>6</v>
      </c>
      <c r="B93">
        <v>77</v>
      </c>
      <c r="C93" t="str">
        <f>CHOOSE(MATCH(B93, {20,25,30,35,40,45,50,55,60,65,70,75,80,85}, 1), "20-24", "25-29", "30-34", "35-39", "40-44", "45-49", "50-54", "55-59", "60-64", "65-69", "70-74", "75-79", "80-84", "85+")</f>
        <v>75-79</v>
      </c>
      <c r="D93" t="s">
        <v>8</v>
      </c>
    </row>
    <row r="94" spans="1:4">
      <c r="A94" t="s">
        <v>6</v>
      </c>
      <c r="B94">
        <v>27</v>
      </c>
      <c r="C94" t="str">
        <f>CHOOSE(MATCH(B94, {20,25,30,35,40,45,50,55,60,65,70,75,80,85}, 1), "20-24", "25-29", "30-34", "35-39", "40-44", "45-49", "50-54", "55-59", "60-64", "65-69", "70-74", "75-79", "80-84", "85+")</f>
        <v>25-29</v>
      </c>
      <c r="D94" t="s">
        <v>7</v>
      </c>
    </row>
    <row r="95" spans="1:4">
      <c r="A95" t="s">
        <v>6</v>
      </c>
      <c r="B95">
        <v>41</v>
      </c>
      <c r="C95" t="str">
        <f>CHOOSE(MATCH(B95, {20,25,30,35,40,45,50,55,60,65,70,75,80,85}, 1), "20-24", "25-29", "30-34", "35-39", "40-44", "45-49", "50-54", "55-59", "60-64", "65-69", "70-74", "75-79", "80-84", "85+")</f>
        <v>40-44</v>
      </c>
      <c r="D95" t="s">
        <v>7</v>
      </c>
    </row>
    <row r="96" spans="1:4">
      <c r="A96" t="s">
        <v>6</v>
      </c>
      <c r="B96">
        <v>70</v>
      </c>
      <c r="C96" t="str">
        <f>CHOOSE(MATCH(B96, {20,25,30,35,40,45,50,55,60,65,70,75,80,85}, 1), "20-24", "25-29", "30-34", "35-39", "40-44", "45-49", "50-54", "55-59", "60-64", "65-69", "70-74", "75-79", "80-84", "85+")</f>
        <v>70-74</v>
      </c>
      <c r="D96" t="s">
        <v>7</v>
      </c>
    </row>
    <row r="97" spans="1:4">
      <c r="A97" t="s">
        <v>6</v>
      </c>
      <c r="B97">
        <v>71</v>
      </c>
      <c r="C97" t="str">
        <f>CHOOSE(MATCH(B97, {20,25,30,35,40,45,50,55,60,65,70,75,80,85}, 1), "20-24", "25-29", "30-34", "35-39", "40-44", "45-49", "50-54", "55-59", "60-64", "65-69", "70-74", "75-79", "80-84", "85+")</f>
        <v>70-74</v>
      </c>
      <c r="D97" t="s">
        <v>7</v>
      </c>
    </row>
    <row r="98" spans="1:4">
      <c r="A98" t="s">
        <v>6</v>
      </c>
      <c r="B98">
        <v>39</v>
      </c>
      <c r="C98" t="str">
        <f>CHOOSE(MATCH(B98, {20,25,30,35,40,45,50,55,60,65,70,75,80,85}, 1), "20-24", "25-29", "30-34", "35-39", "40-44", "45-49", "50-54", "55-59", "60-64", "65-69", "70-74", "75-79", "80-84", "85+")</f>
        <v>35-39</v>
      </c>
      <c r="D98" t="s">
        <v>7</v>
      </c>
    </row>
    <row r="99" spans="1:4">
      <c r="A99" t="s">
        <v>6</v>
      </c>
      <c r="B99">
        <v>22</v>
      </c>
      <c r="C99" t="str">
        <f>CHOOSE(MATCH(B99, {20,25,30,35,40,45,50,55,60,65,70,75,80,85}, 1), "20-24", "25-29", "30-34", "35-39", "40-44", "45-49", "50-54", "55-59", "60-64", "65-69", "70-74", "75-79", "80-84", "85+")</f>
        <v>20-24</v>
      </c>
      <c r="D99" t="s">
        <v>7</v>
      </c>
    </row>
    <row r="100" spans="1:4">
      <c r="A100" t="s">
        <v>6</v>
      </c>
      <c r="B100">
        <v>40</v>
      </c>
      <c r="C100" t="str">
        <f>CHOOSE(MATCH(B100, {20,25,30,35,40,45,50,55,60,65,70,75,80,85}, 1), "20-24", "25-29", "30-34", "35-39", "40-44", "45-49", "50-54", "55-59", "60-64", "65-69", "70-74", "75-79", "80-84", "85+")</f>
        <v>40-44</v>
      </c>
      <c r="D100" t="s">
        <v>7</v>
      </c>
    </row>
    <row r="101" spans="1:4">
      <c r="A101" t="s">
        <v>6</v>
      </c>
      <c r="B101">
        <v>61</v>
      </c>
      <c r="C101" t="str">
        <f>CHOOSE(MATCH(B101, {20,25,30,35,40,45,50,55,60,65,70,75,80,85}, 1), "20-24", "25-29", "30-34", "35-39", "40-44", "45-49", "50-54", "55-59", "60-64", "65-69", "70-74", "75-79", "80-84", "85+")</f>
        <v>60-64</v>
      </c>
      <c r="D101" t="s">
        <v>7</v>
      </c>
    </row>
    <row r="102" spans="1:4">
      <c r="A102" t="s">
        <v>6</v>
      </c>
      <c r="B102">
        <v>22</v>
      </c>
      <c r="C102" t="str">
        <f>CHOOSE(MATCH(B102, {20,25,30,35,40,45,50,55,60,65,70,75,80,85}, 1), "20-24", "25-29", "30-34", "35-39", "40-44", "45-49", "50-54", "55-59", "60-64", "65-69", "70-74", "75-79", "80-84", "85+")</f>
        <v>20-24</v>
      </c>
      <c r="D102" t="s">
        <v>7</v>
      </c>
    </row>
    <row r="103" spans="1:4">
      <c r="A103" t="s">
        <v>6</v>
      </c>
      <c r="B103">
        <v>44</v>
      </c>
      <c r="C103" t="str">
        <f>CHOOSE(MATCH(B103, {20,25,30,35,40,45,50,55,60,65,70,75,80,85}, 1), "20-24", "25-29", "30-34", "35-39", "40-44", "45-49", "50-54", "55-59", "60-64", "65-69", "70-74", "75-79", "80-84", "85+")</f>
        <v>40-44</v>
      </c>
      <c r="D103" t="s">
        <v>7</v>
      </c>
    </row>
    <row r="104" spans="1:4">
      <c r="A104" t="s">
        <v>6</v>
      </c>
      <c r="B104">
        <v>44</v>
      </c>
      <c r="C104" t="str">
        <f>CHOOSE(MATCH(B104, {20,25,30,35,40,45,50,55,60,65,70,75,80,85}, 1), "20-24", "25-29", "30-34", "35-39", "40-44", "45-49", "50-54", "55-59", "60-64", "65-69", "70-74", "75-79", "80-84", "85+")</f>
        <v>40-44</v>
      </c>
      <c r="D104" t="s">
        <v>7</v>
      </c>
    </row>
    <row r="105" spans="1:4">
      <c r="A105" t="s">
        <v>6</v>
      </c>
      <c r="B105">
        <v>51</v>
      </c>
      <c r="C105" t="str">
        <f>CHOOSE(MATCH(B105, {20,25,30,35,40,45,50,55,60,65,70,75,80,85}, 1), "20-24", "25-29", "30-34", "35-39", "40-44", "45-49", "50-54", "55-59", "60-64", "65-69", "70-74", "75-79", "80-84", "85+")</f>
        <v>50-54</v>
      </c>
      <c r="D105" t="s">
        <v>8</v>
      </c>
    </row>
    <row r="106" spans="1:4">
      <c r="A106" t="s">
        <v>6</v>
      </c>
      <c r="B106">
        <v>36</v>
      </c>
      <c r="C106" t="str">
        <f>CHOOSE(MATCH(B106, {20,25,30,35,40,45,50,55,60,65,70,75,80,85}, 1), "20-24", "25-29", "30-34", "35-39", "40-44", "45-49", "50-54", "55-59", "60-64", "65-69", "70-74", "75-79", "80-84", "85+")</f>
        <v>35-39</v>
      </c>
      <c r="D106" t="s">
        <v>8</v>
      </c>
    </row>
    <row r="107" spans="1:4">
      <c r="A107" t="s">
        <v>6</v>
      </c>
      <c r="B107">
        <v>32</v>
      </c>
      <c r="C107" t="str">
        <f>CHOOSE(MATCH(B107, {20,25,30,35,40,45,50,55,60,65,70,75,80,85}, 1), "20-24", "25-29", "30-34", "35-39", "40-44", "45-49", "50-54", "55-59", "60-64", "65-69", "70-74", "75-79", "80-84", "85+")</f>
        <v>30-34</v>
      </c>
      <c r="D107" t="s">
        <v>7</v>
      </c>
    </row>
    <row r="108" spans="1:4">
      <c r="A108" t="s">
        <v>6</v>
      </c>
      <c r="B108">
        <v>44</v>
      </c>
      <c r="C108" t="str">
        <f>CHOOSE(MATCH(B108, {20,25,30,35,40,45,50,55,60,65,70,75,80,85}, 1), "20-24", "25-29", "30-34", "35-39", "40-44", "45-49", "50-54", "55-59", "60-64", "65-69", "70-74", "75-79", "80-84", "85+")</f>
        <v>40-44</v>
      </c>
      <c r="D108" t="s">
        <v>7</v>
      </c>
    </row>
    <row r="109" spans="1:4">
      <c r="A109" t="s">
        <v>6</v>
      </c>
      <c r="B109">
        <v>39</v>
      </c>
      <c r="C109" t="str">
        <f>CHOOSE(MATCH(B109, {20,25,30,35,40,45,50,55,60,65,70,75,80,85}, 1), "20-24", "25-29", "30-34", "35-39", "40-44", "45-49", "50-54", "55-59", "60-64", "65-69", "70-74", "75-79", "80-84", "85+")</f>
        <v>35-39</v>
      </c>
      <c r="D109" t="s">
        <v>7</v>
      </c>
    </row>
    <row r="110" spans="1:4">
      <c r="A110" t="s">
        <v>6</v>
      </c>
      <c r="B110">
        <v>82</v>
      </c>
      <c r="C110" t="str">
        <f>CHOOSE(MATCH(B110, {20,25,30,35,40,45,50,55,60,65,70,75,80,85}, 1), "20-24", "25-29", "30-34", "35-39", "40-44", "45-49", "50-54", "55-59", "60-64", "65-69", "70-74", "75-79", "80-84", "85+")</f>
        <v>80-84</v>
      </c>
      <c r="D110" t="s">
        <v>8</v>
      </c>
    </row>
    <row r="111" spans="1:4">
      <c r="A111" t="s">
        <v>6</v>
      </c>
      <c r="B111">
        <v>24</v>
      </c>
      <c r="C111" t="str">
        <f>CHOOSE(MATCH(B111, {20,25,30,35,40,45,50,55,60,65,70,75,80,85}, 1), "20-24", "25-29", "30-34", "35-39", "40-44", "45-49", "50-54", "55-59", "60-64", "65-69", "70-74", "75-79", "80-84", "85+")</f>
        <v>20-24</v>
      </c>
      <c r="D111" t="s">
        <v>8</v>
      </c>
    </row>
    <row r="112" spans="1:4">
      <c r="A112" t="s">
        <v>6</v>
      </c>
      <c r="B112">
        <v>25</v>
      </c>
      <c r="C112" t="str">
        <f>CHOOSE(MATCH(B112, {20,25,30,35,40,45,50,55,60,65,70,75,80,85}, 1), "20-24", "25-29", "30-34", "35-39", "40-44", "45-49", "50-54", "55-59", "60-64", "65-69", "70-74", "75-79", "80-84", "85+")</f>
        <v>25-29</v>
      </c>
      <c r="D112" t="s">
        <v>7</v>
      </c>
    </row>
    <row r="113" spans="1:4">
      <c r="A113" t="s">
        <v>6</v>
      </c>
      <c r="B113">
        <v>47</v>
      </c>
      <c r="C113" t="str">
        <f>CHOOSE(MATCH(B113, {20,25,30,35,40,45,50,55,60,65,70,75,80,85}, 1), "20-24", "25-29", "30-34", "35-39", "40-44", "45-49", "50-54", "55-59", "60-64", "65-69", "70-74", "75-79", "80-84", "85+")</f>
        <v>45-49</v>
      </c>
      <c r="D113" t="s">
        <v>7</v>
      </c>
    </row>
    <row r="114" spans="1:4">
      <c r="A114" t="s">
        <v>6</v>
      </c>
      <c r="B114">
        <v>48</v>
      </c>
      <c r="C114" t="str">
        <f>CHOOSE(MATCH(B114, {20,25,30,35,40,45,50,55,60,65,70,75,80,85}, 1), "20-24", "25-29", "30-34", "35-39", "40-44", "45-49", "50-54", "55-59", "60-64", "65-69", "70-74", "75-79", "80-84", "85+")</f>
        <v>45-49</v>
      </c>
      <c r="D114" t="s">
        <v>7</v>
      </c>
    </row>
    <row r="115" spans="1:4">
      <c r="A115" t="s">
        <v>6</v>
      </c>
      <c r="B115">
        <v>39</v>
      </c>
      <c r="C115" t="str">
        <f>CHOOSE(MATCH(B115, {20,25,30,35,40,45,50,55,60,65,70,75,80,85}, 1), "20-24", "25-29", "30-34", "35-39", "40-44", "45-49", "50-54", "55-59", "60-64", "65-69", "70-74", "75-79", "80-84", "85+")</f>
        <v>35-39</v>
      </c>
      <c r="D115" t="s">
        <v>8</v>
      </c>
    </row>
    <row r="116" spans="1:4">
      <c r="A116" t="s">
        <v>6</v>
      </c>
      <c r="B116">
        <v>39</v>
      </c>
      <c r="C116" t="str">
        <f>CHOOSE(MATCH(B116, {20,25,30,35,40,45,50,55,60,65,70,75,80,85}, 1), "20-24", "25-29", "30-34", "35-39", "40-44", "45-49", "50-54", "55-59", "60-64", "65-69", "70-74", "75-79", "80-84", "85+")</f>
        <v>35-39</v>
      </c>
      <c r="D116" t="s">
        <v>7</v>
      </c>
    </row>
    <row r="117" spans="1:4">
      <c r="A117" t="s">
        <v>6</v>
      </c>
      <c r="B117">
        <v>37</v>
      </c>
      <c r="C117" t="str">
        <f>CHOOSE(MATCH(B117, {20,25,30,35,40,45,50,55,60,65,70,75,80,85}, 1), "20-24", "25-29", "30-34", "35-39", "40-44", "45-49", "50-54", "55-59", "60-64", "65-69", "70-74", "75-79", "80-84", "85+")</f>
        <v>35-39</v>
      </c>
      <c r="D117" t="s">
        <v>7</v>
      </c>
    </row>
    <row r="118" spans="1:4">
      <c r="A118" t="s">
        <v>6</v>
      </c>
      <c r="B118">
        <v>35</v>
      </c>
      <c r="C118" t="str">
        <f>CHOOSE(MATCH(B118, {20,25,30,35,40,45,50,55,60,65,70,75,80,85}, 1), "20-24", "25-29", "30-34", "35-39", "40-44", "45-49", "50-54", "55-59", "60-64", "65-69", "70-74", "75-79", "80-84", "85+")</f>
        <v>35-39</v>
      </c>
      <c r="D118" t="s">
        <v>7</v>
      </c>
    </row>
    <row r="119" spans="1:4">
      <c r="A119" t="s">
        <v>6</v>
      </c>
      <c r="B119">
        <v>37</v>
      </c>
      <c r="C119" t="str">
        <f>CHOOSE(MATCH(B119, {20,25,30,35,40,45,50,55,60,65,70,75,80,85}, 1), "20-24", "25-29", "30-34", "35-39", "40-44", "45-49", "50-54", "55-59", "60-64", "65-69", "70-74", "75-79", "80-84", "85+")</f>
        <v>35-39</v>
      </c>
      <c r="D119" t="s">
        <v>7</v>
      </c>
    </row>
    <row r="120" spans="1:4">
      <c r="A120" t="s">
        <v>6</v>
      </c>
      <c r="B120">
        <v>48</v>
      </c>
      <c r="C120" t="str">
        <f>CHOOSE(MATCH(B120, {20,25,30,35,40,45,50,55,60,65,70,75,80,85}, 1), "20-24", "25-29", "30-34", "35-39", "40-44", "45-49", "50-54", "55-59", "60-64", "65-69", "70-74", "75-79", "80-84", "85+")</f>
        <v>45-49</v>
      </c>
      <c r="D120" t="s">
        <v>8</v>
      </c>
    </row>
    <row r="121" spans="1:4">
      <c r="A121" t="s">
        <v>6</v>
      </c>
      <c r="B121">
        <v>23</v>
      </c>
      <c r="C121" t="str">
        <f>CHOOSE(MATCH(B121, {20,25,30,35,40,45,50,55,60,65,70,75,80,85}, 1), "20-24", "25-29", "30-34", "35-39", "40-44", "45-49", "50-54", "55-59", "60-64", "65-69", "70-74", "75-79", "80-84", "85+")</f>
        <v>20-24</v>
      </c>
      <c r="D121" t="s">
        <v>8</v>
      </c>
    </row>
    <row r="122" spans="1:4">
      <c r="A122" t="s">
        <v>6</v>
      </c>
      <c r="B122">
        <v>36</v>
      </c>
      <c r="C122" t="str">
        <f>CHOOSE(MATCH(B122, {20,25,30,35,40,45,50,55,60,65,70,75,80,85}, 1), "20-24", "25-29", "30-34", "35-39", "40-44", "45-49", "50-54", "55-59", "60-64", "65-69", "70-74", "75-79", "80-84", "85+")</f>
        <v>35-39</v>
      </c>
      <c r="D122" t="s">
        <v>8</v>
      </c>
    </row>
    <row r="123" spans="1:4">
      <c r="A123" t="s">
        <v>6</v>
      </c>
      <c r="B123">
        <v>33</v>
      </c>
      <c r="C123" t="str">
        <f>CHOOSE(MATCH(B123, {20,25,30,35,40,45,50,55,60,65,70,75,80,85}, 1), "20-24", "25-29", "30-34", "35-39", "40-44", "45-49", "50-54", "55-59", "60-64", "65-69", "70-74", "75-79", "80-84", "85+")</f>
        <v>30-34</v>
      </c>
      <c r="D123" t="s">
        <v>7</v>
      </c>
    </row>
    <row r="124" spans="1:4">
      <c r="A124" t="s">
        <v>6</v>
      </c>
      <c r="B124">
        <v>35</v>
      </c>
      <c r="C124" t="str">
        <f>CHOOSE(MATCH(B124, {20,25,30,35,40,45,50,55,60,65,70,75,80,85}, 1), "20-24", "25-29", "30-34", "35-39", "40-44", "45-49", "50-54", "55-59", "60-64", "65-69", "70-74", "75-79", "80-84", "85+")</f>
        <v>35-39</v>
      </c>
      <c r="D124" t="s">
        <v>8</v>
      </c>
    </row>
    <row r="125" spans="1:4">
      <c r="A125" t="s">
        <v>6</v>
      </c>
      <c r="B125">
        <v>56</v>
      </c>
      <c r="C125" t="str">
        <f>CHOOSE(MATCH(B125, {20,25,30,35,40,45,50,55,60,65,70,75,80,85}, 1), "20-24", "25-29", "30-34", "35-39", "40-44", "45-49", "50-54", "55-59", "60-64", "65-69", "70-74", "75-79", "80-84", "85+")</f>
        <v>55-59</v>
      </c>
      <c r="D125" t="s">
        <v>8</v>
      </c>
    </row>
    <row r="126" spans="1:4">
      <c r="A126" t="s">
        <v>6</v>
      </c>
      <c r="B126">
        <v>35</v>
      </c>
      <c r="C126" t="str">
        <f>CHOOSE(MATCH(B126, {20,25,30,35,40,45,50,55,60,65,70,75,80,85}, 1), "20-24", "25-29", "30-34", "35-39", "40-44", "45-49", "50-54", "55-59", "60-64", "65-69", "70-74", "75-79", "80-84", "85+")</f>
        <v>35-39</v>
      </c>
      <c r="D126" t="s">
        <v>7</v>
      </c>
    </row>
    <row r="127" spans="1:4">
      <c r="A127" t="s">
        <v>6</v>
      </c>
      <c r="B127">
        <v>41</v>
      </c>
      <c r="C127" t="str">
        <f>CHOOSE(MATCH(B127, {20,25,30,35,40,45,50,55,60,65,70,75,80,85}, 1), "20-24", "25-29", "30-34", "35-39", "40-44", "45-49", "50-54", "55-59", "60-64", "65-69", "70-74", "75-79", "80-84", "85+")</f>
        <v>40-44</v>
      </c>
      <c r="D127" t="s">
        <v>7</v>
      </c>
    </row>
    <row r="128" spans="1:4">
      <c r="A128" t="s">
        <v>6</v>
      </c>
      <c r="B128">
        <v>67</v>
      </c>
      <c r="C128" t="str">
        <f>CHOOSE(MATCH(B128, {20,25,30,35,40,45,50,55,60,65,70,75,80,85}, 1), "20-24", "25-29", "30-34", "35-39", "40-44", "45-49", "50-54", "55-59", "60-64", "65-69", "70-74", "75-79", "80-84", "85+")</f>
        <v>65-69</v>
      </c>
      <c r="D128" t="s">
        <v>7</v>
      </c>
    </row>
    <row r="129" spans="1:4">
      <c r="A129" t="s">
        <v>6</v>
      </c>
      <c r="B129">
        <v>38</v>
      </c>
      <c r="C129" t="str">
        <f>CHOOSE(MATCH(B129, {20,25,30,35,40,45,50,55,60,65,70,75,80,85}, 1), "20-24", "25-29", "30-34", "35-39", "40-44", "45-49", "50-54", "55-59", "60-64", "65-69", "70-74", "75-79", "80-84", "85+")</f>
        <v>35-39</v>
      </c>
      <c r="D129" t="s">
        <v>7</v>
      </c>
    </row>
    <row r="130" spans="1:4">
      <c r="A130" t="s">
        <v>6</v>
      </c>
      <c r="B130">
        <v>30</v>
      </c>
      <c r="C130" t="str">
        <f>CHOOSE(MATCH(B130, {20,25,30,35,40,45,50,55,60,65,70,75,80,85}, 1), "20-24", "25-29", "30-34", "35-39", "40-44", "45-49", "50-54", "55-59", "60-64", "65-69", "70-74", "75-79", "80-84", "85+")</f>
        <v>30-34</v>
      </c>
      <c r="D130" t="s">
        <v>7</v>
      </c>
    </row>
    <row r="131" spans="1:4">
      <c r="A131" t="s">
        <v>6</v>
      </c>
      <c r="B131">
        <v>23</v>
      </c>
      <c r="C131" t="str">
        <f>CHOOSE(MATCH(B131, {20,25,30,35,40,45,50,55,60,65,70,75,80,85}, 1), "20-24", "25-29", "30-34", "35-39", "40-44", "45-49", "50-54", "55-59", "60-64", "65-69", "70-74", "75-79", "80-84", "85+")</f>
        <v>20-24</v>
      </c>
      <c r="D131" t="s">
        <v>7</v>
      </c>
    </row>
    <row r="132" spans="1:4">
      <c r="A132" t="s">
        <v>6</v>
      </c>
      <c r="B132">
        <v>46</v>
      </c>
      <c r="C132" t="str">
        <f>CHOOSE(MATCH(B132, {20,25,30,35,40,45,50,55,60,65,70,75,80,85}, 1), "20-24", "25-29", "30-34", "35-39", "40-44", "45-49", "50-54", "55-59", "60-64", "65-69", "70-74", "75-79", "80-84", "85+")</f>
        <v>45-49</v>
      </c>
      <c r="D132" t="s">
        <v>7</v>
      </c>
    </row>
    <row r="133" spans="1:4">
      <c r="A133" t="s">
        <v>6</v>
      </c>
      <c r="B133">
        <v>64</v>
      </c>
      <c r="C133" t="str">
        <f>CHOOSE(MATCH(B133, {20,25,30,35,40,45,50,55,60,65,70,75,80,85}, 1), "20-24", "25-29", "30-34", "35-39", "40-44", "45-49", "50-54", "55-59", "60-64", "65-69", "70-74", "75-79", "80-84", "85+")</f>
        <v>60-64</v>
      </c>
      <c r="D133" t="s">
        <v>8</v>
      </c>
    </row>
    <row r="134" spans="1:4">
      <c r="A134" t="s">
        <v>6</v>
      </c>
      <c r="B134">
        <v>56</v>
      </c>
      <c r="C134" t="str">
        <f>CHOOSE(MATCH(B134, {20,25,30,35,40,45,50,55,60,65,70,75,80,85}, 1), "20-24", "25-29", "30-34", "35-39", "40-44", "45-49", "50-54", "55-59", "60-64", "65-69", "70-74", "75-79", "80-84", "85+")</f>
        <v>55-59</v>
      </c>
      <c r="D134" t="s">
        <v>7</v>
      </c>
    </row>
    <row r="135" spans="1:4">
      <c r="A135" t="s">
        <v>6</v>
      </c>
      <c r="B135">
        <v>32</v>
      </c>
      <c r="C135" t="str">
        <f>CHOOSE(MATCH(B135, {20,25,30,35,40,45,50,55,60,65,70,75,80,85}, 1), "20-24", "25-29", "30-34", "35-39", "40-44", "45-49", "50-54", "55-59", "60-64", "65-69", "70-74", "75-79", "80-84", "85+")</f>
        <v>30-34</v>
      </c>
      <c r="D135" t="s">
        <v>8</v>
      </c>
    </row>
    <row r="136" spans="1:4">
      <c r="A136" t="s">
        <v>6</v>
      </c>
      <c r="B136">
        <v>32</v>
      </c>
      <c r="C136" t="str">
        <f>CHOOSE(MATCH(B136, {20,25,30,35,40,45,50,55,60,65,70,75,80,85}, 1), "20-24", "25-29", "30-34", "35-39", "40-44", "45-49", "50-54", "55-59", "60-64", "65-69", "70-74", "75-79", "80-84", "85+")</f>
        <v>30-34</v>
      </c>
      <c r="D136" t="s">
        <v>8</v>
      </c>
    </row>
    <row r="137" spans="1:4">
      <c r="A137" t="s">
        <v>6</v>
      </c>
      <c r="B137">
        <v>29</v>
      </c>
      <c r="C137" t="str">
        <f>CHOOSE(MATCH(B137, {20,25,30,35,40,45,50,55,60,65,70,75,80,85}, 1), "20-24", "25-29", "30-34", "35-39", "40-44", "45-49", "50-54", "55-59", "60-64", "65-69", "70-74", "75-79", "80-84", "85+")</f>
        <v>25-29</v>
      </c>
      <c r="D137" t="s">
        <v>8</v>
      </c>
    </row>
    <row r="138" spans="1:4">
      <c r="A138" t="s">
        <v>6</v>
      </c>
      <c r="B138">
        <v>69</v>
      </c>
      <c r="C138" t="str">
        <f>CHOOSE(MATCH(B138, {20,25,30,35,40,45,50,55,60,65,70,75,80,85}, 1), "20-24", "25-29", "30-34", "35-39", "40-44", "45-49", "50-54", "55-59", "60-64", "65-69", "70-74", "75-79", "80-84", "85+")</f>
        <v>65-69</v>
      </c>
      <c r="D138" t="s">
        <v>7</v>
      </c>
    </row>
    <row r="139" spans="1:4">
      <c r="A139" t="s">
        <v>6</v>
      </c>
      <c r="B139">
        <v>87</v>
      </c>
      <c r="C139" t="str">
        <f>CHOOSE(MATCH(B139, {20,25,30,35,40,45,50,55,60,65,70,75,80,85}, 1), "20-24", "25-29", "30-34", "35-39", "40-44", "45-49", "50-54", "55-59", "60-64", "65-69", "70-74", "75-79", "80-84", "85+")</f>
        <v>85+</v>
      </c>
      <c r="D139" t="s">
        <v>7</v>
      </c>
    </row>
    <row r="140" spans="1:4">
      <c r="A140" t="s">
        <v>6</v>
      </c>
      <c r="B140">
        <v>32</v>
      </c>
      <c r="C140" t="str">
        <f>CHOOSE(MATCH(B140, {20,25,30,35,40,45,50,55,60,65,70,75,80,85}, 1), "20-24", "25-29", "30-34", "35-39", "40-44", "45-49", "50-54", "55-59", "60-64", "65-69", "70-74", "75-79", "80-84", "85+")</f>
        <v>30-34</v>
      </c>
      <c r="D140" t="s">
        <v>7</v>
      </c>
    </row>
    <row r="141" spans="1:4">
      <c r="A141" t="s">
        <v>6</v>
      </c>
      <c r="B141">
        <v>20</v>
      </c>
      <c r="C141" t="str">
        <f>CHOOSE(MATCH(B141, {20,25,30,35,40,45,50,55,60,65,70,75,80,85}, 1), "20-24", "25-29", "30-34", "35-39", "40-44", "45-49", "50-54", "55-59", "60-64", "65-69", "70-74", "75-79", "80-84", "85+")</f>
        <v>20-24</v>
      </c>
      <c r="D141" t="s">
        <v>8</v>
      </c>
    </row>
    <row r="142" spans="1:4">
      <c r="A142" t="s">
        <v>6</v>
      </c>
      <c r="B142">
        <v>37</v>
      </c>
      <c r="C142" t="str">
        <f>CHOOSE(MATCH(B142, {20,25,30,35,40,45,50,55,60,65,70,75,80,85}, 1), "20-24", "25-29", "30-34", "35-39", "40-44", "45-49", "50-54", "55-59", "60-64", "65-69", "70-74", "75-79", "80-84", "85+")</f>
        <v>35-39</v>
      </c>
      <c r="D142" t="s">
        <v>7</v>
      </c>
    </row>
    <row r="143" spans="1:4">
      <c r="A143" t="s">
        <v>6</v>
      </c>
      <c r="B143">
        <v>36</v>
      </c>
      <c r="C143" t="str">
        <f>CHOOSE(MATCH(B143, {20,25,30,35,40,45,50,55,60,65,70,75,80,85}, 1), "20-24", "25-29", "30-34", "35-39", "40-44", "45-49", "50-54", "55-59", "60-64", "65-69", "70-74", "75-79", "80-84", "85+")</f>
        <v>35-39</v>
      </c>
      <c r="D143" t="s">
        <v>7</v>
      </c>
    </row>
    <row r="144" spans="1:4">
      <c r="A144" t="s">
        <v>6</v>
      </c>
      <c r="B144">
        <v>26</v>
      </c>
      <c r="C144" t="str">
        <f>CHOOSE(MATCH(B144, {20,25,30,35,40,45,50,55,60,65,70,75,80,85}, 1), "20-24", "25-29", "30-34", "35-39", "40-44", "45-49", "50-54", "55-59", "60-64", "65-69", "70-74", "75-79", "80-84", "85+")</f>
        <v>25-29</v>
      </c>
      <c r="D144" t="s">
        <v>7</v>
      </c>
    </row>
    <row r="145" spans="1:4">
      <c r="A145" t="s">
        <v>6</v>
      </c>
      <c r="B145">
        <v>49</v>
      </c>
      <c r="C145" t="str">
        <f>CHOOSE(MATCH(B145, {20,25,30,35,40,45,50,55,60,65,70,75,80,85}, 1), "20-24", "25-29", "30-34", "35-39", "40-44", "45-49", "50-54", "55-59", "60-64", "65-69", "70-74", "75-79", "80-84", "85+")</f>
        <v>45-49</v>
      </c>
      <c r="D145" t="s">
        <v>8</v>
      </c>
    </row>
    <row r="146" spans="1:4">
      <c r="A146" t="s">
        <v>6</v>
      </c>
      <c r="B146">
        <v>39</v>
      </c>
      <c r="C146" t="str">
        <f>CHOOSE(MATCH(B146, {20,25,30,35,40,45,50,55,60,65,70,75,80,85}, 1), "20-24", "25-29", "30-34", "35-39", "40-44", "45-49", "50-54", "55-59", "60-64", "65-69", "70-74", "75-79", "80-84", "85+")</f>
        <v>35-39</v>
      </c>
      <c r="D146" t="s">
        <v>7</v>
      </c>
    </row>
    <row r="147" spans="1:4">
      <c r="A147" t="s">
        <v>6</v>
      </c>
      <c r="B147">
        <v>34</v>
      </c>
      <c r="C147" t="str">
        <f>CHOOSE(MATCH(B147, {20,25,30,35,40,45,50,55,60,65,70,75,80,85}, 1), "20-24", "25-29", "30-34", "35-39", "40-44", "45-49", "50-54", "55-59", "60-64", "65-69", "70-74", "75-79", "80-84", "85+")</f>
        <v>30-34</v>
      </c>
      <c r="D147" t="s">
        <v>8</v>
      </c>
    </row>
    <row r="148" spans="1:4">
      <c r="A148" t="s">
        <v>6</v>
      </c>
      <c r="B148">
        <v>42</v>
      </c>
      <c r="C148" t="str">
        <f>CHOOSE(MATCH(B148, {20,25,30,35,40,45,50,55,60,65,70,75,80,85}, 1), "20-24", "25-29", "30-34", "35-39", "40-44", "45-49", "50-54", "55-59", "60-64", "65-69", "70-74", "75-79", "80-84", "85+")</f>
        <v>40-44</v>
      </c>
      <c r="D148" t="s">
        <v>7</v>
      </c>
    </row>
    <row r="149" spans="1:4">
      <c r="A149" t="s">
        <v>6</v>
      </c>
      <c r="B149">
        <v>23</v>
      </c>
      <c r="C149" t="str">
        <f>CHOOSE(MATCH(B149, {20,25,30,35,40,45,50,55,60,65,70,75,80,85}, 1), "20-24", "25-29", "30-34", "35-39", "40-44", "45-49", "50-54", "55-59", "60-64", "65-69", "70-74", "75-79", "80-84", "85+")</f>
        <v>20-24</v>
      </c>
      <c r="D149" t="s">
        <v>7</v>
      </c>
    </row>
    <row r="150" spans="1:4">
      <c r="A150" t="s">
        <v>6</v>
      </c>
      <c r="B150">
        <v>39</v>
      </c>
      <c r="C150" t="str">
        <f>CHOOSE(MATCH(B150, {20,25,30,35,40,45,50,55,60,65,70,75,80,85}, 1), "20-24", "25-29", "30-34", "35-39", "40-44", "45-49", "50-54", "55-59", "60-64", "65-69", "70-74", "75-79", "80-84", "85+")</f>
        <v>35-39</v>
      </c>
      <c r="D150" t="s">
        <v>7</v>
      </c>
    </row>
    <row r="151" spans="1:4">
      <c r="A151" t="s">
        <v>6</v>
      </c>
      <c r="B151">
        <v>29</v>
      </c>
      <c r="C151" t="str">
        <f>CHOOSE(MATCH(B151, {20,25,30,35,40,45,50,55,60,65,70,75,80,85}, 1), "20-24", "25-29", "30-34", "35-39", "40-44", "45-49", "50-54", "55-59", "60-64", "65-69", "70-74", "75-79", "80-84", "85+")</f>
        <v>25-29</v>
      </c>
      <c r="D151" t="s">
        <v>7</v>
      </c>
    </row>
    <row r="152" spans="1:4">
      <c r="A152" t="s">
        <v>6</v>
      </c>
      <c r="B152">
        <v>29</v>
      </c>
      <c r="C152" t="str">
        <f>CHOOSE(MATCH(B152, {20,25,30,35,40,45,50,55,60,65,70,75,80,85}, 1), "20-24", "25-29", "30-34", "35-39", "40-44", "45-49", "50-54", "55-59", "60-64", "65-69", "70-74", "75-79", "80-84", "85+")</f>
        <v>25-29</v>
      </c>
      <c r="D152" t="s">
        <v>7</v>
      </c>
    </row>
    <row r="153" spans="1:4">
      <c r="A153" t="s">
        <v>6</v>
      </c>
      <c r="B153">
        <v>53</v>
      </c>
      <c r="C153" t="str">
        <f>CHOOSE(MATCH(B153, {20,25,30,35,40,45,50,55,60,65,70,75,80,85}, 1), "20-24", "25-29", "30-34", "35-39", "40-44", "45-49", "50-54", "55-59", "60-64", "65-69", "70-74", "75-79", "80-84", "85+")</f>
        <v>50-54</v>
      </c>
      <c r="D153" t="s">
        <v>8</v>
      </c>
    </row>
    <row r="154" spans="1:4">
      <c r="A154" t="s">
        <v>6</v>
      </c>
      <c r="B154">
        <v>31</v>
      </c>
      <c r="C154" t="str">
        <f>CHOOSE(MATCH(B154, {20,25,30,35,40,45,50,55,60,65,70,75,80,85}, 1), "20-24", "25-29", "30-34", "35-39", "40-44", "45-49", "50-54", "55-59", "60-64", "65-69", "70-74", "75-79", "80-84", "85+")</f>
        <v>30-34</v>
      </c>
      <c r="D154" t="s">
        <v>7</v>
      </c>
    </row>
    <row r="155" spans="1:4">
      <c r="A155" t="s">
        <v>6</v>
      </c>
      <c r="B155">
        <v>23</v>
      </c>
      <c r="C155" t="str">
        <f>CHOOSE(MATCH(B155, {20,25,30,35,40,45,50,55,60,65,70,75,80,85}, 1), "20-24", "25-29", "30-34", "35-39", "40-44", "45-49", "50-54", "55-59", "60-64", "65-69", "70-74", "75-79", "80-84", "85+")</f>
        <v>20-24</v>
      </c>
      <c r="D155" t="s">
        <v>7</v>
      </c>
    </row>
    <row r="156" spans="1:4">
      <c r="A156" t="s">
        <v>6</v>
      </c>
      <c r="B156">
        <v>43</v>
      </c>
      <c r="C156" t="str">
        <f>CHOOSE(MATCH(B156, {20,25,30,35,40,45,50,55,60,65,70,75,80,85}, 1), "20-24", "25-29", "30-34", "35-39", "40-44", "45-49", "50-54", "55-59", "60-64", "65-69", "70-74", "75-79", "80-84", "85+")</f>
        <v>40-44</v>
      </c>
      <c r="D156" t="s">
        <v>7</v>
      </c>
    </row>
    <row r="157" spans="1:4">
      <c r="A157" t="s">
        <v>6</v>
      </c>
      <c r="B157">
        <v>32</v>
      </c>
      <c r="C157" t="str">
        <f>CHOOSE(MATCH(B157, {20,25,30,35,40,45,50,55,60,65,70,75,80,85}, 1), "20-24", "25-29", "30-34", "35-39", "40-44", "45-49", "50-54", "55-59", "60-64", "65-69", "70-74", "75-79", "80-84", "85+")</f>
        <v>30-34</v>
      </c>
      <c r="D157" t="s">
        <v>7</v>
      </c>
    </row>
    <row r="158" spans="1:4">
      <c r="A158" t="s">
        <v>6</v>
      </c>
      <c r="B158">
        <v>42</v>
      </c>
      <c r="C158" t="str">
        <f>CHOOSE(MATCH(B158, {20,25,30,35,40,45,50,55,60,65,70,75,80,85}, 1), "20-24", "25-29", "30-34", "35-39", "40-44", "45-49", "50-54", "55-59", "60-64", "65-69", "70-74", "75-79", "80-84", "85+")</f>
        <v>40-44</v>
      </c>
      <c r="D158" t="s">
        <v>8</v>
      </c>
    </row>
    <row r="159" spans="1:4">
      <c r="A159" t="s">
        <v>6</v>
      </c>
      <c r="B159">
        <v>38</v>
      </c>
      <c r="C159" t="str">
        <f>CHOOSE(MATCH(B159, {20,25,30,35,40,45,50,55,60,65,70,75,80,85}, 1), "20-24", "25-29", "30-34", "35-39", "40-44", "45-49", "50-54", "55-59", "60-64", "65-69", "70-74", "75-79", "80-84", "85+")</f>
        <v>35-39</v>
      </c>
      <c r="D159" t="s">
        <v>7</v>
      </c>
    </row>
    <row r="160" spans="1:4">
      <c r="A160" t="s">
        <v>6</v>
      </c>
      <c r="B160">
        <v>40</v>
      </c>
      <c r="C160" t="str">
        <f>CHOOSE(MATCH(B160, {20,25,30,35,40,45,50,55,60,65,70,75,80,85}, 1), "20-24", "25-29", "30-34", "35-39", "40-44", "45-49", "50-54", "55-59", "60-64", "65-69", "70-74", "75-79", "80-84", "85+")</f>
        <v>40-44</v>
      </c>
      <c r="D160" t="s">
        <v>8</v>
      </c>
    </row>
    <row r="161" spans="1:4">
      <c r="A161" t="s">
        <v>6</v>
      </c>
      <c r="B161">
        <v>34</v>
      </c>
      <c r="C161" t="str">
        <f>CHOOSE(MATCH(B161, {20,25,30,35,40,45,50,55,60,65,70,75,80,85}, 1), "20-24", "25-29", "30-34", "35-39", "40-44", "45-49", "50-54", "55-59", "60-64", "65-69", "70-74", "75-79", "80-84", "85+")</f>
        <v>30-34</v>
      </c>
      <c r="D161" t="s">
        <v>8</v>
      </c>
    </row>
    <row r="162" spans="1:4">
      <c r="A162" t="s">
        <v>6</v>
      </c>
      <c r="B162">
        <v>43</v>
      </c>
      <c r="C162" t="str">
        <f>CHOOSE(MATCH(B162, {20,25,30,35,40,45,50,55,60,65,70,75,80,85}, 1), "20-24", "25-29", "30-34", "35-39", "40-44", "45-49", "50-54", "55-59", "60-64", "65-69", "70-74", "75-79", "80-84", "85+")</f>
        <v>40-44</v>
      </c>
      <c r="D162" t="s">
        <v>8</v>
      </c>
    </row>
    <row r="163" spans="1:4">
      <c r="A163" t="s">
        <v>6</v>
      </c>
      <c r="B163">
        <v>53</v>
      </c>
      <c r="C163" t="str">
        <f>CHOOSE(MATCH(B163, {20,25,30,35,40,45,50,55,60,65,70,75,80,85}, 1), "20-24", "25-29", "30-34", "35-39", "40-44", "45-49", "50-54", "55-59", "60-64", "65-69", "70-74", "75-79", "80-84", "85+")</f>
        <v>50-54</v>
      </c>
      <c r="D163" t="s">
        <v>7</v>
      </c>
    </row>
    <row r="164" spans="1:4">
      <c r="A164" t="s">
        <v>6</v>
      </c>
      <c r="B164">
        <v>31</v>
      </c>
      <c r="C164" t="str">
        <f>CHOOSE(MATCH(B164, {20,25,30,35,40,45,50,55,60,65,70,75,80,85}, 1), "20-24", "25-29", "30-34", "35-39", "40-44", "45-49", "50-54", "55-59", "60-64", "65-69", "70-74", "75-79", "80-84", "85+")</f>
        <v>30-34</v>
      </c>
      <c r="D164" t="s">
        <v>8</v>
      </c>
    </row>
    <row r="165" spans="1:4">
      <c r="A165" t="s">
        <v>6</v>
      </c>
      <c r="B165">
        <v>30</v>
      </c>
      <c r="C165" t="str">
        <f>CHOOSE(MATCH(B165, {20,25,30,35,40,45,50,55,60,65,70,75,80,85}, 1), "20-24", "25-29", "30-34", "35-39", "40-44", "45-49", "50-54", "55-59", "60-64", "65-69", "70-74", "75-79", "80-84", "85+")</f>
        <v>30-34</v>
      </c>
      <c r="D165" t="s">
        <v>8</v>
      </c>
    </row>
    <row r="166" spans="1:4">
      <c r="A166" t="s">
        <v>6</v>
      </c>
      <c r="B166">
        <v>38</v>
      </c>
      <c r="C166" t="str">
        <f>CHOOSE(MATCH(B166, {20,25,30,35,40,45,50,55,60,65,70,75,80,85}, 1), "20-24", "25-29", "30-34", "35-39", "40-44", "45-49", "50-54", "55-59", "60-64", "65-69", "70-74", "75-79", "80-84", "85+")</f>
        <v>35-39</v>
      </c>
      <c r="D166" t="s">
        <v>7</v>
      </c>
    </row>
    <row r="167" spans="1:4">
      <c r="A167" t="s">
        <v>6</v>
      </c>
      <c r="B167">
        <v>68</v>
      </c>
      <c r="C167" t="str">
        <f>CHOOSE(MATCH(B167, {20,25,30,35,40,45,50,55,60,65,70,75,80,85}, 1), "20-24", "25-29", "30-34", "35-39", "40-44", "45-49", "50-54", "55-59", "60-64", "65-69", "70-74", "75-79", "80-84", "85+")</f>
        <v>65-69</v>
      </c>
      <c r="D167" t="s">
        <v>8</v>
      </c>
    </row>
    <row r="168" spans="1:4">
      <c r="A168" t="s">
        <v>6</v>
      </c>
      <c r="B168">
        <v>59</v>
      </c>
      <c r="C168" t="str">
        <f>CHOOSE(MATCH(B168, {20,25,30,35,40,45,50,55,60,65,70,75,80,85}, 1), "20-24", "25-29", "30-34", "35-39", "40-44", "45-49", "50-54", "55-59", "60-64", "65-69", "70-74", "75-79", "80-84", "85+")</f>
        <v>55-59</v>
      </c>
      <c r="D168" t="s">
        <v>8</v>
      </c>
    </row>
    <row r="169" spans="1:4">
      <c r="A169" t="s">
        <v>6</v>
      </c>
      <c r="B169">
        <v>34</v>
      </c>
      <c r="C169" t="str">
        <f>CHOOSE(MATCH(B169, {20,25,30,35,40,45,50,55,60,65,70,75,80,85}, 1), "20-24", "25-29", "30-34", "35-39", "40-44", "45-49", "50-54", "55-59", "60-64", "65-69", "70-74", "75-79", "80-84", "85+")</f>
        <v>30-34</v>
      </c>
      <c r="D169" t="s">
        <v>8</v>
      </c>
    </row>
    <row r="170" spans="1:4">
      <c r="A170" t="s">
        <v>6</v>
      </c>
      <c r="B170">
        <v>36</v>
      </c>
      <c r="C170" t="str">
        <f>CHOOSE(MATCH(B170, {20,25,30,35,40,45,50,55,60,65,70,75,80,85}, 1), "20-24", "25-29", "30-34", "35-39", "40-44", "45-49", "50-54", "55-59", "60-64", "65-69", "70-74", "75-79", "80-84", "85+")</f>
        <v>35-39</v>
      </c>
      <c r="D170" t="s">
        <v>7</v>
      </c>
    </row>
    <row r="171" spans="1:4">
      <c r="A171" t="s">
        <v>6</v>
      </c>
      <c r="B171">
        <v>52</v>
      </c>
      <c r="C171" t="str">
        <f>CHOOSE(MATCH(B171, {20,25,30,35,40,45,50,55,60,65,70,75,80,85}, 1), "20-24", "25-29", "30-34", "35-39", "40-44", "45-49", "50-54", "55-59", "60-64", "65-69", "70-74", "75-79", "80-84", "85+")</f>
        <v>50-54</v>
      </c>
      <c r="D171" t="s">
        <v>8</v>
      </c>
    </row>
    <row r="172" spans="1:4">
      <c r="A172" t="s">
        <v>6</v>
      </c>
      <c r="B172">
        <v>24</v>
      </c>
      <c r="C172" t="str">
        <f>CHOOSE(MATCH(B172, {20,25,30,35,40,45,50,55,60,65,70,75,80,85}, 1), "20-24", "25-29", "30-34", "35-39", "40-44", "45-49", "50-54", "55-59", "60-64", "65-69", "70-74", "75-79", "80-84", "85+")</f>
        <v>20-24</v>
      </c>
      <c r="D172" t="s">
        <v>8</v>
      </c>
    </row>
    <row r="173" spans="1:4">
      <c r="A173" t="s">
        <v>6</v>
      </c>
      <c r="B173">
        <v>30</v>
      </c>
      <c r="C173" t="str">
        <f>CHOOSE(MATCH(B173, {20,25,30,35,40,45,50,55,60,65,70,75,80,85}, 1), "20-24", "25-29", "30-34", "35-39", "40-44", "45-49", "50-54", "55-59", "60-64", "65-69", "70-74", "75-79", "80-84", "85+")</f>
        <v>30-34</v>
      </c>
      <c r="D173" t="s">
        <v>8</v>
      </c>
    </row>
    <row r="174" spans="1:4">
      <c r="A174" t="s">
        <v>6</v>
      </c>
      <c r="B174">
        <v>89</v>
      </c>
      <c r="C174" t="str">
        <f>CHOOSE(MATCH(B174, {20,25,30,35,40,45,50,55,60,65,70,75,80,85}, 1), "20-24", "25-29", "30-34", "35-39", "40-44", "45-49", "50-54", "55-59", "60-64", "65-69", "70-74", "75-79", "80-84", "85+")</f>
        <v>85+</v>
      </c>
      <c r="D174" t="s">
        <v>7</v>
      </c>
    </row>
    <row r="175" spans="1:4">
      <c r="A175" t="s">
        <v>6</v>
      </c>
      <c r="B175">
        <v>30</v>
      </c>
      <c r="C175" t="str">
        <f>CHOOSE(MATCH(B175, {20,25,30,35,40,45,50,55,60,65,70,75,80,85}, 1), "20-24", "25-29", "30-34", "35-39", "40-44", "45-49", "50-54", "55-59", "60-64", "65-69", "70-74", "75-79", "80-84", "85+")</f>
        <v>30-34</v>
      </c>
      <c r="D175" t="s">
        <v>7</v>
      </c>
    </row>
    <row r="176" spans="1:4">
      <c r="A176" t="s">
        <v>6</v>
      </c>
      <c r="B176">
        <v>63</v>
      </c>
      <c r="C176" t="str">
        <f>CHOOSE(MATCH(B176, {20,25,30,35,40,45,50,55,60,65,70,75,80,85}, 1), "20-24", "25-29", "30-34", "35-39", "40-44", "45-49", "50-54", "55-59", "60-64", "65-69", "70-74", "75-79", "80-84", "85+")</f>
        <v>60-64</v>
      </c>
      <c r="D176" t="s">
        <v>8</v>
      </c>
    </row>
    <row r="177" spans="1:4">
      <c r="A177" t="s">
        <v>6</v>
      </c>
      <c r="B177">
        <v>30</v>
      </c>
      <c r="C177" t="str">
        <f>CHOOSE(MATCH(B177, {20,25,30,35,40,45,50,55,60,65,70,75,80,85}, 1), "20-24", "25-29", "30-34", "35-39", "40-44", "45-49", "50-54", "55-59", "60-64", "65-69", "70-74", "75-79", "80-84", "85+")</f>
        <v>30-34</v>
      </c>
      <c r="D177" t="s">
        <v>8</v>
      </c>
    </row>
    <row r="178" spans="1:4">
      <c r="A178" t="s">
        <v>6</v>
      </c>
      <c r="B178">
        <v>48</v>
      </c>
      <c r="C178" t="str">
        <f>CHOOSE(MATCH(B178, {20,25,30,35,40,45,50,55,60,65,70,75,80,85}, 1), "20-24", "25-29", "30-34", "35-39", "40-44", "45-49", "50-54", "55-59", "60-64", "65-69", "70-74", "75-79", "80-84", "85+")</f>
        <v>45-49</v>
      </c>
      <c r="D178" t="s">
        <v>7</v>
      </c>
    </row>
    <row r="179" spans="1:4">
      <c r="A179" t="s">
        <v>6</v>
      </c>
      <c r="B179">
        <v>27</v>
      </c>
      <c r="C179" t="str">
        <f>CHOOSE(MATCH(B179, {20,25,30,35,40,45,50,55,60,65,70,75,80,85}, 1), "20-24", "25-29", "30-34", "35-39", "40-44", "45-49", "50-54", "55-59", "60-64", "65-69", "70-74", "75-79", "80-84", "85+")</f>
        <v>25-29</v>
      </c>
      <c r="D179" t="s">
        <v>8</v>
      </c>
    </row>
    <row r="180" spans="1:4">
      <c r="A180" t="s">
        <v>6</v>
      </c>
      <c r="B180">
        <v>27</v>
      </c>
      <c r="C180" t="str">
        <f>CHOOSE(MATCH(B180, {20,25,30,35,40,45,50,55,60,65,70,75,80,85}, 1), "20-24", "25-29", "30-34", "35-39", "40-44", "45-49", "50-54", "55-59", "60-64", "65-69", "70-74", "75-79", "80-84", "85+")</f>
        <v>25-29</v>
      </c>
      <c r="D180" t="s">
        <v>8</v>
      </c>
    </row>
    <row r="181" spans="1:4">
      <c r="A181" t="s">
        <v>6</v>
      </c>
      <c r="B181">
        <v>23</v>
      </c>
      <c r="C181" t="str">
        <f>CHOOSE(MATCH(B181, {20,25,30,35,40,45,50,55,60,65,70,75,80,85}, 1), "20-24", "25-29", "30-34", "35-39", "40-44", "45-49", "50-54", "55-59", "60-64", "65-69", "70-74", "75-79", "80-84", "85+")</f>
        <v>20-24</v>
      </c>
      <c r="D181" t="s">
        <v>7</v>
      </c>
    </row>
    <row r="182" spans="1:4">
      <c r="A182" t="s">
        <v>6</v>
      </c>
      <c r="B182">
        <v>37</v>
      </c>
      <c r="C182" t="str">
        <f>CHOOSE(MATCH(B182, {20,25,30,35,40,45,50,55,60,65,70,75,80,85}, 1), "20-24", "25-29", "30-34", "35-39", "40-44", "45-49", "50-54", "55-59", "60-64", "65-69", "70-74", "75-79", "80-84", "85+")</f>
        <v>35-39</v>
      </c>
      <c r="D182" t="s">
        <v>8</v>
      </c>
    </row>
    <row r="183" spans="1:4">
      <c r="A183" t="s">
        <v>6</v>
      </c>
      <c r="B183">
        <v>35</v>
      </c>
      <c r="C183" t="str">
        <f>CHOOSE(MATCH(B183, {20,25,30,35,40,45,50,55,60,65,70,75,80,85}, 1), "20-24", "25-29", "30-34", "35-39", "40-44", "45-49", "50-54", "55-59", "60-64", "65-69", "70-74", "75-79", "80-84", "85+")</f>
        <v>35-39</v>
      </c>
      <c r="D183" t="s">
        <v>8</v>
      </c>
    </row>
    <row r="184" spans="1:4">
      <c r="A184" t="s">
        <v>6</v>
      </c>
      <c r="B184">
        <v>53</v>
      </c>
      <c r="C184" t="str">
        <f>CHOOSE(MATCH(B184, {20,25,30,35,40,45,50,55,60,65,70,75,80,85}, 1), "20-24", "25-29", "30-34", "35-39", "40-44", "45-49", "50-54", "55-59", "60-64", "65-69", "70-74", "75-79", "80-84", "85+")</f>
        <v>50-54</v>
      </c>
      <c r="D184" t="s">
        <v>8</v>
      </c>
    </row>
    <row r="185" spans="1:4">
      <c r="A185" t="s">
        <v>6</v>
      </c>
      <c r="B185">
        <v>86</v>
      </c>
      <c r="C185" t="str">
        <f>CHOOSE(MATCH(B185, {20,25,30,35,40,45,50,55,60,65,70,75,80,85}, 1), "20-24", "25-29", "30-34", "35-39", "40-44", "45-49", "50-54", "55-59", "60-64", "65-69", "70-74", "75-79", "80-84", "85+")</f>
        <v>85+</v>
      </c>
      <c r="D185" t="s">
        <v>7</v>
      </c>
    </row>
    <row r="186" spans="1:4">
      <c r="A186" t="s">
        <v>6</v>
      </c>
      <c r="B186">
        <v>28</v>
      </c>
      <c r="C186" t="str">
        <f>CHOOSE(MATCH(B186, {20,25,30,35,40,45,50,55,60,65,70,75,80,85}, 1), "20-24", "25-29", "30-34", "35-39", "40-44", "45-49", "50-54", "55-59", "60-64", "65-69", "70-74", "75-79", "80-84", "85+")</f>
        <v>25-29</v>
      </c>
      <c r="D186" t="s">
        <v>8</v>
      </c>
    </row>
    <row r="187" spans="1:4">
      <c r="A187" t="s">
        <v>6</v>
      </c>
      <c r="B187">
        <v>45</v>
      </c>
      <c r="C187" t="str">
        <f>CHOOSE(MATCH(B187, {20,25,30,35,40,45,50,55,60,65,70,75,80,85}, 1), "20-24", "25-29", "30-34", "35-39", "40-44", "45-49", "50-54", "55-59", "60-64", "65-69", "70-74", "75-79", "80-84", "85+")</f>
        <v>45-49</v>
      </c>
      <c r="D187" t="s">
        <v>7</v>
      </c>
    </row>
    <row r="188" spans="1:4">
      <c r="A188" t="s">
        <v>6</v>
      </c>
      <c r="B188">
        <v>54</v>
      </c>
      <c r="C188" t="str">
        <f>CHOOSE(MATCH(B188, {20,25,30,35,40,45,50,55,60,65,70,75,80,85}, 1), "20-24", "25-29", "30-34", "35-39", "40-44", "45-49", "50-54", "55-59", "60-64", "65-69", "70-74", "75-79", "80-84", "85+")</f>
        <v>50-54</v>
      </c>
      <c r="D188" t="s">
        <v>8</v>
      </c>
    </row>
    <row r="189" spans="1:4">
      <c r="A189" t="s">
        <v>6</v>
      </c>
      <c r="B189">
        <v>29</v>
      </c>
      <c r="C189" t="str">
        <f>CHOOSE(MATCH(B189, {20,25,30,35,40,45,50,55,60,65,70,75,80,85}, 1), "20-24", "25-29", "30-34", "35-39", "40-44", "45-49", "50-54", "55-59", "60-64", "65-69", "70-74", "75-79", "80-84", "85+")</f>
        <v>25-29</v>
      </c>
      <c r="D189" t="s">
        <v>7</v>
      </c>
    </row>
    <row r="190" spans="1:4">
      <c r="A190" t="s">
        <v>6</v>
      </c>
      <c r="B190">
        <v>47</v>
      </c>
      <c r="C190" t="str">
        <f>CHOOSE(MATCH(B190, {20,25,30,35,40,45,50,55,60,65,70,75,80,85}, 1), "20-24", "25-29", "30-34", "35-39", "40-44", "45-49", "50-54", "55-59", "60-64", "65-69", "70-74", "75-79", "80-84", "85+")</f>
        <v>45-49</v>
      </c>
      <c r="D190" t="s">
        <v>7</v>
      </c>
    </row>
    <row r="191" spans="1:4">
      <c r="A191" t="s">
        <v>6</v>
      </c>
      <c r="B191">
        <v>22</v>
      </c>
      <c r="C191" t="str">
        <f>CHOOSE(MATCH(B191, {20,25,30,35,40,45,50,55,60,65,70,75,80,85}, 1), "20-24", "25-29", "30-34", "35-39", "40-44", "45-49", "50-54", "55-59", "60-64", "65-69", "70-74", "75-79", "80-84", "85+")</f>
        <v>20-24</v>
      </c>
      <c r="D191" t="s">
        <v>7</v>
      </c>
    </row>
    <row r="192" spans="1:4">
      <c r="A192" t="s">
        <v>6</v>
      </c>
      <c r="B192">
        <v>34</v>
      </c>
      <c r="C192" t="str">
        <f>CHOOSE(MATCH(B192, {20,25,30,35,40,45,50,55,60,65,70,75,80,85}, 1), "20-24", "25-29", "30-34", "35-39", "40-44", "45-49", "50-54", "55-59", "60-64", "65-69", "70-74", "75-79", "80-84", "85+")</f>
        <v>30-34</v>
      </c>
      <c r="D192" t="s">
        <v>8</v>
      </c>
    </row>
    <row r="193" spans="1:4">
      <c r="A193" t="s">
        <v>6</v>
      </c>
      <c r="B193">
        <v>53</v>
      </c>
      <c r="C193" t="str">
        <f>CHOOSE(MATCH(B193, {20,25,30,35,40,45,50,55,60,65,70,75,80,85}, 1), "20-24", "25-29", "30-34", "35-39", "40-44", "45-49", "50-54", "55-59", "60-64", "65-69", "70-74", "75-79", "80-84", "85+")</f>
        <v>50-54</v>
      </c>
      <c r="D193" t="s">
        <v>7</v>
      </c>
    </row>
    <row r="194" spans="1:4">
      <c r="A194" t="s">
        <v>6</v>
      </c>
      <c r="B194">
        <v>38</v>
      </c>
      <c r="C194" t="str">
        <f>CHOOSE(MATCH(B194, {20,25,30,35,40,45,50,55,60,65,70,75,80,85}, 1), "20-24", "25-29", "30-34", "35-39", "40-44", "45-49", "50-54", "55-59", "60-64", "65-69", "70-74", "75-79", "80-84", "85+")</f>
        <v>35-39</v>
      </c>
      <c r="D194" t="s">
        <v>7</v>
      </c>
    </row>
    <row r="195" spans="1:4">
      <c r="A195" t="s">
        <v>6</v>
      </c>
      <c r="B195">
        <v>73</v>
      </c>
      <c r="C195" t="str">
        <f>CHOOSE(MATCH(B195, {20,25,30,35,40,45,50,55,60,65,70,75,80,85}, 1), "20-24", "25-29", "30-34", "35-39", "40-44", "45-49", "50-54", "55-59", "60-64", "65-69", "70-74", "75-79", "80-84", "85+")</f>
        <v>70-74</v>
      </c>
      <c r="D195" t="s">
        <v>7</v>
      </c>
    </row>
    <row r="196" spans="1:4">
      <c r="A196" t="s">
        <v>6</v>
      </c>
      <c r="B196">
        <v>50</v>
      </c>
      <c r="C196" t="str">
        <f>CHOOSE(MATCH(B196, {20,25,30,35,40,45,50,55,60,65,70,75,80,85}, 1), "20-24", "25-29", "30-34", "35-39", "40-44", "45-49", "50-54", "55-59", "60-64", "65-69", "70-74", "75-79", "80-84", "85+")</f>
        <v>50-54</v>
      </c>
      <c r="D196" t="s">
        <v>8</v>
      </c>
    </row>
    <row r="197" spans="1:4">
      <c r="A197" t="s">
        <v>6</v>
      </c>
      <c r="B197">
        <v>62</v>
      </c>
      <c r="C197" t="str">
        <f>CHOOSE(MATCH(B197, {20,25,30,35,40,45,50,55,60,65,70,75,80,85}, 1), "20-24", "25-29", "30-34", "35-39", "40-44", "45-49", "50-54", "55-59", "60-64", "65-69", "70-74", "75-79", "80-84", "85+")</f>
        <v>60-64</v>
      </c>
      <c r="D197" t="s">
        <v>7</v>
      </c>
    </row>
    <row r="198" spans="1:4">
      <c r="A198" t="s">
        <v>6</v>
      </c>
      <c r="B198">
        <v>42</v>
      </c>
      <c r="C198" t="str">
        <f>CHOOSE(MATCH(B198, {20,25,30,35,40,45,50,55,60,65,70,75,80,85}, 1), "20-24", "25-29", "30-34", "35-39", "40-44", "45-49", "50-54", "55-59", "60-64", "65-69", "70-74", "75-79", "80-84", "85+")</f>
        <v>40-44</v>
      </c>
      <c r="D198" t="s">
        <v>7</v>
      </c>
    </row>
    <row r="199" spans="1:4">
      <c r="A199" t="s">
        <v>6</v>
      </c>
      <c r="B199">
        <v>33</v>
      </c>
      <c r="C199" t="str">
        <f>CHOOSE(MATCH(B199, {20,25,30,35,40,45,50,55,60,65,70,75,80,85}, 1), "20-24", "25-29", "30-34", "35-39", "40-44", "45-49", "50-54", "55-59", "60-64", "65-69", "70-74", "75-79", "80-84", "85+")</f>
        <v>30-34</v>
      </c>
      <c r="D199" t="s">
        <v>7</v>
      </c>
    </row>
    <row r="200" spans="1:4">
      <c r="A200" t="s">
        <v>6</v>
      </c>
      <c r="B200">
        <v>76</v>
      </c>
      <c r="C200" t="str">
        <f>CHOOSE(MATCH(B200, {20,25,30,35,40,45,50,55,60,65,70,75,80,85}, 1), "20-24", "25-29", "30-34", "35-39", "40-44", "45-49", "50-54", "55-59", "60-64", "65-69", "70-74", "75-79", "80-84", "85+")</f>
        <v>75-79</v>
      </c>
      <c r="D200" t="s">
        <v>7</v>
      </c>
    </row>
    <row r="201" spans="1:4">
      <c r="A201" t="s">
        <v>6</v>
      </c>
      <c r="B201">
        <v>77</v>
      </c>
      <c r="C201" t="str">
        <f>CHOOSE(MATCH(B201, {20,25,30,35,40,45,50,55,60,65,70,75,80,85}, 1), "20-24", "25-29", "30-34", "35-39", "40-44", "45-49", "50-54", "55-59", "60-64", "65-69", "70-74", "75-79", "80-84", "85+")</f>
        <v>75-79</v>
      </c>
      <c r="D201" t="s">
        <v>8</v>
      </c>
    </row>
    <row r="202" spans="1:4">
      <c r="A202" t="s">
        <v>6</v>
      </c>
      <c r="B202">
        <v>54</v>
      </c>
      <c r="C202" t="str">
        <f>CHOOSE(MATCH(B202, {20,25,30,35,40,45,50,55,60,65,70,75,80,85}, 1), "20-24", "25-29", "30-34", "35-39", "40-44", "45-49", "50-54", "55-59", "60-64", "65-69", "70-74", "75-79", "80-84", "85+")</f>
        <v>50-54</v>
      </c>
      <c r="D202" t="s">
        <v>7</v>
      </c>
    </row>
    <row r="203" spans="1:4">
      <c r="A203" t="s">
        <v>6</v>
      </c>
      <c r="B203">
        <v>38</v>
      </c>
      <c r="C203" t="str">
        <f>CHOOSE(MATCH(B203, {20,25,30,35,40,45,50,55,60,65,70,75,80,85}, 1), "20-24", "25-29", "30-34", "35-39", "40-44", "45-49", "50-54", "55-59", "60-64", "65-69", "70-74", "75-79", "80-84", "85+")</f>
        <v>35-39</v>
      </c>
      <c r="D203" t="s">
        <v>7</v>
      </c>
    </row>
    <row r="204" spans="1:4">
      <c r="A204" t="s">
        <v>6</v>
      </c>
      <c r="B204">
        <v>21</v>
      </c>
      <c r="C204" t="str">
        <f>CHOOSE(MATCH(B204, {20,25,30,35,40,45,50,55,60,65,70,75,80,85}, 1), "20-24", "25-29", "30-34", "35-39", "40-44", "45-49", "50-54", "55-59", "60-64", "65-69", "70-74", "75-79", "80-84", "85+")</f>
        <v>20-24</v>
      </c>
      <c r="D204" t="s">
        <v>7</v>
      </c>
    </row>
    <row r="205" spans="1:4">
      <c r="A205" t="s">
        <v>6</v>
      </c>
      <c r="B205">
        <v>74</v>
      </c>
      <c r="C205" t="str">
        <f>CHOOSE(MATCH(B205, {20,25,30,35,40,45,50,55,60,65,70,75,80,85}, 1), "20-24", "25-29", "30-34", "35-39", "40-44", "45-49", "50-54", "55-59", "60-64", "65-69", "70-74", "75-79", "80-84", "85+")</f>
        <v>70-74</v>
      </c>
      <c r="D205" t="s">
        <v>7</v>
      </c>
    </row>
    <row r="206" spans="1:4">
      <c r="A206" t="s">
        <v>6</v>
      </c>
      <c r="B206">
        <v>36</v>
      </c>
      <c r="C206" t="str">
        <f>CHOOSE(MATCH(B206, {20,25,30,35,40,45,50,55,60,65,70,75,80,85}, 1), "20-24", "25-29", "30-34", "35-39", "40-44", "45-49", "50-54", "55-59", "60-64", "65-69", "70-74", "75-79", "80-84", "85+")</f>
        <v>35-39</v>
      </c>
      <c r="D206" t="s">
        <v>7</v>
      </c>
    </row>
    <row r="207" spans="1:4">
      <c r="A207" t="s">
        <v>6</v>
      </c>
      <c r="B207">
        <v>46</v>
      </c>
      <c r="C207" t="str">
        <f>CHOOSE(MATCH(B207, {20,25,30,35,40,45,50,55,60,65,70,75,80,85}, 1), "20-24", "25-29", "30-34", "35-39", "40-44", "45-49", "50-54", "55-59", "60-64", "65-69", "70-74", "75-79", "80-84", "85+")</f>
        <v>45-49</v>
      </c>
      <c r="D207" t="s">
        <v>8</v>
      </c>
    </row>
    <row r="208" spans="1:4">
      <c r="A208" t="s">
        <v>6</v>
      </c>
      <c r="B208">
        <v>27</v>
      </c>
      <c r="C208" t="str">
        <f>CHOOSE(MATCH(B208, {20,25,30,35,40,45,50,55,60,65,70,75,80,85}, 1), "20-24", "25-29", "30-34", "35-39", "40-44", "45-49", "50-54", "55-59", "60-64", "65-69", "70-74", "75-79", "80-84", "85+")</f>
        <v>25-29</v>
      </c>
      <c r="D208" t="s">
        <v>7</v>
      </c>
    </row>
    <row r="209" spans="1:4">
      <c r="A209" t="s">
        <v>6</v>
      </c>
      <c r="B209">
        <v>25</v>
      </c>
      <c r="C209" t="str">
        <f>CHOOSE(MATCH(B209, {20,25,30,35,40,45,50,55,60,65,70,75,80,85}, 1), "20-24", "25-29", "30-34", "35-39", "40-44", "45-49", "50-54", "55-59", "60-64", "65-69", "70-74", "75-79", "80-84", "85+")</f>
        <v>25-29</v>
      </c>
      <c r="D209" t="s">
        <v>7</v>
      </c>
    </row>
    <row r="210" spans="1:4">
      <c r="A210" t="s">
        <v>6</v>
      </c>
      <c r="B210">
        <v>35</v>
      </c>
      <c r="C210" t="str">
        <f>CHOOSE(MATCH(B210, {20,25,30,35,40,45,50,55,60,65,70,75,80,85}, 1), "20-24", "25-29", "30-34", "35-39", "40-44", "45-49", "50-54", "55-59", "60-64", "65-69", "70-74", "75-79", "80-84", "85+")</f>
        <v>35-39</v>
      </c>
      <c r="D210" t="s">
        <v>7</v>
      </c>
    </row>
    <row r="211" spans="1:4">
      <c r="A211" t="s">
        <v>6</v>
      </c>
      <c r="B211">
        <v>57</v>
      </c>
      <c r="C211" t="str">
        <f>CHOOSE(MATCH(B211, {20,25,30,35,40,45,50,55,60,65,70,75,80,85}, 1), "20-24", "25-29", "30-34", "35-39", "40-44", "45-49", "50-54", "55-59", "60-64", "65-69", "70-74", "75-79", "80-84", "85+")</f>
        <v>55-59</v>
      </c>
      <c r="D211" t="s">
        <v>8</v>
      </c>
    </row>
    <row r="212" spans="1:4">
      <c r="A212" t="s">
        <v>6</v>
      </c>
      <c r="B212">
        <v>24</v>
      </c>
      <c r="C212" t="str">
        <f>CHOOSE(MATCH(B212, {20,25,30,35,40,45,50,55,60,65,70,75,80,85}, 1), "20-24", "25-29", "30-34", "35-39", "40-44", "45-49", "50-54", "55-59", "60-64", "65-69", "70-74", "75-79", "80-84", "85+")</f>
        <v>20-24</v>
      </c>
      <c r="D212" t="s">
        <v>7</v>
      </c>
    </row>
    <row r="213" spans="1:4">
      <c r="A213" t="s">
        <v>6</v>
      </c>
      <c r="B213">
        <v>27</v>
      </c>
      <c r="C213" t="str">
        <f>CHOOSE(MATCH(B213, {20,25,30,35,40,45,50,55,60,65,70,75,80,85}, 1), "20-24", "25-29", "30-34", "35-39", "40-44", "45-49", "50-54", "55-59", "60-64", "65-69", "70-74", "75-79", "80-84", "85+")</f>
        <v>25-29</v>
      </c>
      <c r="D213" t="s">
        <v>8</v>
      </c>
    </row>
    <row r="214" spans="1:4">
      <c r="A214" t="s">
        <v>6</v>
      </c>
      <c r="B214">
        <v>70</v>
      </c>
      <c r="C214" t="str">
        <f>CHOOSE(MATCH(B214, {20,25,30,35,40,45,50,55,60,65,70,75,80,85}, 1), "20-24", "25-29", "30-34", "35-39", "40-44", "45-49", "50-54", "55-59", "60-64", "65-69", "70-74", "75-79", "80-84", "85+")</f>
        <v>70-74</v>
      </c>
      <c r="D214" t="s">
        <v>7</v>
      </c>
    </row>
    <row r="215" spans="1:4">
      <c r="A215" t="s">
        <v>6</v>
      </c>
      <c r="B215">
        <v>32</v>
      </c>
      <c r="C215" t="str">
        <f>CHOOSE(MATCH(B215, {20,25,30,35,40,45,50,55,60,65,70,75,80,85}, 1), "20-24", "25-29", "30-34", "35-39", "40-44", "45-49", "50-54", "55-59", "60-64", "65-69", "70-74", "75-79", "80-84", "85+")</f>
        <v>30-34</v>
      </c>
      <c r="D215" t="s">
        <v>7</v>
      </c>
    </row>
    <row r="216" spans="1:4">
      <c r="A216" t="s">
        <v>6</v>
      </c>
      <c r="B216">
        <v>54</v>
      </c>
      <c r="C216" t="str">
        <f>CHOOSE(MATCH(B216, {20,25,30,35,40,45,50,55,60,65,70,75,80,85}, 1), "20-24", "25-29", "30-34", "35-39", "40-44", "45-49", "50-54", "55-59", "60-64", "65-69", "70-74", "75-79", "80-84", "85+")</f>
        <v>50-54</v>
      </c>
      <c r="D216" t="s">
        <v>7</v>
      </c>
    </row>
    <row r="217" spans="1:4">
      <c r="A217" t="s">
        <v>6</v>
      </c>
      <c r="B217">
        <v>33</v>
      </c>
      <c r="C217" t="str">
        <f>CHOOSE(MATCH(B217, {20,25,30,35,40,45,50,55,60,65,70,75,80,85}, 1), "20-24", "25-29", "30-34", "35-39", "40-44", "45-49", "50-54", "55-59", "60-64", "65-69", "70-74", "75-79", "80-84", "85+")</f>
        <v>30-34</v>
      </c>
      <c r="D217" t="s">
        <v>8</v>
      </c>
    </row>
    <row r="218" spans="1:4">
      <c r="A218" t="s">
        <v>6</v>
      </c>
      <c r="B218">
        <v>32</v>
      </c>
      <c r="C218" t="str">
        <f>CHOOSE(MATCH(B218, {20,25,30,35,40,45,50,55,60,65,70,75,80,85}, 1), "20-24", "25-29", "30-34", "35-39", "40-44", "45-49", "50-54", "55-59", "60-64", "65-69", "70-74", "75-79", "80-84", "85+")</f>
        <v>30-34</v>
      </c>
      <c r="D218" t="s">
        <v>7</v>
      </c>
    </row>
    <row r="219" spans="1:4">
      <c r="A219" t="s">
        <v>6</v>
      </c>
      <c r="B219">
        <v>21</v>
      </c>
      <c r="C219" t="str">
        <f>CHOOSE(MATCH(B219, {20,25,30,35,40,45,50,55,60,65,70,75,80,85}, 1), "20-24", "25-29", "30-34", "35-39", "40-44", "45-49", "50-54", "55-59", "60-64", "65-69", "70-74", "75-79", "80-84", "85+")</f>
        <v>20-24</v>
      </c>
      <c r="D219" t="s">
        <v>7</v>
      </c>
    </row>
    <row r="220" spans="1:4">
      <c r="A220" t="s">
        <v>6</v>
      </c>
      <c r="B220">
        <v>33</v>
      </c>
      <c r="C220" t="str">
        <f>CHOOSE(MATCH(B220, {20,25,30,35,40,45,50,55,60,65,70,75,80,85}, 1), "20-24", "25-29", "30-34", "35-39", "40-44", "45-49", "50-54", "55-59", "60-64", "65-69", "70-74", "75-79", "80-84", "85+")</f>
        <v>30-34</v>
      </c>
      <c r="D220" t="s">
        <v>7</v>
      </c>
    </row>
    <row r="221" spans="1:4">
      <c r="A221" t="s">
        <v>6</v>
      </c>
      <c r="B221">
        <v>72</v>
      </c>
      <c r="C221" t="str">
        <f>CHOOSE(MATCH(B221, {20,25,30,35,40,45,50,55,60,65,70,75,80,85}, 1), "20-24", "25-29", "30-34", "35-39", "40-44", "45-49", "50-54", "55-59", "60-64", "65-69", "70-74", "75-79", "80-84", "85+")</f>
        <v>70-74</v>
      </c>
      <c r="D221" t="s">
        <v>8</v>
      </c>
    </row>
    <row r="222" spans="1:4">
      <c r="A222" t="s">
        <v>6</v>
      </c>
      <c r="B222">
        <v>23</v>
      </c>
      <c r="C222" t="str">
        <f>CHOOSE(MATCH(B222, {20,25,30,35,40,45,50,55,60,65,70,75,80,85}, 1), "20-24", "25-29", "30-34", "35-39", "40-44", "45-49", "50-54", "55-59", "60-64", "65-69", "70-74", "75-79", "80-84", "85+")</f>
        <v>20-24</v>
      </c>
      <c r="D222" t="s">
        <v>8</v>
      </c>
    </row>
    <row r="223" spans="1:4">
      <c r="A223" t="s">
        <v>6</v>
      </c>
      <c r="B223">
        <v>34</v>
      </c>
      <c r="C223" t="str">
        <f>CHOOSE(MATCH(B223, {20,25,30,35,40,45,50,55,60,65,70,75,80,85}, 1), "20-24", "25-29", "30-34", "35-39", "40-44", "45-49", "50-54", "55-59", "60-64", "65-69", "70-74", "75-79", "80-84", "85+")</f>
        <v>30-34</v>
      </c>
      <c r="D223" t="s">
        <v>7</v>
      </c>
    </row>
    <row r="224" spans="1:4">
      <c r="A224" t="s">
        <v>6</v>
      </c>
      <c r="B224">
        <v>31</v>
      </c>
      <c r="C224" t="str">
        <f>CHOOSE(MATCH(B224, {20,25,30,35,40,45,50,55,60,65,70,75,80,85}, 1), "20-24", "25-29", "30-34", "35-39", "40-44", "45-49", "50-54", "55-59", "60-64", "65-69", "70-74", "75-79", "80-84", "85+")</f>
        <v>30-34</v>
      </c>
      <c r="D224" t="s">
        <v>7</v>
      </c>
    </row>
    <row r="225" spans="1:4">
      <c r="A225" t="s">
        <v>6</v>
      </c>
      <c r="B225">
        <v>22</v>
      </c>
      <c r="C225" t="str">
        <f>CHOOSE(MATCH(B225, {20,25,30,35,40,45,50,55,60,65,70,75,80,85}, 1), "20-24", "25-29", "30-34", "35-39", "40-44", "45-49", "50-54", "55-59", "60-64", "65-69", "70-74", "75-79", "80-84", "85+")</f>
        <v>20-24</v>
      </c>
      <c r="D225" t="s">
        <v>8</v>
      </c>
    </row>
    <row r="226" spans="1:4">
      <c r="A226" t="s">
        <v>6</v>
      </c>
      <c r="B226">
        <v>35</v>
      </c>
      <c r="C226" t="str">
        <f>CHOOSE(MATCH(B226, {20,25,30,35,40,45,50,55,60,65,70,75,80,85}, 1), "20-24", "25-29", "30-34", "35-39", "40-44", "45-49", "50-54", "55-59", "60-64", "65-69", "70-74", "75-79", "80-84", "85+")</f>
        <v>35-39</v>
      </c>
      <c r="D226" t="s">
        <v>7</v>
      </c>
    </row>
    <row r="227" spans="1:4">
      <c r="A227" t="s">
        <v>6</v>
      </c>
      <c r="B227">
        <v>39</v>
      </c>
      <c r="C227" t="str">
        <f>CHOOSE(MATCH(B227, {20,25,30,35,40,45,50,55,60,65,70,75,80,85}, 1), "20-24", "25-29", "30-34", "35-39", "40-44", "45-49", "50-54", "55-59", "60-64", "65-69", "70-74", "75-79", "80-84", "85+")</f>
        <v>35-39</v>
      </c>
      <c r="D227" t="s">
        <v>8</v>
      </c>
    </row>
    <row r="228" spans="1:4">
      <c r="A228" t="s">
        <v>6</v>
      </c>
      <c r="B228">
        <v>42</v>
      </c>
      <c r="C228" t="str">
        <f>CHOOSE(MATCH(B228, {20,25,30,35,40,45,50,55,60,65,70,75,80,85}, 1), "20-24", "25-29", "30-34", "35-39", "40-44", "45-49", "50-54", "55-59", "60-64", "65-69", "70-74", "75-79", "80-84", "85+")</f>
        <v>40-44</v>
      </c>
      <c r="D228" t="s">
        <v>8</v>
      </c>
    </row>
    <row r="229" spans="1:4">
      <c r="A229" t="s">
        <v>6</v>
      </c>
      <c r="B229">
        <v>34</v>
      </c>
      <c r="C229" t="str">
        <f>CHOOSE(MATCH(B229, {20,25,30,35,40,45,50,55,60,65,70,75,80,85}, 1), "20-24", "25-29", "30-34", "35-39", "40-44", "45-49", "50-54", "55-59", "60-64", "65-69", "70-74", "75-79", "80-84", "85+")</f>
        <v>30-34</v>
      </c>
      <c r="D229" t="s">
        <v>7</v>
      </c>
    </row>
    <row r="230" spans="1:4">
      <c r="A230" t="s">
        <v>6</v>
      </c>
      <c r="B230">
        <v>46</v>
      </c>
      <c r="C230" t="str">
        <f>CHOOSE(MATCH(B230, {20,25,30,35,40,45,50,55,60,65,70,75,80,85}, 1), "20-24", "25-29", "30-34", "35-39", "40-44", "45-49", "50-54", "55-59", "60-64", "65-69", "70-74", "75-79", "80-84", "85+")</f>
        <v>45-49</v>
      </c>
      <c r="D230" t="s">
        <v>7</v>
      </c>
    </row>
    <row r="231" spans="1:4">
      <c r="A231" t="s">
        <v>6</v>
      </c>
      <c r="B231">
        <v>41</v>
      </c>
      <c r="C231" t="str">
        <f>CHOOSE(MATCH(B231, {20,25,30,35,40,45,50,55,60,65,70,75,80,85}, 1), "20-24", "25-29", "30-34", "35-39", "40-44", "45-49", "50-54", "55-59", "60-64", "65-69", "70-74", "75-79", "80-84", "85+")</f>
        <v>40-44</v>
      </c>
      <c r="D231" t="s">
        <v>7</v>
      </c>
    </row>
    <row r="232" spans="1:4">
      <c r="A232" t="s">
        <v>6</v>
      </c>
      <c r="B232">
        <v>31</v>
      </c>
      <c r="C232" t="str">
        <f>CHOOSE(MATCH(B232, {20,25,30,35,40,45,50,55,60,65,70,75,80,85}, 1), "20-24", "25-29", "30-34", "35-39", "40-44", "45-49", "50-54", "55-59", "60-64", "65-69", "70-74", "75-79", "80-84", "85+")</f>
        <v>30-34</v>
      </c>
      <c r="D232" t="s">
        <v>7</v>
      </c>
    </row>
    <row r="233" spans="1:4">
      <c r="A233" t="s">
        <v>6</v>
      </c>
      <c r="B233">
        <v>48</v>
      </c>
      <c r="C233" t="str">
        <f>CHOOSE(MATCH(B233, {20,25,30,35,40,45,50,55,60,65,70,75,80,85}, 1), "20-24", "25-29", "30-34", "35-39", "40-44", "45-49", "50-54", "55-59", "60-64", "65-69", "70-74", "75-79", "80-84", "85+")</f>
        <v>45-49</v>
      </c>
      <c r="D233" t="s">
        <v>8</v>
      </c>
    </row>
    <row r="234" spans="1:4">
      <c r="A234" t="s">
        <v>6</v>
      </c>
      <c r="B234">
        <v>28</v>
      </c>
      <c r="C234" t="str">
        <f>CHOOSE(MATCH(B234, {20,25,30,35,40,45,50,55,60,65,70,75,80,85}, 1), "20-24", "25-29", "30-34", "35-39", "40-44", "45-49", "50-54", "55-59", "60-64", "65-69", "70-74", "75-79", "80-84", "85+")</f>
        <v>25-29</v>
      </c>
      <c r="D234" t="s">
        <v>7</v>
      </c>
    </row>
    <row r="235" spans="1:4">
      <c r="A235" t="s">
        <v>6</v>
      </c>
      <c r="B235">
        <v>34</v>
      </c>
      <c r="C235" t="str">
        <f>CHOOSE(MATCH(B235, {20,25,30,35,40,45,50,55,60,65,70,75,80,85}, 1), "20-24", "25-29", "30-34", "35-39", "40-44", "45-49", "50-54", "55-59", "60-64", "65-69", "70-74", "75-79", "80-84", "85+")</f>
        <v>30-34</v>
      </c>
      <c r="D235" t="s">
        <v>7</v>
      </c>
    </row>
    <row r="236" spans="1:4">
      <c r="A236" t="s">
        <v>6</v>
      </c>
      <c r="B236">
        <v>55</v>
      </c>
      <c r="C236" t="str">
        <f>CHOOSE(MATCH(B236, {20,25,30,35,40,45,50,55,60,65,70,75,80,85}, 1), "20-24", "25-29", "30-34", "35-39", "40-44", "45-49", "50-54", "55-59", "60-64", "65-69", "70-74", "75-79", "80-84", "85+")</f>
        <v>55-59</v>
      </c>
      <c r="D236" t="s">
        <v>8</v>
      </c>
    </row>
    <row r="237" spans="1:4">
      <c r="A237" t="s">
        <v>6</v>
      </c>
      <c r="B237">
        <v>33</v>
      </c>
      <c r="C237" t="str">
        <f>CHOOSE(MATCH(B237, {20,25,30,35,40,45,50,55,60,65,70,75,80,85}, 1), "20-24", "25-29", "30-34", "35-39", "40-44", "45-49", "50-54", "55-59", "60-64", "65-69", "70-74", "75-79", "80-84", "85+")</f>
        <v>30-34</v>
      </c>
      <c r="D237" t="s">
        <v>8</v>
      </c>
    </row>
    <row r="238" spans="1:4">
      <c r="A238" t="s">
        <v>6</v>
      </c>
      <c r="B238">
        <v>27</v>
      </c>
      <c r="C238" t="str">
        <f>CHOOSE(MATCH(B238, {20,25,30,35,40,45,50,55,60,65,70,75,80,85}, 1), "20-24", "25-29", "30-34", "35-39", "40-44", "45-49", "50-54", "55-59", "60-64", "65-69", "70-74", "75-79", "80-84", "85+")</f>
        <v>25-29</v>
      </c>
      <c r="D238" t="s">
        <v>7</v>
      </c>
    </row>
    <row r="239" spans="1:4">
      <c r="A239" t="s">
        <v>6</v>
      </c>
      <c r="B239">
        <v>26</v>
      </c>
      <c r="C239" t="str">
        <f>CHOOSE(MATCH(B239, {20,25,30,35,40,45,50,55,60,65,70,75,80,85}, 1), "20-24", "25-29", "30-34", "35-39", "40-44", "45-49", "50-54", "55-59", "60-64", "65-69", "70-74", "75-79", "80-84", "85+")</f>
        <v>25-29</v>
      </c>
      <c r="D239" t="s">
        <v>7</v>
      </c>
    </row>
    <row r="240" spans="1:4">
      <c r="A240" t="s">
        <v>6</v>
      </c>
      <c r="B240">
        <v>45</v>
      </c>
      <c r="C240" t="str">
        <f>CHOOSE(MATCH(B240, {20,25,30,35,40,45,50,55,60,65,70,75,80,85}, 1), "20-24", "25-29", "30-34", "35-39", "40-44", "45-49", "50-54", "55-59", "60-64", "65-69", "70-74", "75-79", "80-84", "85+")</f>
        <v>45-49</v>
      </c>
      <c r="D240" t="s">
        <v>7</v>
      </c>
    </row>
    <row r="241" spans="1:4">
      <c r="A241" t="s">
        <v>6</v>
      </c>
      <c r="B241">
        <v>49</v>
      </c>
      <c r="C241" t="str">
        <f>CHOOSE(MATCH(B241, {20,25,30,35,40,45,50,55,60,65,70,75,80,85}, 1), "20-24", "25-29", "30-34", "35-39", "40-44", "45-49", "50-54", "55-59", "60-64", "65-69", "70-74", "75-79", "80-84", "85+")</f>
        <v>45-49</v>
      </c>
      <c r="D241" t="s">
        <v>8</v>
      </c>
    </row>
    <row r="242" spans="1:4">
      <c r="A242" t="s">
        <v>6</v>
      </c>
      <c r="B242">
        <v>33</v>
      </c>
      <c r="C242" t="str">
        <f>CHOOSE(MATCH(B242, {20,25,30,35,40,45,50,55,60,65,70,75,80,85}, 1), "20-24", "25-29", "30-34", "35-39", "40-44", "45-49", "50-54", "55-59", "60-64", "65-69", "70-74", "75-79", "80-84", "85+")</f>
        <v>30-34</v>
      </c>
      <c r="D242" t="s">
        <v>7</v>
      </c>
    </row>
    <row r="243" spans="1:4">
      <c r="A243" t="s">
        <v>6</v>
      </c>
      <c r="B243">
        <v>54</v>
      </c>
      <c r="C243" t="str">
        <f>CHOOSE(MATCH(B243, {20,25,30,35,40,45,50,55,60,65,70,75,80,85}, 1), "20-24", "25-29", "30-34", "35-39", "40-44", "45-49", "50-54", "55-59", "60-64", "65-69", "70-74", "75-79", "80-84", "85+")</f>
        <v>50-54</v>
      </c>
      <c r="D243" t="s">
        <v>7</v>
      </c>
    </row>
    <row r="244" spans="1:4">
      <c r="A244" t="s">
        <v>6</v>
      </c>
      <c r="B244">
        <v>29</v>
      </c>
      <c r="C244" t="str">
        <f>CHOOSE(MATCH(B244, {20,25,30,35,40,45,50,55,60,65,70,75,80,85}, 1), "20-24", "25-29", "30-34", "35-39", "40-44", "45-49", "50-54", "55-59", "60-64", "65-69", "70-74", "75-79", "80-84", "85+")</f>
        <v>25-29</v>
      </c>
      <c r="D244" t="s">
        <v>7</v>
      </c>
    </row>
    <row r="245" spans="1:4">
      <c r="A245" t="s">
        <v>6</v>
      </c>
      <c r="B245">
        <v>41</v>
      </c>
      <c r="C245" t="str">
        <f>CHOOSE(MATCH(B245, {20,25,30,35,40,45,50,55,60,65,70,75,80,85}, 1), "20-24", "25-29", "30-34", "35-39", "40-44", "45-49", "50-54", "55-59", "60-64", "65-69", "70-74", "75-79", "80-84", "85+")</f>
        <v>40-44</v>
      </c>
      <c r="D245" t="s">
        <v>8</v>
      </c>
    </row>
    <row r="246" spans="1:4">
      <c r="A246" t="s">
        <v>6</v>
      </c>
      <c r="B246">
        <v>26</v>
      </c>
      <c r="C246" t="str">
        <f>CHOOSE(MATCH(B246, {20,25,30,35,40,45,50,55,60,65,70,75,80,85}, 1), "20-24", "25-29", "30-34", "35-39", "40-44", "45-49", "50-54", "55-59", "60-64", "65-69", "70-74", "75-79", "80-84", "85+")</f>
        <v>25-29</v>
      </c>
      <c r="D246" t="s">
        <v>7</v>
      </c>
    </row>
    <row r="247" spans="1:4">
      <c r="A247" t="s">
        <v>6</v>
      </c>
      <c r="B247">
        <v>43</v>
      </c>
      <c r="C247" t="str">
        <f>CHOOSE(MATCH(B247, {20,25,30,35,40,45,50,55,60,65,70,75,80,85}, 1), "20-24", "25-29", "30-34", "35-39", "40-44", "45-49", "50-54", "55-59", "60-64", "65-69", "70-74", "75-79", "80-84", "85+")</f>
        <v>40-44</v>
      </c>
      <c r="D247" t="s">
        <v>8</v>
      </c>
    </row>
    <row r="248" spans="1:4">
      <c r="A248" t="s">
        <v>6</v>
      </c>
      <c r="B248">
        <v>33</v>
      </c>
      <c r="C248" t="str">
        <f>CHOOSE(MATCH(B248, {20,25,30,35,40,45,50,55,60,65,70,75,80,85}, 1), "20-24", "25-29", "30-34", "35-39", "40-44", "45-49", "50-54", "55-59", "60-64", "65-69", "70-74", "75-79", "80-84", "85+")</f>
        <v>30-34</v>
      </c>
      <c r="D248" t="s">
        <v>7</v>
      </c>
    </row>
    <row r="249" spans="1:4">
      <c r="A249" t="s">
        <v>6</v>
      </c>
      <c r="B249">
        <v>40</v>
      </c>
      <c r="C249" t="str">
        <f>CHOOSE(MATCH(B249, {20,25,30,35,40,45,50,55,60,65,70,75,80,85}, 1), "20-24", "25-29", "30-34", "35-39", "40-44", "45-49", "50-54", "55-59", "60-64", "65-69", "70-74", "75-79", "80-84", "85+")</f>
        <v>40-44</v>
      </c>
      <c r="D249" t="s">
        <v>8</v>
      </c>
    </row>
    <row r="250" spans="1:4">
      <c r="A250" t="s">
        <v>6</v>
      </c>
      <c r="B250">
        <v>22</v>
      </c>
      <c r="C250" t="str">
        <f>CHOOSE(MATCH(B250, {20,25,30,35,40,45,50,55,60,65,70,75,80,85}, 1), "20-24", "25-29", "30-34", "35-39", "40-44", "45-49", "50-54", "55-59", "60-64", "65-69", "70-74", "75-79", "80-84", "85+")</f>
        <v>20-24</v>
      </c>
      <c r="D250" t="s">
        <v>7</v>
      </c>
    </row>
    <row r="251" spans="1:4">
      <c r="A251" t="s">
        <v>6</v>
      </c>
      <c r="B251">
        <v>32</v>
      </c>
      <c r="C251" t="str">
        <f>CHOOSE(MATCH(B251, {20,25,30,35,40,45,50,55,60,65,70,75,80,85}, 1), "20-24", "25-29", "30-34", "35-39", "40-44", "45-49", "50-54", "55-59", "60-64", "65-69", "70-74", "75-79", "80-84", "85+")</f>
        <v>30-34</v>
      </c>
      <c r="D251" t="s">
        <v>8</v>
      </c>
    </row>
    <row r="252" spans="1:4">
      <c r="A252" t="s">
        <v>6</v>
      </c>
      <c r="B252">
        <v>30</v>
      </c>
      <c r="C252" t="str">
        <f>CHOOSE(MATCH(B252, {20,25,30,35,40,45,50,55,60,65,70,75,80,85}, 1), "20-24", "25-29", "30-34", "35-39", "40-44", "45-49", "50-54", "55-59", "60-64", "65-69", "70-74", "75-79", "80-84", "85+")</f>
        <v>30-34</v>
      </c>
      <c r="D252" t="s">
        <v>7</v>
      </c>
    </row>
    <row r="253" spans="1:4">
      <c r="A253" t="s">
        <v>6</v>
      </c>
      <c r="B253">
        <v>72</v>
      </c>
      <c r="C253" t="str">
        <f>CHOOSE(MATCH(B253, {20,25,30,35,40,45,50,55,60,65,70,75,80,85}, 1), "20-24", "25-29", "30-34", "35-39", "40-44", "45-49", "50-54", "55-59", "60-64", "65-69", "70-74", "75-79", "80-84", "85+")</f>
        <v>70-74</v>
      </c>
      <c r="D253" t="s">
        <v>8</v>
      </c>
    </row>
    <row r="254" spans="1:4">
      <c r="A254" t="s">
        <v>6</v>
      </c>
      <c r="B254">
        <v>53</v>
      </c>
      <c r="C254" t="str">
        <f>CHOOSE(MATCH(B254, {20,25,30,35,40,45,50,55,60,65,70,75,80,85}, 1), "20-24", "25-29", "30-34", "35-39", "40-44", "45-49", "50-54", "55-59", "60-64", "65-69", "70-74", "75-79", "80-84", "85+")</f>
        <v>50-54</v>
      </c>
      <c r="D254" t="s">
        <v>7</v>
      </c>
    </row>
    <row r="255" spans="1:4">
      <c r="A255" t="s">
        <v>6</v>
      </c>
      <c r="B255">
        <v>78</v>
      </c>
      <c r="C255" t="str">
        <f>CHOOSE(MATCH(B255, {20,25,30,35,40,45,50,55,60,65,70,75,80,85}, 1), "20-24", "25-29", "30-34", "35-39", "40-44", "45-49", "50-54", "55-59", "60-64", "65-69", "70-74", "75-79", "80-84", "85+")</f>
        <v>75-79</v>
      </c>
      <c r="D255" t="s">
        <v>7</v>
      </c>
    </row>
    <row r="256" spans="1:4">
      <c r="A256" t="s">
        <v>6</v>
      </c>
      <c r="B256">
        <v>63</v>
      </c>
      <c r="C256" t="str">
        <f>CHOOSE(MATCH(B256, {20,25,30,35,40,45,50,55,60,65,70,75,80,85}, 1), "20-24", "25-29", "30-34", "35-39", "40-44", "45-49", "50-54", "55-59", "60-64", "65-69", "70-74", "75-79", "80-84", "85+")</f>
        <v>60-64</v>
      </c>
      <c r="D256" t="s">
        <v>7</v>
      </c>
    </row>
    <row r="257" spans="1:4">
      <c r="A257" t="s">
        <v>6</v>
      </c>
      <c r="B257">
        <v>39</v>
      </c>
      <c r="C257" t="str">
        <f>CHOOSE(MATCH(B257, {20,25,30,35,40,45,50,55,60,65,70,75,80,85}, 1), "20-24", "25-29", "30-34", "35-39", "40-44", "45-49", "50-54", "55-59", "60-64", "65-69", "70-74", "75-79", "80-84", "85+")</f>
        <v>35-39</v>
      </c>
      <c r="D257" t="s">
        <v>7</v>
      </c>
    </row>
    <row r="258" spans="1:4">
      <c r="A258" t="s">
        <v>6</v>
      </c>
      <c r="B258">
        <v>24</v>
      </c>
      <c r="C258" t="str">
        <f>CHOOSE(MATCH(B258, {20,25,30,35,40,45,50,55,60,65,70,75,80,85}, 1), "20-24", "25-29", "30-34", "35-39", "40-44", "45-49", "50-54", "55-59", "60-64", "65-69", "70-74", "75-79", "80-84", "85+")</f>
        <v>20-24</v>
      </c>
      <c r="D258" t="s">
        <v>7</v>
      </c>
    </row>
    <row r="259" spans="1:4">
      <c r="A259" t="s">
        <v>6</v>
      </c>
      <c r="B259">
        <v>45</v>
      </c>
      <c r="C259" t="str">
        <f>CHOOSE(MATCH(B259, {20,25,30,35,40,45,50,55,60,65,70,75,80,85}, 1), "20-24", "25-29", "30-34", "35-39", "40-44", "45-49", "50-54", "55-59", "60-64", "65-69", "70-74", "75-79", "80-84", "85+")</f>
        <v>45-49</v>
      </c>
      <c r="D259" t="s">
        <v>7</v>
      </c>
    </row>
    <row r="260" spans="1:4">
      <c r="A260" t="s">
        <v>6</v>
      </c>
      <c r="B260">
        <v>70</v>
      </c>
      <c r="C260" t="str">
        <f>CHOOSE(MATCH(B260, {20,25,30,35,40,45,50,55,60,65,70,75,80,85}, 1), "20-24", "25-29", "30-34", "35-39", "40-44", "45-49", "50-54", "55-59", "60-64", "65-69", "70-74", "75-79", "80-84", "85+")</f>
        <v>70-74</v>
      </c>
      <c r="D260" t="s">
        <v>8</v>
      </c>
    </row>
    <row r="261" spans="1:4">
      <c r="A261" t="s">
        <v>6</v>
      </c>
      <c r="B261">
        <v>37</v>
      </c>
      <c r="C261" t="str">
        <f>CHOOSE(MATCH(B261, {20,25,30,35,40,45,50,55,60,65,70,75,80,85}, 1), "20-24", "25-29", "30-34", "35-39", "40-44", "45-49", "50-54", "55-59", "60-64", "65-69", "70-74", "75-79", "80-84", "85+")</f>
        <v>35-39</v>
      </c>
      <c r="D261" t="s">
        <v>7</v>
      </c>
    </row>
    <row r="262" spans="1:4">
      <c r="A262" t="s">
        <v>6</v>
      </c>
      <c r="B262">
        <v>37</v>
      </c>
      <c r="C262" t="str">
        <f>CHOOSE(MATCH(B262, {20,25,30,35,40,45,50,55,60,65,70,75,80,85}, 1), "20-24", "25-29", "30-34", "35-39", "40-44", "45-49", "50-54", "55-59", "60-64", "65-69", "70-74", "75-79", "80-84", "85+")</f>
        <v>35-39</v>
      </c>
      <c r="D262" t="s">
        <v>7</v>
      </c>
    </row>
    <row r="263" spans="1:4">
      <c r="A263" t="s">
        <v>6</v>
      </c>
      <c r="B263">
        <v>29</v>
      </c>
      <c r="C263" t="str">
        <f>CHOOSE(MATCH(B263, {20,25,30,35,40,45,50,55,60,65,70,75,80,85}, 1), "20-24", "25-29", "30-34", "35-39", "40-44", "45-49", "50-54", "55-59", "60-64", "65-69", "70-74", "75-79", "80-84", "85+")</f>
        <v>25-29</v>
      </c>
      <c r="D263" t="s">
        <v>7</v>
      </c>
    </row>
    <row r="264" spans="1:4">
      <c r="A264" t="s">
        <v>6</v>
      </c>
      <c r="B264">
        <v>29</v>
      </c>
      <c r="C264" t="str">
        <f>CHOOSE(MATCH(B264, {20,25,30,35,40,45,50,55,60,65,70,75,80,85}, 1), "20-24", "25-29", "30-34", "35-39", "40-44", "45-49", "50-54", "55-59", "60-64", "65-69", "70-74", "75-79", "80-84", "85+")</f>
        <v>25-29</v>
      </c>
      <c r="D264" t="s">
        <v>7</v>
      </c>
    </row>
    <row r="265" spans="1:4">
      <c r="A265" t="s">
        <v>6</v>
      </c>
      <c r="B265">
        <v>27</v>
      </c>
      <c r="C265" t="str">
        <f>CHOOSE(MATCH(B265, {20,25,30,35,40,45,50,55,60,65,70,75,80,85}, 1), "20-24", "25-29", "30-34", "35-39", "40-44", "45-49", "50-54", "55-59", "60-64", "65-69", "70-74", "75-79", "80-84", "85+")</f>
        <v>25-29</v>
      </c>
      <c r="D265" t="s">
        <v>8</v>
      </c>
    </row>
    <row r="266" spans="1:4">
      <c r="A266" t="s">
        <v>6</v>
      </c>
      <c r="B266">
        <v>22</v>
      </c>
      <c r="C266" t="str">
        <f>CHOOSE(MATCH(B266, {20,25,30,35,40,45,50,55,60,65,70,75,80,85}, 1), "20-24", "25-29", "30-34", "35-39", "40-44", "45-49", "50-54", "55-59", "60-64", "65-69", "70-74", "75-79", "80-84", "85+")</f>
        <v>20-24</v>
      </c>
      <c r="D266" t="s">
        <v>7</v>
      </c>
    </row>
    <row r="267" spans="1:4">
      <c r="A267" t="s">
        <v>6</v>
      </c>
      <c r="B267">
        <v>44</v>
      </c>
      <c r="C267" t="str">
        <f>CHOOSE(MATCH(B267, {20,25,30,35,40,45,50,55,60,65,70,75,80,85}, 1), "20-24", "25-29", "30-34", "35-39", "40-44", "45-49", "50-54", "55-59", "60-64", "65-69", "70-74", "75-79", "80-84", "85+")</f>
        <v>40-44</v>
      </c>
      <c r="D267" t="s">
        <v>8</v>
      </c>
    </row>
    <row r="268" spans="1:4">
      <c r="A268" t="s">
        <v>6</v>
      </c>
      <c r="B268">
        <v>37</v>
      </c>
      <c r="C268" t="str">
        <f>CHOOSE(MATCH(B268, {20,25,30,35,40,45,50,55,60,65,70,75,80,85}, 1), "20-24", "25-29", "30-34", "35-39", "40-44", "45-49", "50-54", "55-59", "60-64", "65-69", "70-74", "75-79", "80-84", "85+")</f>
        <v>35-39</v>
      </c>
      <c r="D268" t="s">
        <v>7</v>
      </c>
    </row>
    <row r="269" spans="1:4">
      <c r="A269" t="s">
        <v>6</v>
      </c>
      <c r="B269">
        <v>23</v>
      </c>
      <c r="C269" t="str">
        <f>CHOOSE(MATCH(B269, {20,25,30,35,40,45,50,55,60,65,70,75,80,85}, 1), "20-24", "25-29", "30-34", "35-39", "40-44", "45-49", "50-54", "55-59", "60-64", "65-69", "70-74", "75-79", "80-84", "85+")</f>
        <v>20-24</v>
      </c>
      <c r="D269" t="s">
        <v>7</v>
      </c>
    </row>
    <row r="270" spans="1:4">
      <c r="A270" t="s">
        <v>6</v>
      </c>
      <c r="B270">
        <v>26</v>
      </c>
      <c r="C270" t="str">
        <f>CHOOSE(MATCH(B270, {20,25,30,35,40,45,50,55,60,65,70,75,80,85}, 1), "20-24", "25-29", "30-34", "35-39", "40-44", "45-49", "50-54", "55-59", "60-64", "65-69", "70-74", "75-79", "80-84", "85+")</f>
        <v>25-29</v>
      </c>
      <c r="D270" t="s">
        <v>7</v>
      </c>
    </row>
    <row r="271" spans="1:4">
      <c r="A271" t="s">
        <v>6</v>
      </c>
      <c r="B271">
        <v>73</v>
      </c>
      <c r="C271" t="str">
        <f>CHOOSE(MATCH(B271, {20,25,30,35,40,45,50,55,60,65,70,75,80,85}, 1), "20-24", "25-29", "30-34", "35-39", "40-44", "45-49", "50-54", "55-59", "60-64", "65-69", "70-74", "75-79", "80-84", "85+")</f>
        <v>70-74</v>
      </c>
      <c r="D271" t="s">
        <v>8</v>
      </c>
    </row>
    <row r="272" spans="1:4">
      <c r="A272" t="s">
        <v>6</v>
      </c>
      <c r="B272">
        <v>35</v>
      </c>
      <c r="C272" t="str">
        <f>CHOOSE(MATCH(B272, {20,25,30,35,40,45,50,55,60,65,70,75,80,85}, 1), "20-24", "25-29", "30-34", "35-39", "40-44", "45-49", "50-54", "55-59", "60-64", "65-69", "70-74", "75-79", "80-84", "85+")</f>
        <v>35-39</v>
      </c>
      <c r="D272" t="s">
        <v>7</v>
      </c>
    </row>
    <row r="273" spans="1:4">
      <c r="A273" t="s">
        <v>6</v>
      </c>
      <c r="B273">
        <v>62</v>
      </c>
      <c r="C273" t="str">
        <f>CHOOSE(MATCH(B273, {20,25,30,35,40,45,50,55,60,65,70,75,80,85}, 1), "20-24", "25-29", "30-34", "35-39", "40-44", "45-49", "50-54", "55-59", "60-64", "65-69", "70-74", "75-79", "80-84", "85+")</f>
        <v>60-64</v>
      </c>
      <c r="D273" t="s">
        <v>8</v>
      </c>
    </row>
    <row r="274" spans="1:4">
      <c r="A274" t="s">
        <v>6</v>
      </c>
      <c r="B274">
        <v>24</v>
      </c>
      <c r="C274" t="str">
        <f>CHOOSE(MATCH(B274, {20,25,30,35,40,45,50,55,60,65,70,75,80,85}, 1), "20-24", "25-29", "30-34", "35-39", "40-44", "45-49", "50-54", "55-59", "60-64", "65-69", "70-74", "75-79", "80-84", "85+")</f>
        <v>20-24</v>
      </c>
      <c r="D274" t="s">
        <v>8</v>
      </c>
    </row>
    <row r="275" spans="1:4">
      <c r="A275" t="s">
        <v>6</v>
      </c>
      <c r="B275">
        <v>79</v>
      </c>
      <c r="C275" t="str">
        <f>CHOOSE(MATCH(B275, {20,25,30,35,40,45,50,55,60,65,70,75,80,85}, 1), "20-24", "25-29", "30-34", "35-39", "40-44", "45-49", "50-54", "55-59", "60-64", "65-69", "70-74", "75-79", "80-84", "85+")</f>
        <v>75-79</v>
      </c>
      <c r="D275" t="s">
        <v>7</v>
      </c>
    </row>
    <row r="276" spans="1:4">
      <c r="A276" t="s">
        <v>6</v>
      </c>
      <c r="B276">
        <v>46</v>
      </c>
      <c r="C276" t="str">
        <f>CHOOSE(MATCH(B276, {20,25,30,35,40,45,50,55,60,65,70,75,80,85}, 1), "20-24", "25-29", "30-34", "35-39", "40-44", "45-49", "50-54", "55-59", "60-64", "65-69", "70-74", "75-79", "80-84", "85+")</f>
        <v>45-49</v>
      </c>
      <c r="D276" t="s">
        <v>8</v>
      </c>
    </row>
    <row r="277" spans="1:4">
      <c r="A277" t="s">
        <v>6</v>
      </c>
      <c r="B277">
        <v>29</v>
      </c>
      <c r="C277" t="str">
        <f>CHOOSE(MATCH(B277, {20,25,30,35,40,45,50,55,60,65,70,75,80,85}, 1), "20-24", "25-29", "30-34", "35-39", "40-44", "45-49", "50-54", "55-59", "60-64", "65-69", "70-74", "75-79", "80-84", "85+")</f>
        <v>25-29</v>
      </c>
      <c r="D277" t="s">
        <v>8</v>
      </c>
    </row>
    <row r="278" spans="1:4">
      <c r="A278" t="s">
        <v>6</v>
      </c>
      <c r="B278">
        <v>31</v>
      </c>
      <c r="C278" t="str">
        <f>CHOOSE(MATCH(B278, {20,25,30,35,40,45,50,55,60,65,70,75,80,85}, 1), "20-24", "25-29", "30-34", "35-39", "40-44", "45-49", "50-54", "55-59", "60-64", "65-69", "70-74", "75-79", "80-84", "85+")</f>
        <v>30-34</v>
      </c>
      <c r="D278" t="s">
        <v>8</v>
      </c>
    </row>
    <row r="279" spans="1:4">
      <c r="A279" t="s">
        <v>6</v>
      </c>
      <c r="B279">
        <v>75</v>
      </c>
      <c r="C279" t="str">
        <f>CHOOSE(MATCH(B279, {20,25,30,35,40,45,50,55,60,65,70,75,80,85}, 1), "20-24", "25-29", "30-34", "35-39", "40-44", "45-49", "50-54", "55-59", "60-64", "65-69", "70-74", "75-79", "80-84", "85+")</f>
        <v>75-79</v>
      </c>
      <c r="D279" t="s">
        <v>7</v>
      </c>
    </row>
    <row r="280" spans="1:4">
      <c r="A280" t="s">
        <v>6</v>
      </c>
      <c r="B280">
        <v>54</v>
      </c>
      <c r="C280" t="str">
        <f>CHOOSE(MATCH(B280, {20,25,30,35,40,45,50,55,60,65,70,75,80,85}, 1), "20-24", "25-29", "30-34", "35-39", "40-44", "45-49", "50-54", "55-59", "60-64", "65-69", "70-74", "75-79", "80-84", "85+")</f>
        <v>50-54</v>
      </c>
      <c r="D280" t="s">
        <v>8</v>
      </c>
    </row>
    <row r="281" spans="1:4">
      <c r="A281" t="s">
        <v>6</v>
      </c>
      <c r="B281">
        <v>47</v>
      </c>
      <c r="C281" t="str">
        <f>CHOOSE(MATCH(B281, {20,25,30,35,40,45,50,55,60,65,70,75,80,85}, 1), "20-24", "25-29", "30-34", "35-39", "40-44", "45-49", "50-54", "55-59", "60-64", "65-69", "70-74", "75-79", "80-84", "85+")</f>
        <v>45-49</v>
      </c>
      <c r="D281" t="s">
        <v>8</v>
      </c>
    </row>
    <row r="282" spans="1:4">
      <c r="A282" t="s">
        <v>6</v>
      </c>
      <c r="B282">
        <v>49</v>
      </c>
      <c r="C282" t="str">
        <f>CHOOSE(MATCH(B282, {20,25,30,35,40,45,50,55,60,65,70,75,80,85}, 1), "20-24", "25-29", "30-34", "35-39", "40-44", "45-49", "50-54", "55-59", "60-64", "65-69", "70-74", "75-79", "80-84", "85+")</f>
        <v>45-49</v>
      </c>
      <c r="D282" t="s">
        <v>8</v>
      </c>
    </row>
    <row r="283" spans="1:4">
      <c r="A283" t="s">
        <v>6</v>
      </c>
      <c r="B283">
        <v>23</v>
      </c>
      <c r="C283" t="str">
        <f>CHOOSE(MATCH(B283, {20,25,30,35,40,45,50,55,60,65,70,75,80,85}, 1), "20-24", "25-29", "30-34", "35-39", "40-44", "45-49", "50-54", "55-59", "60-64", "65-69", "70-74", "75-79", "80-84", "85+")</f>
        <v>20-24</v>
      </c>
      <c r="D283" t="s">
        <v>8</v>
      </c>
    </row>
    <row r="284" spans="1:4">
      <c r="A284" t="s">
        <v>6</v>
      </c>
      <c r="B284">
        <v>65</v>
      </c>
      <c r="C284" t="str">
        <f>CHOOSE(MATCH(B284, {20,25,30,35,40,45,50,55,60,65,70,75,80,85}, 1), "20-24", "25-29", "30-34", "35-39", "40-44", "45-49", "50-54", "55-59", "60-64", "65-69", "70-74", "75-79", "80-84", "85+")</f>
        <v>65-69</v>
      </c>
      <c r="D284" t="s">
        <v>7</v>
      </c>
    </row>
    <row r="285" spans="1:4">
      <c r="A285" t="s">
        <v>6</v>
      </c>
      <c r="B285">
        <v>76</v>
      </c>
      <c r="C285" t="str">
        <f>CHOOSE(MATCH(B285, {20,25,30,35,40,45,50,55,60,65,70,75,80,85}, 1), "20-24", "25-29", "30-34", "35-39", "40-44", "45-49", "50-54", "55-59", "60-64", "65-69", "70-74", "75-79", "80-84", "85+")</f>
        <v>75-79</v>
      </c>
      <c r="D285" t="s">
        <v>7</v>
      </c>
    </row>
    <row r="286" spans="1:4">
      <c r="A286" t="s">
        <v>6</v>
      </c>
      <c r="B286">
        <v>38</v>
      </c>
      <c r="C286" t="str">
        <f>CHOOSE(MATCH(B286, {20,25,30,35,40,45,50,55,60,65,70,75,80,85}, 1), "20-24", "25-29", "30-34", "35-39", "40-44", "45-49", "50-54", "55-59", "60-64", "65-69", "70-74", "75-79", "80-84", "85+")</f>
        <v>35-39</v>
      </c>
      <c r="D286" t="s">
        <v>8</v>
      </c>
    </row>
    <row r="287" spans="1:4">
      <c r="A287" t="s">
        <v>6</v>
      </c>
      <c r="B287">
        <v>45</v>
      </c>
      <c r="C287" t="str">
        <f>CHOOSE(MATCH(B287, {20,25,30,35,40,45,50,55,60,65,70,75,80,85}, 1), "20-24", "25-29", "30-34", "35-39", "40-44", "45-49", "50-54", "55-59", "60-64", "65-69", "70-74", "75-79", "80-84", "85+")</f>
        <v>45-49</v>
      </c>
      <c r="D287" t="s">
        <v>8</v>
      </c>
    </row>
    <row r="288" spans="1:4">
      <c r="A288" t="s">
        <v>6</v>
      </c>
      <c r="B288">
        <v>39</v>
      </c>
      <c r="C288" t="str">
        <f>CHOOSE(MATCH(B288, {20,25,30,35,40,45,50,55,60,65,70,75,80,85}, 1), "20-24", "25-29", "30-34", "35-39", "40-44", "45-49", "50-54", "55-59", "60-64", "65-69", "70-74", "75-79", "80-84", "85+")</f>
        <v>35-39</v>
      </c>
      <c r="D288" t="s">
        <v>8</v>
      </c>
    </row>
    <row r="289" spans="1:4">
      <c r="A289" t="s">
        <v>6</v>
      </c>
      <c r="B289">
        <v>31</v>
      </c>
      <c r="C289" t="str">
        <f>CHOOSE(MATCH(B289, {20,25,30,35,40,45,50,55,60,65,70,75,80,85}, 1), "20-24", "25-29", "30-34", "35-39", "40-44", "45-49", "50-54", "55-59", "60-64", "65-69", "70-74", "75-79", "80-84", "85+")</f>
        <v>30-34</v>
      </c>
      <c r="D289" t="s">
        <v>7</v>
      </c>
    </row>
    <row r="290" spans="1:4">
      <c r="A290" t="s">
        <v>6</v>
      </c>
      <c r="B290">
        <v>35</v>
      </c>
      <c r="C290" t="str">
        <f>CHOOSE(MATCH(B290, {20,25,30,35,40,45,50,55,60,65,70,75,80,85}, 1), "20-24", "25-29", "30-34", "35-39", "40-44", "45-49", "50-54", "55-59", "60-64", "65-69", "70-74", "75-79", "80-84", "85+")</f>
        <v>35-39</v>
      </c>
      <c r="D290" t="s">
        <v>7</v>
      </c>
    </row>
    <row r="291" spans="1:4">
      <c r="A291" t="s">
        <v>6</v>
      </c>
      <c r="B291">
        <v>32</v>
      </c>
      <c r="C291" t="str">
        <f>CHOOSE(MATCH(B291, {20,25,30,35,40,45,50,55,60,65,70,75,80,85}, 1), "20-24", "25-29", "30-34", "35-39", "40-44", "45-49", "50-54", "55-59", "60-64", "65-69", "70-74", "75-79", "80-84", "85+")</f>
        <v>30-34</v>
      </c>
      <c r="D291" t="s">
        <v>7</v>
      </c>
    </row>
    <row r="292" spans="1:4">
      <c r="A292" t="s">
        <v>6</v>
      </c>
      <c r="B292">
        <v>37</v>
      </c>
      <c r="C292" t="str">
        <f>CHOOSE(MATCH(B292, {20,25,30,35,40,45,50,55,60,65,70,75,80,85}, 1), "20-24", "25-29", "30-34", "35-39", "40-44", "45-49", "50-54", "55-59", "60-64", "65-69", "70-74", "75-79", "80-84", "85+")</f>
        <v>35-39</v>
      </c>
      <c r="D292" t="s">
        <v>8</v>
      </c>
    </row>
    <row r="293" spans="1:4">
      <c r="A293" t="s">
        <v>6</v>
      </c>
      <c r="B293">
        <v>28</v>
      </c>
      <c r="C293" t="str">
        <f>CHOOSE(MATCH(B293, {20,25,30,35,40,45,50,55,60,65,70,75,80,85}, 1), "20-24", "25-29", "30-34", "35-39", "40-44", "45-49", "50-54", "55-59", "60-64", "65-69", "70-74", "75-79", "80-84", "85+")</f>
        <v>25-29</v>
      </c>
      <c r="D293" t="s">
        <v>7</v>
      </c>
    </row>
    <row r="294" spans="1:4">
      <c r="A294" t="s">
        <v>6</v>
      </c>
      <c r="B294">
        <v>25</v>
      </c>
      <c r="C294" t="str">
        <f>CHOOSE(MATCH(B294, {20,25,30,35,40,45,50,55,60,65,70,75,80,85}, 1), "20-24", "25-29", "30-34", "35-39", "40-44", "45-49", "50-54", "55-59", "60-64", "65-69", "70-74", "75-79", "80-84", "85+")</f>
        <v>25-29</v>
      </c>
      <c r="D294" t="s">
        <v>7</v>
      </c>
    </row>
    <row r="295" spans="1:4">
      <c r="A295" t="s">
        <v>6</v>
      </c>
      <c r="B295">
        <v>42</v>
      </c>
      <c r="C295" t="str">
        <f>CHOOSE(MATCH(B295, {20,25,30,35,40,45,50,55,60,65,70,75,80,85}, 1), "20-24", "25-29", "30-34", "35-39", "40-44", "45-49", "50-54", "55-59", "60-64", "65-69", "70-74", "75-79", "80-84", "85+")</f>
        <v>40-44</v>
      </c>
      <c r="D295" t="s">
        <v>7</v>
      </c>
    </row>
    <row r="296" spans="1:4">
      <c r="A296" t="s">
        <v>6</v>
      </c>
      <c r="B296">
        <v>33</v>
      </c>
      <c r="C296" t="str">
        <f>CHOOSE(MATCH(B296, {20,25,30,35,40,45,50,55,60,65,70,75,80,85}, 1), "20-24", "25-29", "30-34", "35-39", "40-44", "45-49", "50-54", "55-59", "60-64", "65-69", "70-74", "75-79", "80-84", "85+")</f>
        <v>30-34</v>
      </c>
      <c r="D296" t="s">
        <v>7</v>
      </c>
    </row>
    <row r="297" spans="1:4">
      <c r="A297" t="s">
        <v>6</v>
      </c>
      <c r="B297">
        <v>38</v>
      </c>
      <c r="C297" t="str">
        <f>CHOOSE(MATCH(B297, {20,25,30,35,40,45,50,55,60,65,70,75,80,85}, 1), "20-24", "25-29", "30-34", "35-39", "40-44", "45-49", "50-54", "55-59", "60-64", "65-69", "70-74", "75-79", "80-84", "85+")</f>
        <v>35-39</v>
      </c>
      <c r="D297" t="s">
        <v>8</v>
      </c>
    </row>
    <row r="298" spans="1:4">
      <c r="A298" t="s">
        <v>6</v>
      </c>
      <c r="B298">
        <v>30</v>
      </c>
      <c r="C298" t="str">
        <f>CHOOSE(MATCH(B298, {20,25,30,35,40,45,50,55,60,65,70,75,80,85}, 1), "20-24", "25-29", "30-34", "35-39", "40-44", "45-49", "50-54", "55-59", "60-64", "65-69", "70-74", "75-79", "80-84", "85+")</f>
        <v>30-34</v>
      </c>
      <c r="D298" t="s">
        <v>7</v>
      </c>
    </row>
    <row r="299" spans="1:4">
      <c r="A299" t="s">
        <v>6</v>
      </c>
      <c r="B299">
        <v>41</v>
      </c>
      <c r="C299" t="str">
        <f>CHOOSE(MATCH(B299, {20,25,30,35,40,45,50,55,60,65,70,75,80,85}, 1), "20-24", "25-29", "30-34", "35-39", "40-44", "45-49", "50-54", "55-59", "60-64", "65-69", "70-74", "75-79", "80-84", "85+")</f>
        <v>40-44</v>
      </c>
      <c r="D299" t="s">
        <v>7</v>
      </c>
    </row>
    <row r="300" spans="1:4">
      <c r="A300" t="s">
        <v>6</v>
      </c>
      <c r="B300">
        <v>27</v>
      </c>
      <c r="C300" t="str">
        <f>CHOOSE(MATCH(B300, {20,25,30,35,40,45,50,55,60,65,70,75,80,85}, 1), "20-24", "25-29", "30-34", "35-39", "40-44", "45-49", "50-54", "55-59", "60-64", "65-69", "70-74", "75-79", "80-84", "85+")</f>
        <v>25-29</v>
      </c>
      <c r="D300" t="s">
        <v>8</v>
      </c>
    </row>
    <row r="301" spans="1:4">
      <c r="A301" t="s">
        <v>6</v>
      </c>
      <c r="B301">
        <v>47</v>
      </c>
      <c r="C301" t="str">
        <f>CHOOSE(MATCH(B301, {20,25,30,35,40,45,50,55,60,65,70,75,80,85}, 1), "20-24", "25-29", "30-34", "35-39", "40-44", "45-49", "50-54", "55-59", "60-64", "65-69", "70-74", "75-79", "80-84", "85+")</f>
        <v>45-49</v>
      </c>
      <c r="D301" t="s">
        <v>7</v>
      </c>
    </row>
    <row r="302" spans="1:4">
      <c r="A302" t="s">
        <v>6</v>
      </c>
      <c r="B302">
        <v>58</v>
      </c>
      <c r="C302" t="str">
        <f>CHOOSE(MATCH(B302, {20,25,30,35,40,45,50,55,60,65,70,75,80,85}, 1), "20-24", "25-29", "30-34", "35-39", "40-44", "45-49", "50-54", "55-59", "60-64", "65-69", "70-74", "75-79", "80-84", "85+")</f>
        <v>55-59</v>
      </c>
      <c r="D302" t="s">
        <v>7</v>
      </c>
    </row>
    <row r="303" spans="1:4">
      <c r="A303" t="s">
        <v>6</v>
      </c>
      <c r="B303">
        <v>29</v>
      </c>
      <c r="C303" t="str">
        <f>CHOOSE(MATCH(B303, {20,25,30,35,40,45,50,55,60,65,70,75,80,85}, 1), "20-24", "25-29", "30-34", "35-39", "40-44", "45-49", "50-54", "55-59", "60-64", "65-69", "70-74", "75-79", "80-84", "85+")</f>
        <v>25-29</v>
      </c>
      <c r="D303" t="s">
        <v>7</v>
      </c>
    </row>
    <row r="304" spans="1:4">
      <c r="A304" t="s">
        <v>6</v>
      </c>
      <c r="B304">
        <v>33</v>
      </c>
      <c r="C304" t="str">
        <f>CHOOSE(MATCH(B304, {20,25,30,35,40,45,50,55,60,65,70,75,80,85}, 1), "20-24", "25-29", "30-34", "35-39", "40-44", "45-49", "50-54", "55-59", "60-64", "65-69", "70-74", "75-79", "80-84", "85+")</f>
        <v>30-34</v>
      </c>
      <c r="D304" t="s">
        <v>7</v>
      </c>
    </row>
    <row r="305" spans="1:4">
      <c r="A305" t="s">
        <v>6</v>
      </c>
      <c r="B305">
        <v>61</v>
      </c>
      <c r="C305" t="str">
        <f>CHOOSE(MATCH(B305, {20,25,30,35,40,45,50,55,60,65,70,75,80,85}, 1), "20-24", "25-29", "30-34", "35-39", "40-44", "45-49", "50-54", "55-59", "60-64", "65-69", "70-74", "75-79", "80-84", "85+")</f>
        <v>60-64</v>
      </c>
      <c r="D305" t="s">
        <v>7</v>
      </c>
    </row>
    <row r="306" spans="1:4">
      <c r="A306" t="s">
        <v>6</v>
      </c>
      <c r="B306">
        <v>71</v>
      </c>
      <c r="C306" t="str">
        <f>CHOOSE(MATCH(B306, {20,25,30,35,40,45,50,55,60,65,70,75,80,85}, 1), "20-24", "25-29", "30-34", "35-39", "40-44", "45-49", "50-54", "55-59", "60-64", "65-69", "70-74", "75-79", "80-84", "85+")</f>
        <v>70-74</v>
      </c>
      <c r="D306" t="s">
        <v>8</v>
      </c>
    </row>
    <row r="307" spans="1:4">
      <c r="A307" t="s">
        <v>6</v>
      </c>
      <c r="B307">
        <v>44</v>
      </c>
      <c r="C307" t="str">
        <f>CHOOSE(MATCH(B307, {20,25,30,35,40,45,50,55,60,65,70,75,80,85}, 1), "20-24", "25-29", "30-34", "35-39", "40-44", "45-49", "50-54", "55-59", "60-64", "65-69", "70-74", "75-79", "80-84", "85+")</f>
        <v>40-44</v>
      </c>
      <c r="D307" t="s">
        <v>8</v>
      </c>
    </row>
    <row r="308" spans="1:4">
      <c r="A308" t="s">
        <v>6</v>
      </c>
      <c r="B308">
        <v>34</v>
      </c>
      <c r="C308" t="str">
        <f>CHOOSE(MATCH(B308, {20,25,30,35,40,45,50,55,60,65,70,75,80,85}, 1), "20-24", "25-29", "30-34", "35-39", "40-44", "45-49", "50-54", "55-59", "60-64", "65-69", "70-74", "75-79", "80-84", "85+")</f>
        <v>30-34</v>
      </c>
      <c r="D308" t="s">
        <v>8</v>
      </c>
    </row>
    <row r="309" spans="1:4">
      <c r="A309" t="s">
        <v>6</v>
      </c>
      <c r="B309">
        <v>31</v>
      </c>
      <c r="C309" t="str">
        <f>CHOOSE(MATCH(B309, {20,25,30,35,40,45,50,55,60,65,70,75,80,85}, 1), "20-24", "25-29", "30-34", "35-39", "40-44", "45-49", "50-54", "55-59", "60-64", "65-69", "70-74", "75-79", "80-84", "85+")</f>
        <v>30-34</v>
      </c>
      <c r="D309" t="s">
        <v>7</v>
      </c>
    </row>
    <row r="310" spans="1:4">
      <c r="A310" t="s">
        <v>6</v>
      </c>
      <c r="B310">
        <v>65</v>
      </c>
      <c r="C310" t="str">
        <f>CHOOSE(MATCH(B310, {20,25,30,35,40,45,50,55,60,65,70,75,80,85}, 1), "20-24", "25-29", "30-34", "35-39", "40-44", "45-49", "50-54", "55-59", "60-64", "65-69", "70-74", "75-79", "80-84", "85+")</f>
        <v>65-69</v>
      </c>
      <c r="D310" t="s">
        <v>7</v>
      </c>
    </row>
    <row r="311" spans="1:4">
      <c r="A311" t="s">
        <v>6</v>
      </c>
      <c r="B311">
        <v>60</v>
      </c>
      <c r="C311" t="str">
        <f>CHOOSE(MATCH(B311, {20,25,30,35,40,45,50,55,60,65,70,75,80,85}, 1), "20-24", "25-29", "30-34", "35-39", "40-44", "45-49", "50-54", "55-59", "60-64", "65-69", "70-74", "75-79", "80-84", "85+")</f>
        <v>60-64</v>
      </c>
      <c r="D311" t="s">
        <v>7</v>
      </c>
    </row>
    <row r="312" spans="1:4">
      <c r="A312" t="s">
        <v>6</v>
      </c>
      <c r="B312">
        <v>37</v>
      </c>
      <c r="C312" t="str">
        <f>CHOOSE(MATCH(B312, {20,25,30,35,40,45,50,55,60,65,70,75,80,85}, 1), "20-24", "25-29", "30-34", "35-39", "40-44", "45-49", "50-54", "55-59", "60-64", "65-69", "70-74", "75-79", "80-84", "85+")</f>
        <v>35-39</v>
      </c>
      <c r="D312" t="s">
        <v>8</v>
      </c>
    </row>
    <row r="313" spans="1:4">
      <c r="A313" t="s">
        <v>6</v>
      </c>
      <c r="B313">
        <v>31</v>
      </c>
      <c r="C313" t="str">
        <f>CHOOSE(MATCH(B313, {20,25,30,35,40,45,50,55,60,65,70,75,80,85}, 1), "20-24", "25-29", "30-34", "35-39", "40-44", "45-49", "50-54", "55-59", "60-64", "65-69", "70-74", "75-79", "80-84", "85+")</f>
        <v>30-34</v>
      </c>
      <c r="D313" t="s">
        <v>8</v>
      </c>
    </row>
    <row r="314" spans="1:4">
      <c r="A314" t="s">
        <v>6</v>
      </c>
      <c r="B314">
        <v>58</v>
      </c>
      <c r="C314" t="str">
        <f>CHOOSE(MATCH(B314, {20,25,30,35,40,45,50,55,60,65,70,75,80,85}, 1), "20-24", "25-29", "30-34", "35-39", "40-44", "45-49", "50-54", "55-59", "60-64", "65-69", "70-74", "75-79", "80-84", "85+")</f>
        <v>55-59</v>
      </c>
      <c r="D314" t="s">
        <v>7</v>
      </c>
    </row>
    <row r="315" spans="1:4">
      <c r="A315" t="s">
        <v>6</v>
      </c>
      <c r="B315">
        <v>70</v>
      </c>
      <c r="C315" t="str">
        <f>CHOOSE(MATCH(B315, {20,25,30,35,40,45,50,55,60,65,70,75,80,85}, 1), "20-24", "25-29", "30-34", "35-39", "40-44", "45-49", "50-54", "55-59", "60-64", "65-69", "70-74", "75-79", "80-84", "85+")</f>
        <v>70-74</v>
      </c>
      <c r="D315" t="s">
        <v>7</v>
      </c>
    </row>
    <row r="316" spans="1:4">
      <c r="A316" t="s">
        <v>6</v>
      </c>
      <c r="B316">
        <v>37</v>
      </c>
      <c r="C316" t="str">
        <f>CHOOSE(MATCH(B316, {20,25,30,35,40,45,50,55,60,65,70,75,80,85}, 1), "20-24", "25-29", "30-34", "35-39", "40-44", "45-49", "50-54", "55-59", "60-64", "65-69", "70-74", "75-79", "80-84", "85+")</f>
        <v>35-39</v>
      </c>
      <c r="D316" t="s">
        <v>7</v>
      </c>
    </row>
    <row r="317" spans="1:4">
      <c r="A317" t="s">
        <v>6</v>
      </c>
      <c r="B317">
        <v>27</v>
      </c>
      <c r="C317" t="str">
        <f>CHOOSE(MATCH(B317, {20,25,30,35,40,45,50,55,60,65,70,75,80,85}, 1), "20-24", "25-29", "30-34", "35-39", "40-44", "45-49", "50-54", "55-59", "60-64", "65-69", "70-74", "75-79", "80-84", "85+")</f>
        <v>25-29</v>
      </c>
      <c r="D317" t="s">
        <v>7</v>
      </c>
    </row>
    <row r="318" spans="1:4">
      <c r="A318" t="s">
        <v>6</v>
      </c>
      <c r="B318">
        <v>58</v>
      </c>
      <c r="C318" t="str">
        <f>CHOOSE(MATCH(B318, {20,25,30,35,40,45,50,55,60,65,70,75,80,85}, 1), "20-24", "25-29", "30-34", "35-39", "40-44", "45-49", "50-54", "55-59", "60-64", "65-69", "70-74", "75-79", "80-84", "85+")</f>
        <v>55-59</v>
      </c>
      <c r="D318" t="s">
        <v>7</v>
      </c>
    </row>
    <row r="319" spans="1:4">
      <c r="A319" t="s">
        <v>6</v>
      </c>
      <c r="B319">
        <v>23</v>
      </c>
      <c r="C319" t="str">
        <f>CHOOSE(MATCH(B319, {20,25,30,35,40,45,50,55,60,65,70,75,80,85}, 1), "20-24", "25-29", "30-34", "35-39", "40-44", "45-49", "50-54", "55-59", "60-64", "65-69", "70-74", "75-79", "80-84", "85+")</f>
        <v>20-24</v>
      </c>
      <c r="D319" t="s">
        <v>7</v>
      </c>
    </row>
    <row r="320" spans="1:4">
      <c r="A320" t="s">
        <v>6</v>
      </c>
      <c r="B320">
        <v>32</v>
      </c>
      <c r="C320" t="str">
        <f>CHOOSE(MATCH(B320, {20,25,30,35,40,45,50,55,60,65,70,75,80,85}, 1), "20-24", "25-29", "30-34", "35-39", "40-44", "45-49", "50-54", "55-59", "60-64", "65-69", "70-74", "75-79", "80-84", "85+")</f>
        <v>30-34</v>
      </c>
      <c r="D320" t="s">
        <v>8</v>
      </c>
    </row>
    <row r="321" spans="1:4">
      <c r="A321" t="s">
        <v>6</v>
      </c>
      <c r="B321">
        <v>33</v>
      </c>
      <c r="C321" t="str">
        <f>CHOOSE(MATCH(B321, {20,25,30,35,40,45,50,55,60,65,70,75,80,85}, 1), "20-24", "25-29", "30-34", "35-39", "40-44", "45-49", "50-54", "55-59", "60-64", "65-69", "70-74", "75-79", "80-84", "85+")</f>
        <v>30-34</v>
      </c>
      <c r="D321" t="s">
        <v>8</v>
      </c>
    </row>
    <row r="322" spans="1:4">
      <c r="A322" t="s">
        <v>6</v>
      </c>
      <c r="B322">
        <v>38</v>
      </c>
      <c r="C322" t="str">
        <f>CHOOSE(MATCH(B322, {20,25,30,35,40,45,50,55,60,65,70,75,80,85}, 1), "20-24", "25-29", "30-34", "35-39", "40-44", "45-49", "50-54", "55-59", "60-64", "65-69", "70-74", "75-79", "80-84", "85+")</f>
        <v>35-39</v>
      </c>
      <c r="D322" t="s">
        <v>8</v>
      </c>
    </row>
    <row r="323" spans="1:4">
      <c r="A323" t="s">
        <v>6</v>
      </c>
      <c r="B323">
        <v>34</v>
      </c>
      <c r="C323" t="str">
        <f>CHOOSE(MATCH(B323, {20,25,30,35,40,45,50,55,60,65,70,75,80,85}, 1), "20-24", "25-29", "30-34", "35-39", "40-44", "45-49", "50-54", "55-59", "60-64", "65-69", "70-74", "75-79", "80-84", "85+")</f>
        <v>30-34</v>
      </c>
      <c r="D323" t="s">
        <v>7</v>
      </c>
    </row>
    <row r="324" spans="1:4">
      <c r="A324" t="s">
        <v>6</v>
      </c>
      <c r="B324">
        <v>63</v>
      </c>
      <c r="C324" t="str">
        <f>CHOOSE(MATCH(B324, {20,25,30,35,40,45,50,55,60,65,70,75,80,85}, 1), "20-24", "25-29", "30-34", "35-39", "40-44", "45-49", "50-54", "55-59", "60-64", "65-69", "70-74", "75-79", "80-84", "85+")</f>
        <v>60-64</v>
      </c>
      <c r="D324" t="s">
        <v>8</v>
      </c>
    </row>
    <row r="325" spans="1:4">
      <c r="A325" t="s">
        <v>6</v>
      </c>
      <c r="B325">
        <v>35</v>
      </c>
      <c r="C325" t="str">
        <f>CHOOSE(MATCH(B325, {20,25,30,35,40,45,50,55,60,65,70,75,80,85}, 1), "20-24", "25-29", "30-34", "35-39", "40-44", "45-49", "50-54", "55-59", "60-64", "65-69", "70-74", "75-79", "80-84", "85+")</f>
        <v>35-39</v>
      </c>
      <c r="D325" t="s">
        <v>8</v>
      </c>
    </row>
    <row r="326" spans="1:4">
      <c r="A326" t="s">
        <v>6</v>
      </c>
      <c r="B326">
        <v>30</v>
      </c>
      <c r="C326" t="str">
        <f>CHOOSE(MATCH(B326, {20,25,30,35,40,45,50,55,60,65,70,75,80,85}, 1), "20-24", "25-29", "30-34", "35-39", "40-44", "45-49", "50-54", "55-59", "60-64", "65-69", "70-74", "75-79", "80-84", "85+")</f>
        <v>30-34</v>
      </c>
      <c r="D326" t="s">
        <v>7</v>
      </c>
    </row>
    <row r="327" spans="1:4">
      <c r="A327" t="s">
        <v>6</v>
      </c>
      <c r="B327">
        <v>31</v>
      </c>
      <c r="C327" t="str">
        <f>CHOOSE(MATCH(B327, {20,25,30,35,40,45,50,55,60,65,70,75,80,85}, 1), "20-24", "25-29", "30-34", "35-39", "40-44", "45-49", "50-54", "55-59", "60-64", "65-69", "70-74", "75-79", "80-84", "85+")</f>
        <v>30-34</v>
      </c>
      <c r="D327" t="s">
        <v>8</v>
      </c>
    </row>
    <row r="328" spans="1:4">
      <c r="A328" t="s">
        <v>6</v>
      </c>
      <c r="B328">
        <v>47</v>
      </c>
      <c r="C328" t="str">
        <f>CHOOSE(MATCH(B328, {20,25,30,35,40,45,50,55,60,65,70,75,80,85}, 1), "20-24", "25-29", "30-34", "35-39", "40-44", "45-49", "50-54", "55-59", "60-64", "65-69", "70-74", "75-79", "80-84", "85+")</f>
        <v>45-49</v>
      </c>
      <c r="D328" t="s">
        <v>7</v>
      </c>
    </row>
    <row r="329" spans="1:4">
      <c r="A329" t="s">
        <v>6</v>
      </c>
      <c r="B329">
        <v>78</v>
      </c>
      <c r="C329" t="str">
        <f>CHOOSE(MATCH(B329, {20,25,30,35,40,45,50,55,60,65,70,75,80,85}, 1), "20-24", "25-29", "30-34", "35-39", "40-44", "45-49", "50-54", "55-59", "60-64", "65-69", "70-74", "75-79", "80-84", "85+")</f>
        <v>75-79</v>
      </c>
      <c r="D329" t="s">
        <v>7</v>
      </c>
    </row>
    <row r="330" spans="1:4">
      <c r="A330" t="s">
        <v>6</v>
      </c>
      <c r="B330">
        <v>50</v>
      </c>
      <c r="C330" t="str">
        <f>CHOOSE(MATCH(B330, {20,25,30,35,40,45,50,55,60,65,70,75,80,85}, 1), "20-24", "25-29", "30-34", "35-39", "40-44", "45-49", "50-54", "55-59", "60-64", "65-69", "70-74", "75-79", "80-84", "85+")</f>
        <v>50-54</v>
      </c>
      <c r="D330" t="s">
        <v>7</v>
      </c>
    </row>
    <row r="331" spans="1:4">
      <c r="A331" t="s">
        <v>6</v>
      </c>
      <c r="B331">
        <v>40</v>
      </c>
      <c r="C331" t="str">
        <f>CHOOSE(MATCH(B331, {20,25,30,35,40,45,50,55,60,65,70,75,80,85}, 1), "20-24", "25-29", "30-34", "35-39", "40-44", "45-49", "50-54", "55-59", "60-64", "65-69", "70-74", "75-79", "80-84", "85+")</f>
        <v>40-44</v>
      </c>
      <c r="D331" t="s">
        <v>7</v>
      </c>
    </row>
    <row r="332" spans="1:4">
      <c r="A332" t="s">
        <v>6</v>
      </c>
      <c r="B332">
        <v>32</v>
      </c>
      <c r="C332" t="str">
        <f>CHOOSE(MATCH(B332, {20,25,30,35,40,45,50,55,60,65,70,75,80,85}, 1), "20-24", "25-29", "30-34", "35-39", "40-44", "45-49", "50-54", "55-59", "60-64", "65-69", "70-74", "75-79", "80-84", "85+")</f>
        <v>30-34</v>
      </c>
      <c r="D332" t="s">
        <v>7</v>
      </c>
    </row>
    <row r="333" spans="1:4">
      <c r="A333" t="s">
        <v>6</v>
      </c>
      <c r="B333">
        <v>36</v>
      </c>
      <c r="C333" t="str">
        <f>CHOOSE(MATCH(B333, {20,25,30,35,40,45,50,55,60,65,70,75,80,85}, 1), "20-24", "25-29", "30-34", "35-39", "40-44", "45-49", "50-54", "55-59", "60-64", "65-69", "70-74", "75-79", "80-84", "85+")</f>
        <v>35-39</v>
      </c>
      <c r="D333" t="s">
        <v>7</v>
      </c>
    </row>
    <row r="334" spans="1:4">
      <c r="A334" t="s">
        <v>6</v>
      </c>
      <c r="B334">
        <v>34</v>
      </c>
      <c r="C334" t="str">
        <f>CHOOSE(MATCH(B334, {20,25,30,35,40,45,50,55,60,65,70,75,80,85}, 1), "20-24", "25-29", "30-34", "35-39", "40-44", "45-49", "50-54", "55-59", "60-64", "65-69", "70-74", "75-79", "80-84", "85+")</f>
        <v>30-34</v>
      </c>
      <c r="D334" t="s">
        <v>7</v>
      </c>
    </row>
    <row r="335" spans="1:4">
      <c r="A335" t="s">
        <v>6</v>
      </c>
      <c r="B335">
        <v>61</v>
      </c>
      <c r="C335" t="str">
        <f>CHOOSE(MATCH(B335, {20,25,30,35,40,45,50,55,60,65,70,75,80,85}, 1), "20-24", "25-29", "30-34", "35-39", "40-44", "45-49", "50-54", "55-59", "60-64", "65-69", "70-74", "75-79", "80-84", "85+")</f>
        <v>60-64</v>
      </c>
      <c r="D335" t="s">
        <v>8</v>
      </c>
    </row>
    <row r="336" spans="1:4">
      <c r="A336" t="s">
        <v>6</v>
      </c>
      <c r="B336">
        <v>25</v>
      </c>
      <c r="C336" t="str">
        <f>CHOOSE(MATCH(B336, {20,25,30,35,40,45,50,55,60,65,70,75,80,85}, 1), "20-24", "25-29", "30-34", "35-39", "40-44", "45-49", "50-54", "55-59", "60-64", "65-69", "70-74", "75-79", "80-84", "85+")</f>
        <v>25-29</v>
      </c>
      <c r="D336" t="s">
        <v>8</v>
      </c>
    </row>
    <row r="337" spans="1:4">
      <c r="A337" t="s">
        <v>6</v>
      </c>
      <c r="B337">
        <v>26</v>
      </c>
      <c r="C337" t="str">
        <f>CHOOSE(MATCH(B337, {20,25,30,35,40,45,50,55,60,65,70,75,80,85}, 1), "20-24", "25-29", "30-34", "35-39", "40-44", "45-49", "50-54", "55-59", "60-64", "65-69", "70-74", "75-79", "80-84", "85+")</f>
        <v>25-29</v>
      </c>
      <c r="D337" t="s">
        <v>7</v>
      </c>
    </row>
    <row r="338" spans="1:4">
      <c r="A338" t="s">
        <v>6</v>
      </c>
      <c r="B338">
        <v>27</v>
      </c>
      <c r="C338" t="str">
        <f>CHOOSE(MATCH(B338, {20,25,30,35,40,45,50,55,60,65,70,75,80,85}, 1), "20-24", "25-29", "30-34", "35-39", "40-44", "45-49", "50-54", "55-59", "60-64", "65-69", "70-74", "75-79", "80-84", "85+")</f>
        <v>25-29</v>
      </c>
      <c r="D338" t="s">
        <v>7</v>
      </c>
    </row>
    <row r="339" spans="1:4">
      <c r="A339" t="s">
        <v>6</v>
      </c>
      <c r="B339">
        <v>75</v>
      </c>
      <c r="C339" t="str">
        <f>CHOOSE(MATCH(B339, {20,25,30,35,40,45,50,55,60,65,70,75,80,85}, 1), "20-24", "25-29", "30-34", "35-39", "40-44", "45-49", "50-54", "55-59", "60-64", "65-69", "70-74", "75-79", "80-84", "85+")</f>
        <v>75-79</v>
      </c>
      <c r="D339" t="s">
        <v>8</v>
      </c>
    </row>
    <row r="340" spans="1:4">
      <c r="A340" t="s">
        <v>6</v>
      </c>
      <c r="B340">
        <v>47</v>
      </c>
      <c r="C340" t="str">
        <f>CHOOSE(MATCH(B340, {20,25,30,35,40,45,50,55,60,65,70,75,80,85}, 1), "20-24", "25-29", "30-34", "35-39", "40-44", "45-49", "50-54", "55-59", "60-64", "65-69", "70-74", "75-79", "80-84", "85+")</f>
        <v>45-49</v>
      </c>
      <c r="D340" t="s">
        <v>8</v>
      </c>
    </row>
    <row r="341" spans="1:4">
      <c r="A341" t="s">
        <v>6</v>
      </c>
      <c r="B341">
        <v>23</v>
      </c>
      <c r="C341" t="str">
        <f>CHOOSE(MATCH(B341, {20,25,30,35,40,45,50,55,60,65,70,75,80,85}, 1), "20-24", "25-29", "30-34", "35-39", "40-44", "45-49", "50-54", "55-59", "60-64", "65-69", "70-74", "75-79", "80-84", "85+")</f>
        <v>20-24</v>
      </c>
      <c r="D341" t="s">
        <v>7</v>
      </c>
    </row>
    <row r="342" spans="1:4">
      <c r="A342" t="s">
        <v>6</v>
      </c>
      <c r="B342">
        <v>28</v>
      </c>
      <c r="C342" t="str">
        <f>CHOOSE(MATCH(B342, {20,25,30,35,40,45,50,55,60,65,70,75,80,85}, 1), "20-24", "25-29", "30-34", "35-39", "40-44", "45-49", "50-54", "55-59", "60-64", "65-69", "70-74", "75-79", "80-84", "85+")</f>
        <v>25-29</v>
      </c>
      <c r="D342" t="s">
        <v>7</v>
      </c>
    </row>
    <row r="343" spans="1:4">
      <c r="A343" t="s">
        <v>6</v>
      </c>
      <c r="B343">
        <v>54</v>
      </c>
      <c r="C343" t="str">
        <f>CHOOSE(MATCH(B343, {20,25,30,35,40,45,50,55,60,65,70,75,80,85}, 1), "20-24", "25-29", "30-34", "35-39", "40-44", "45-49", "50-54", "55-59", "60-64", "65-69", "70-74", "75-79", "80-84", "85+")</f>
        <v>50-54</v>
      </c>
      <c r="D343" t="s">
        <v>7</v>
      </c>
    </row>
    <row r="344" spans="1:4">
      <c r="A344" t="s">
        <v>6</v>
      </c>
      <c r="B344">
        <v>28</v>
      </c>
      <c r="C344" t="str">
        <f>CHOOSE(MATCH(B344, {20,25,30,35,40,45,50,55,60,65,70,75,80,85}, 1), "20-24", "25-29", "30-34", "35-39", "40-44", "45-49", "50-54", "55-59", "60-64", "65-69", "70-74", "75-79", "80-84", "85+")</f>
        <v>25-29</v>
      </c>
      <c r="D344" t="s">
        <v>7</v>
      </c>
    </row>
    <row r="345" spans="1:4">
      <c r="A345" t="s">
        <v>6</v>
      </c>
      <c r="B345">
        <v>41</v>
      </c>
      <c r="C345" t="str">
        <f>CHOOSE(MATCH(B345, {20,25,30,35,40,45,50,55,60,65,70,75,80,85}, 1), "20-24", "25-29", "30-34", "35-39", "40-44", "45-49", "50-54", "55-59", "60-64", "65-69", "70-74", "75-79", "80-84", "85+")</f>
        <v>40-44</v>
      </c>
      <c r="D345" t="s">
        <v>7</v>
      </c>
    </row>
    <row r="346" spans="1:4">
      <c r="A346" t="s">
        <v>6</v>
      </c>
      <c r="B346">
        <v>31</v>
      </c>
      <c r="C346" t="str">
        <f>CHOOSE(MATCH(B346, {20,25,30,35,40,45,50,55,60,65,70,75,80,85}, 1), "20-24", "25-29", "30-34", "35-39", "40-44", "45-49", "50-54", "55-59", "60-64", "65-69", "70-74", "75-79", "80-84", "85+")</f>
        <v>30-34</v>
      </c>
      <c r="D346" t="s">
        <v>8</v>
      </c>
    </row>
    <row r="347" spans="1:4">
      <c r="A347" t="s">
        <v>6</v>
      </c>
      <c r="B347">
        <v>75</v>
      </c>
      <c r="C347" t="str">
        <f>CHOOSE(MATCH(B347, {20,25,30,35,40,45,50,55,60,65,70,75,80,85}, 1), "20-24", "25-29", "30-34", "35-39", "40-44", "45-49", "50-54", "55-59", "60-64", "65-69", "70-74", "75-79", "80-84", "85+")</f>
        <v>75-79</v>
      </c>
      <c r="D347" t="s">
        <v>7</v>
      </c>
    </row>
    <row r="348" spans="1:4">
      <c r="A348" t="s">
        <v>6</v>
      </c>
      <c r="B348">
        <v>25</v>
      </c>
      <c r="C348" t="str">
        <f>CHOOSE(MATCH(B348, {20,25,30,35,40,45,50,55,60,65,70,75,80,85}, 1), "20-24", "25-29", "30-34", "35-39", "40-44", "45-49", "50-54", "55-59", "60-64", "65-69", "70-74", "75-79", "80-84", "85+")</f>
        <v>25-29</v>
      </c>
      <c r="D348" t="s">
        <v>7</v>
      </c>
    </row>
    <row r="349" spans="1:4">
      <c r="A349" t="s">
        <v>6</v>
      </c>
      <c r="B349">
        <v>66</v>
      </c>
      <c r="C349" t="str">
        <f>CHOOSE(MATCH(B349, {20,25,30,35,40,45,50,55,60,65,70,75,80,85}, 1), "20-24", "25-29", "30-34", "35-39", "40-44", "45-49", "50-54", "55-59", "60-64", "65-69", "70-74", "75-79", "80-84", "85+")</f>
        <v>65-69</v>
      </c>
      <c r="D349" t="s">
        <v>7</v>
      </c>
    </row>
    <row r="350" spans="1:4">
      <c r="A350" t="s">
        <v>6</v>
      </c>
      <c r="B350">
        <v>57</v>
      </c>
      <c r="C350" t="str">
        <f>CHOOSE(MATCH(B350, {20,25,30,35,40,45,50,55,60,65,70,75,80,85}, 1), "20-24", "25-29", "30-34", "35-39", "40-44", "45-49", "50-54", "55-59", "60-64", "65-69", "70-74", "75-79", "80-84", "85+")</f>
        <v>55-59</v>
      </c>
      <c r="D350" t="s">
        <v>7</v>
      </c>
    </row>
    <row r="351" spans="1:4">
      <c r="A351" t="s">
        <v>6</v>
      </c>
      <c r="B351">
        <v>59</v>
      </c>
      <c r="C351" t="str">
        <f>CHOOSE(MATCH(B351, {20,25,30,35,40,45,50,55,60,65,70,75,80,85}, 1), "20-24", "25-29", "30-34", "35-39", "40-44", "45-49", "50-54", "55-59", "60-64", "65-69", "70-74", "75-79", "80-84", "85+")</f>
        <v>55-59</v>
      </c>
      <c r="D351" t="s">
        <v>7</v>
      </c>
    </row>
    <row r="352" spans="1:4">
      <c r="A352" t="s">
        <v>6</v>
      </c>
      <c r="B352">
        <v>21</v>
      </c>
      <c r="C352" t="str">
        <f>CHOOSE(MATCH(B352, {20,25,30,35,40,45,50,55,60,65,70,75,80,85}, 1), "20-24", "25-29", "30-34", "35-39", "40-44", "45-49", "50-54", "55-59", "60-64", "65-69", "70-74", "75-79", "80-84", "85+")</f>
        <v>20-24</v>
      </c>
      <c r="D352" t="s">
        <v>7</v>
      </c>
    </row>
    <row r="353" spans="1:4">
      <c r="A353" t="s">
        <v>6</v>
      </c>
      <c r="B353">
        <v>49</v>
      </c>
      <c r="C353" t="str">
        <f>CHOOSE(MATCH(B353, {20,25,30,35,40,45,50,55,60,65,70,75,80,85}, 1), "20-24", "25-29", "30-34", "35-39", "40-44", "45-49", "50-54", "55-59", "60-64", "65-69", "70-74", "75-79", "80-84", "85+")</f>
        <v>45-49</v>
      </c>
      <c r="D353" t="s">
        <v>8</v>
      </c>
    </row>
    <row r="354" spans="1:4">
      <c r="A354" t="s">
        <v>6</v>
      </c>
      <c r="B354">
        <v>43</v>
      </c>
      <c r="C354" t="str">
        <f>CHOOSE(MATCH(B354, {20,25,30,35,40,45,50,55,60,65,70,75,80,85}, 1), "20-24", "25-29", "30-34", "35-39", "40-44", "45-49", "50-54", "55-59", "60-64", "65-69", "70-74", "75-79", "80-84", "85+")</f>
        <v>40-44</v>
      </c>
      <c r="D354" t="s">
        <v>7</v>
      </c>
    </row>
    <row r="355" spans="1:4">
      <c r="A355" t="s">
        <v>6</v>
      </c>
      <c r="B355">
        <v>37</v>
      </c>
      <c r="C355" t="str">
        <f>CHOOSE(MATCH(B355, {20,25,30,35,40,45,50,55,60,65,70,75,80,85}, 1), "20-24", "25-29", "30-34", "35-39", "40-44", "45-49", "50-54", "55-59", "60-64", "65-69", "70-74", "75-79", "80-84", "85+")</f>
        <v>35-39</v>
      </c>
      <c r="D355" t="s">
        <v>7</v>
      </c>
    </row>
    <row r="356" spans="1:4">
      <c r="A356" t="s">
        <v>6</v>
      </c>
      <c r="B356">
        <v>39</v>
      </c>
      <c r="C356" t="str">
        <f>CHOOSE(MATCH(B356, {20,25,30,35,40,45,50,55,60,65,70,75,80,85}, 1), "20-24", "25-29", "30-34", "35-39", "40-44", "45-49", "50-54", "55-59", "60-64", "65-69", "70-74", "75-79", "80-84", "85+")</f>
        <v>35-39</v>
      </c>
      <c r="D356" t="s">
        <v>7</v>
      </c>
    </row>
    <row r="357" spans="1:4">
      <c r="A357" t="s">
        <v>6</v>
      </c>
      <c r="B357">
        <v>62</v>
      </c>
      <c r="C357" t="str">
        <f>CHOOSE(MATCH(B357, {20,25,30,35,40,45,50,55,60,65,70,75,80,85}, 1), "20-24", "25-29", "30-34", "35-39", "40-44", "45-49", "50-54", "55-59", "60-64", "65-69", "70-74", "75-79", "80-84", "85+")</f>
        <v>60-64</v>
      </c>
      <c r="D357" t="s">
        <v>8</v>
      </c>
    </row>
    <row r="358" spans="1:4">
      <c r="A358" t="s">
        <v>6</v>
      </c>
      <c r="B358">
        <v>42</v>
      </c>
      <c r="C358" t="str">
        <f>CHOOSE(MATCH(B358, {20,25,30,35,40,45,50,55,60,65,70,75,80,85}, 1), "20-24", "25-29", "30-34", "35-39", "40-44", "45-49", "50-54", "55-59", "60-64", "65-69", "70-74", "75-79", "80-84", "85+")</f>
        <v>40-44</v>
      </c>
      <c r="D358" t="s">
        <v>7</v>
      </c>
    </row>
    <row r="359" spans="1:4">
      <c r="A359" t="s">
        <v>6</v>
      </c>
      <c r="B359">
        <v>27</v>
      </c>
      <c r="C359" t="str">
        <f>CHOOSE(MATCH(B359, {20,25,30,35,40,45,50,55,60,65,70,75,80,85}, 1), "20-24", "25-29", "30-34", "35-39", "40-44", "45-49", "50-54", "55-59", "60-64", "65-69", "70-74", "75-79", "80-84", "85+")</f>
        <v>25-29</v>
      </c>
      <c r="D359" t="s">
        <v>7</v>
      </c>
    </row>
    <row r="360" spans="1:4">
      <c r="A360" t="s">
        <v>6</v>
      </c>
      <c r="B360">
        <v>60</v>
      </c>
      <c r="C360" t="str">
        <f>CHOOSE(MATCH(B360, {20,25,30,35,40,45,50,55,60,65,70,75,80,85}, 1), "20-24", "25-29", "30-34", "35-39", "40-44", "45-49", "50-54", "55-59", "60-64", "65-69", "70-74", "75-79", "80-84", "85+")</f>
        <v>60-64</v>
      </c>
      <c r="D360" t="s">
        <v>7</v>
      </c>
    </row>
    <row r="361" spans="1:4">
      <c r="A361" t="s">
        <v>6</v>
      </c>
      <c r="B361">
        <v>68</v>
      </c>
      <c r="C361" t="str">
        <f>CHOOSE(MATCH(B361, {20,25,30,35,40,45,50,55,60,65,70,75,80,85}, 1), "20-24", "25-29", "30-34", "35-39", "40-44", "45-49", "50-54", "55-59", "60-64", "65-69", "70-74", "75-79", "80-84", "85+")</f>
        <v>65-69</v>
      </c>
      <c r="D361" t="s">
        <v>7</v>
      </c>
    </row>
    <row r="362" spans="1:4">
      <c r="A362" t="s">
        <v>6</v>
      </c>
      <c r="B362">
        <v>71</v>
      </c>
      <c r="C362" t="str">
        <f>CHOOSE(MATCH(B362, {20,25,30,35,40,45,50,55,60,65,70,75,80,85}, 1), "20-24", "25-29", "30-34", "35-39", "40-44", "45-49", "50-54", "55-59", "60-64", "65-69", "70-74", "75-79", "80-84", "85+")</f>
        <v>70-74</v>
      </c>
      <c r="D362" t="s">
        <v>7</v>
      </c>
    </row>
    <row r="363" spans="1:4">
      <c r="A363" t="s">
        <v>6</v>
      </c>
      <c r="B363">
        <v>42</v>
      </c>
      <c r="C363" t="str">
        <f>CHOOSE(MATCH(B363, {20,25,30,35,40,45,50,55,60,65,70,75,80,85}, 1), "20-24", "25-29", "30-34", "35-39", "40-44", "45-49", "50-54", "55-59", "60-64", "65-69", "70-74", "75-79", "80-84", "85+")</f>
        <v>40-44</v>
      </c>
      <c r="D363" t="s">
        <v>7</v>
      </c>
    </row>
    <row r="364" spans="1:4">
      <c r="A364" t="s">
        <v>6</v>
      </c>
      <c r="B364">
        <v>64</v>
      </c>
      <c r="C364" t="str">
        <f>CHOOSE(MATCH(B364, {20,25,30,35,40,45,50,55,60,65,70,75,80,85}, 1), "20-24", "25-29", "30-34", "35-39", "40-44", "45-49", "50-54", "55-59", "60-64", "65-69", "70-74", "75-79", "80-84", "85+")</f>
        <v>60-64</v>
      </c>
      <c r="D364" t="s">
        <v>7</v>
      </c>
    </row>
    <row r="365" spans="1:4">
      <c r="A365" t="s">
        <v>6</v>
      </c>
      <c r="B365">
        <v>38</v>
      </c>
      <c r="C365" t="str">
        <f>CHOOSE(MATCH(B365, {20,25,30,35,40,45,50,55,60,65,70,75,80,85}, 1), "20-24", "25-29", "30-34", "35-39", "40-44", "45-49", "50-54", "55-59", "60-64", "65-69", "70-74", "75-79", "80-84", "85+")</f>
        <v>35-39</v>
      </c>
      <c r="D365" t="s">
        <v>7</v>
      </c>
    </row>
    <row r="366" spans="1:4">
      <c r="A366" t="s">
        <v>6</v>
      </c>
      <c r="B366">
        <v>43</v>
      </c>
      <c r="C366" t="str">
        <f>CHOOSE(MATCH(B366, {20,25,30,35,40,45,50,55,60,65,70,75,80,85}, 1), "20-24", "25-29", "30-34", "35-39", "40-44", "45-49", "50-54", "55-59", "60-64", "65-69", "70-74", "75-79", "80-84", "85+")</f>
        <v>40-44</v>
      </c>
      <c r="D366" t="s">
        <v>7</v>
      </c>
    </row>
    <row r="367" spans="1:4">
      <c r="A367" t="s">
        <v>6</v>
      </c>
      <c r="B367">
        <v>28</v>
      </c>
      <c r="C367" t="str">
        <f>CHOOSE(MATCH(B367, {20,25,30,35,40,45,50,55,60,65,70,75,80,85}, 1), "20-24", "25-29", "30-34", "35-39", "40-44", "45-49", "50-54", "55-59", "60-64", "65-69", "70-74", "75-79", "80-84", "85+")</f>
        <v>25-29</v>
      </c>
      <c r="D367" t="s">
        <v>8</v>
      </c>
    </row>
    <row r="368" spans="1:4">
      <c r="A368" t="s">
        <v>6</v>
      </c>
      <c r="B368">
        <v>39</v>
      </c>
      <c r="C368" t="str">
        <f>CHOOSE(MATCH(B368, {20,25,30,35,40,45,50,55,60,65,70,75,80,85}, 1), "20-24", "25-29", "30-34", "35-39", "40-44", "45-49", "50-54", "55-59", "60-64", "65-69", "70-74", "75-79", "80-84", "85+")</f>
        <v>35-39</v>
      </c>
      <c r="D368" t="s">
        <v>8</v>
      </c>
    </row>
    <row r="369" spans="1:4">
      <c r="A369" t="s">
        <v>6</v>
      </c>
      <c r="B369">
        <v>64</v>
      </c>
      <c r="C369" t="str">
        <f>CHOOSE(MATCH(B369, {20,25,30,35,40,45,50,55,60,65,70,75,80,85}, 1), "20-24", "25-29", "30-34", "35-39", "40-44", "45-49", "50-54", "55-59", "60-64", "65-69", "70-74", "75-79", "80-84", "85+")</f>
        <v>60-64</v>
      </c>
      <c r="D369" t="s">
        <v>7</v>
      </c>
    </row>
    <row r="370" spans="1:4">
      <c r="A370" t="s">
        <v>6</v>
      </c>
      <c r="B370">
        <v>47</v>
      </c>
      <c r="C370" t="str">
        <f>CHOOSE(MATCH(B370, {20,25,30,35,40,45,50,55,60,65,70,75,80,85}, 1), "20-24", "25-29", "30-34", "35-39", "40-44", "45-49", "50-54", "55-59", "60-64", "65-69", "70-74", "75-79", "80-84", "85+")</f>
        <v>45-49</v>
      </c>
      <c r="D370" t="s">
        <v>7</v>
      </c>
    </row>
    <row r="371" spans="1:4">
      <c r="A371" t="s">
        <v>6</v>
      </c>
      <c r="B371">
        <v>23</v>
      </c>
      <c r="C371" t="str">
        <f>CHOOSE(MATCH(B371, {20,25,30,35,40,45,50,55,60,65,70,75,80,85}, 1), "20-24", "25-29", "30-34", "35-39", "40-44", "45-49", "50-54", "55-59", "60-64", "65-69", "70-74", "75-79", "80-84", "85+")</f>
        <v>20-24</v>
      </c>
      <c r="D371" t="s">
        <v>7</v>
      </c>
    </row>
    <row r="372" spans="1:4">
      <c r="A372" t="s">
        <v>6</v>
      </c>
      <c r="B372">
        <v>59</v>
      </c>
      <c r="C372" t="str">
        <f>CHOOSE(MATCH(B372, {20,25,30,35,40,45,50,55,60,65,70,75,80,85}, 1), "20-24", "25-29", "30-34", "35-39", "40-44", "45-49", "50-54", "55-59", "60-64", "65-69", "70-74", "75-79", "80-84", "85+")</f>
        <v>55-59</v>
      </c>
      <c r="D372" t="s">
        <v>8</v>
      </c>
    </row>
    <row r="373" spans="1:4">
      <c r="A373" t="s">
        <v>6</v>
      </c>
      <c r="B373">
        <v>30</v>
      </c>
      <c r="C373" t="str">
        <f>CHOOSE(MATCH(B373, {20,25,30,35,40,45,50,55,60,65,70,75,80,85}, 1), "20-24", "25-29", "30-34", "35-39", "40-44", "45-49", "50-54", "55-59", "60-64", "65-69", "70-74", "75-79", "80-84", "85+")</f>
        <v>30-34</v>
      </c>
      <c r="D373" t="s">
        <v>7</v>
      </c>
    </row>
    <row r="374" spans="1:4">
      <c r="A374" t="s">
        <v>6</v>
      </c>
      <c r="B374">
        <v>32</v>
      </c>
      <c r="C374" t="str">
        <f>CHOOSE(MATCH(B374, {20,25,30,35,40,45,50,55,60,65,70,75,80,85}, 1), "20-24", "25-29", "30-34", "35-39", "40-44", "45-49", "50-54", "55-59", "60-64", "65-69", "70-74", "75-79", "80-84", "85+")</f>
        <v>30-34</v>
      </c>
      <c r="D374" t="s">
        <v>8</v>
      </c>
    </row>
    <row r="375" spans="1:4">
      <c r="A375" t="s">
        <v>6</v>
      </c>
      <c r="B375">
        <v>41</v>
      </c>
      <c r="C375" t="str">
        <f>CHOOSE(MATCH(B375, {20,25,30,35,40,45,50,55,60,65,70,75,80,85}, 1), "20-24", "25-29", "30-34", "35-39", "40-44", "45-49", "50-54", "55-59", "60-64", "65-69", "70-74", "75-79", "80-84", "85+")</f>
        <v>40-44</v>
      </c>
      <c r="D375" t="s">
        <v>8</v>
      </c>
    </row>
    <row r="376" spans="1:4">
      <c r="A376" t="s">
        <v>6</v>
      </c>
      <c r="B376">
        <v>66</v>
      </c>
      <c r="C376" t="str">
        <f>CHOOSE(MATCH(B376, {20,25,30,35,40,45,50,55,60,65,70,75,80,85}, 1), "20-24", "25-29", "30-34", "35-39", "40-44", "45-49", "50-54", "55-59", "60-64", "65-69", "70-74", "75-79", "80-84", "85+")</f>
        <v>65-69</v>
      </c>
      <c r="D376" t="s">
        <v>8</v>
      </c>
    </row>
    <row r="377" spans="1:4">
      <c r="A377" t="s">
        <v>6</v>
      </c>
      <c r="B377">
        <v>21</v>
      </c>
      <c r="C377" t="str">
        <f>CHOOSE(MATCH(B377, {20,25,30,35,40,45,50,55,60,65,70,75,80,85}, 1), "20-24", "25-29", "30-34", "35-39", "40-44", "45-49", "50-54", "55-59", "60-64", "65-69", "70-74", "75-79", "80-84", "85+")</f>
        <v>20-24</v>
      </c>
      <c r="D377" t="s">
        <v>8</v>
      </c>
    </row>
    <row r="378" spans="1:4">
      <c r="A378" t="s">
        <v>6</v>
      </c>
      <c r="B378">
        <v>43</v>
      </c>
      <c r="C378" t="str">
        <f>CHOOSE(MATCH(B378, {20,25,30,35,40,45,50,55,60,65,70,75,80,85}, 1), "20-24", "25-29", "30-34", "35-39", "40-44", "45-49", "50-54", "55-59", "60-64", "65-69", "70-74", "75-79", "80-84", "85+")</f>
        <v>40-44</v>
      </c>
      <c r="D378" t="s">
        <v>8</v>
      </c>
    </row>
    <row r="379" spans="1:4">
      <c r="A379" t="s">
        <v>6</v>
      </c>
      <c r="B379">
        <v>52</v>
      </c>
      <c r="C379" t="str">
        <f>CHOOSE(MATCH(B379, {20,25,30,35,40,45,50,55,60,65,70,75,80,85}, 1), "20-24", "25-29", "30-34", "35-39", "40-44", "45-49", "50-54", "55-59", "60-64", "65-69", "70-74", "75-79", "80-84", "85+")</f>
        <v>50-54</v>
      </c>
      <c r="D379" t="s">
        <v>7</v>
      </c>
    </row>
    <row r="380" spans="1:4">
      <c r="A380" t="s">
        <v>6</v>
      </c>
      <c r="B380">
        <v>38</v>
      </c>
      <c r="C380" t="str">
        <f>CHOOSE(MATCH(B380, {20,25,30,35,40,45,50,55,60,65,70,75,80,85}, 1), "20-24", "25-29", "30-34", "35-39", "40-44", "45-49", "50-54", "55-59", "60-64", "65-69", "70-74", "75-79", "80-84", "85+")</f>
        <v>35-39</v>
      </c>
      <c r="D380" t="s">
        <v>7</v>
      </c>
    </row>
    <row r="381" spans="1:4">
      <c r="A381" t="s">
        <v>6</v>
      </c>
      <c r="B381">
        <v>43</v>
      </c>
      <c r="C381" t="str">
        <f>CHOOSE(MATCH(B381, {20,25,30,35,40,45,50,55,60,65,70,75,80,85}, 1), "20-24", "25-29", "30-34", "35-39", "40-44", "45-49", "50-54", "55-59", "60-64", "65-69", "70-74", "75-79", "80-84", "85+")</f>
        <v>40-44</v>
      </c>
      <c r="D381" t="s">
        <v>7</v>
      </c>
    </row>
    <row r="382" spans="1:4">
      <c r="A382" t="s">
        <v>6</v>
      </c>
      <c r="B382">
        <v>23</v>
      </c>
      <c r="C382" t="str">
        <f>CHOOSE(MATCH(B382, {20,25,30,35,40,45,50,55,60,65,70,75,80,85}, 1), "20-24", "25-29", "30-34", "35-39", "40-44", "45-49", "50-54", "55-59", "60-64", "65-69", "70-74", "75-79", "80-84", "85+")</f>
        <v>20-24</v>
      </c>
      <c r="D382" t="s">
        <v>8</v>
      </c>
    </row>
    <row r="383" spans="1:4">
      <c r="A383" t="s">
        <v>6</v>
      </c>
      <c r="B383">
        <v>65</v>
      </c>
      <c r="C383" t="str">
        <f>CHOOSE(MATCH(B383, {20,25,30,35,40,45,50,55,60,65,70,75,80,85}, 1), "20-24", "25-29", "30-34", "35-39", "40-44", "45-49", "50-54", "55-59", "60-64", "65-69", "70-74", "75-79", "80-84", "85+")</f>
        <v>65-69</v>
      </c>
      <c r="D383" t="s">
        <v>8</v>
      </c>
    </row>
    <row r="384" spans="1:4">
      <c r="A384" t="s">
        <v>6</v>
      </c>
      <c r="B384">
        <v>79</v>
      </c>
      <c r="C384" t="str">
        <f>CHOOSE(MATCH(B384, {20,25,30,35,40,45,50,55,60,65,70,75,80,85}, 1), "20-24", "25-29", "30-34", "35-39", "40-44", "45-49", "50-54", "55-59", "60-64", "65-69", "70-74", "75-79", "80-84", "85+")</f>
        <v>75-79</v>
      </c>
      <c r="D384" t="s">
        <v>8</v>
      </c>
    </row>
    <row r="385" spans="1:4">
      <c r="A385" t="s">
        <v>6</v>
      </c>
      <c r="B385">
        <v>41</v>
      </c>
      <c r="C385" t="str">
        <f>CHOOSE(MATCH(B385, {20,25,30,35,40,45,50,55,60,65,70,75,80,85}, 1), "20-24", "25-29", "30-34", "35-39", "40-44", "45-49", "50-54", "55-59", "60-64", "65-69", "70-74", "75-79", "80-84", "85+")</f>
        <v>40-44</v>
      </c>
      <c r="D385" t="s">
        <v>7</v>
      </c>
    </row>
    <row r="386" spans="1:4">
      <c r="A386" t="s">
        <v>6</v>
      </c>
      <c r="B386">
        <v>48</v>
      </c>
      <c r="C386" t="str">
        <f>CHOOSE(MATCH(B386, {20,25,30,35,40,45,50,55,60,65,70,75,80,85}, 1), "20-24", "25-29", "30-34", "35-39", "40-44", "45-49", "50-54", "55-59", "60-64", "65-69", "70-74", "75-79", "80-84", "85+")</f>
        <v>45-49</v>
      </c>
      <c r="D386" t="s">
        <v>8</v>
      </c>
    </row>
    <row r="387" spans="1:4">
      <c r="A387" t="s">
        <v>6</v>
      </c>
      <c r="B387">
        <v>68</v>
      </c>
      <c r="C387" t="str">
        <f>CHOOSE(MATCH(B387, {20,25,30,35,40,45,50,55,60,65,70,75,80,85}, 1), "20-24", "25-29", "30-34", "35-39", "40-44", "45-49", "50-54", "55-59", "60-64", "65-69", "70-74", "75-79", "80-84", "85+")</f>
        <v>65-69</v>
      </c>
      <c r="D387" t="s">
        <v>8</v>
      </c>
    </row>
    <row r="388" spans="1:4">
      <c r="A388" t="s">
        <v>6</v>
      </c>
      <c r="B388">
        <v>50</v>
      </c>
      <c r="C388" t="str">
        <f>CHOOSE(MATCH(B388, {20,25,30,35,40,45,50,55,60,65,70,75,80,85}, 1), "20-24", "25-29", "30-34", "35-39", "40-44", "45-49", "50-54", "55-59", "60-64", "65-69", "70-74", "75-79", "80-84", "85+")</f>
        <v>50-54</v>
      </c>
      <c r="D388" t="s">
        <v>7</v>
      </c>
    </row>
    <row r="389" spans="1:4">
      <c r="A389" t="s">
        <v>6</v>
      </c>
      <c r="B389">
        <v>30</v>
      </c>
      <c r="C389" t="str">
        <f>CHOOSE(MATCH(B389, {20,25,30,35,40,45,50,55,60,65,70,75,80,85}, 1), "20-24", "25-29", "30-34", "35-39", "40-44", "45-49", "50-54", "55-59", "60-64", "65-69", "70-74", "75-79", "80-84", "85+")</f>
        <v>30-34</v>
      </c>
      <c r="D389" t="s">
        <v>7</v>
      </c>
    </row>
    <row r="390" spans="1:4">
      <c r="A390" t="s">
        <v>6</v>
      </c>
      <c r="B390">
        <v>59</v>
      </c>
      <c r="C390" t="str">
        <f>CHOOSE(MATCH(B390, {20,25,30,35,40,45,50,55,60,65,70,75,80,85}, 1), "20-24", "25-29", "30-34", "35-39", "40-44", "45-49", "50-54", "55-59", "60-64", "65-69", "70-74", "75-79", "80-84", "85+")</f>
        <v>55-59</v>
      </c>
      <c r="D390" t="s">
        <v>8</v>
      </c>
    </row>
    <row r="391" spans="1:4">
      <c r="A391" t="s">
        <v>6</v>
      </c>
      <c r="B391">
        <v>27</v>
      </c>
      <c r="C391" t="str">
        <f>CHOOSE(MATCH(B391, {20,25,30,35,40,45,50,55,60,65,70,75,80,85}, 1), "20-24", "25-29", "30-34", "35-39", "40-44", "45-49", "50-54", "55-59", "60-64", "65-69", "70-74", "75-79", "80-84", "85+")</f>
        <v>25-29</v>
      </c>
      <c r="D391" t="s">
        <v>8</v>
      </c>
    </row>
    <row r="392" spans="1:4">
      <c r="A392" t="s">
        <v>6</v>
      </c>
      <c r="B392">
        <v>33</v>
      </c>
      <c r="C392" t="str">
        <f>CHOOSE(MATCH(B392, {20,25,30,35,40,45,50,55,60,65,70,75,80,85}, 1), "20-24", "25-29", "30-34", "35-39", "40-44", "45-49", "50-54", "55-59", "60-64", "65-69", "70-74", "75-79", "80-84", "85+")</f>
        <v>30-34</v>
      </c>
      <c r="D392" t="s">
        <v>7</v>
      </c>
    </row>
    <row r="393" spans="1:4">
      <c r="A393" t="s">
        <v>6</v>
      </c>
      <c r="B393">
        <v>37</v>
      </c>
      <c r="C393" t="str">
        <f>CHOOSE(MATCH(B393, {20,25,30,35,40,45,50,55,60,65,70,75,80,85}, 1), "20-24", "25-29", "30-34", "35-39", "40-44", "45-49", "50-54", "55-59", "60-64", "65-69", "70-74", "75-79", "80-84", "85+")</f>
        <v>35-39</v>
      </c>
      <c r="D393" t="s">
        <v>8</v>
      </c>
    </row>
    <row r="394" spans="1:4">
      <c r="A394" t="s">
        <v>6</v>
      </c>
      <c r="B394">
        <v>74</v>
      </c>
      <c r="C394" t="str">
        <f>CHOOSE(MATCH(B394, {20,25,30,35,40,45,50,55,60,65,70,75,80,85}, 1), "20-24", "25-29", "30-34", "35-39", "40-44", "45-49", "50-54", "55-59", "60-64", "65-69", "70-74", "75-79", "80-84", "85+")</f>
        <v>70-74</v>
      </c>
      <c r="D394" t="s">
        <v>8</v>
      </c>
    </row>
    <row r="395" spans="1:4">
      <c r="A395" t="s">
        <v>6</v>
      </c>
      <c r="B395">
        <v>22</v>
      </c>
      <c r="C395" t="str">
        <f>CHOOSE(MATCH(B395, {20,25,30,35,40,45,50,55,60,65,70,75,80,85}, 1), "20-24", "25-29", "30-34", "35-39", "40-44", "45-49", "50-54", "55-59", "60-64", "65-69", "70-74", "75-79", "80-84", "85+")</f>
        <v>20-24</v>
      </c>
      <c r="D395" t="s">
        <v>7</v>
      </c>
    </row>
    <row r="396" spans="1:4">
      <c r="A396" t="s">
        <v>6</v>
      </c>
      <c r="B396">
        <v>65</v>
      </c>
      <c r="C396" t="str">
        <f>CHOOSE(MATCH(B396, {20,25,30,35,40,45,50,55,60,65,70,75,80,85}, 1), "20-24", "25-29", "30-34", "35-39", "40-44", "45-49", "50-54", "55-59", "60-64", "65-69", "70-74", "75-79", "80-84", "85+")</f>
        <v>65-69</v>
      </c>
      <c r="D396" t="s">
        <v>7</v>
      </c>
    </row>
    <row r="397" spans="1:4">
      <c r="A397" t="s">
        <v>6</v>
      </c>
      <c r="B397">
        <v>36</v>
      </c>
      <c r="C397" t="str">
        <f>CHOOSE(MATCH(B397, {20,25,30,35,40,45,50,55,60,65,70,75,80,85}, 1), "20-24", "25-29", "30-34", "35-39", "40-44", "45-49", "50-54", "55-59", "60-64", "65-69", "70-74", "75-79", "80-84", "85+")</f>
        <v>35-39</v>
      </c>
      <c r="D397" t="s">
        <v>7</v>
      </c>
    </row>
    <row r="398" spans="1:4">
      <c r="A398" t="s">
        <v>6</v>
      </c>
      <c r="B398">
        <v>20</v>
      </c>
      <c r="C398" t="str">
        <f>CHOOSE(MATCH(B398, {20,25,30,35,40,45,50,55,60,65,70,75,80,85}, 1), "20-24", "25-29", "30-34", "35-39", "40-44", "45-49", "50-54", "55-59", "60-64", "65-69", "70-74", "75-79", "80-84", "85+")</f>
        <v>20-24</v>
      </c>
      <c r="D398" t="s">
        <v>7</v>
      </c>
    </row>
    <row r="399" spans="1:4">
      <c r="A399" t="s">
        <v>6</v>
      </c>
      <c r="B399">
        <v>22</v>
      </c>
      <c r="C399" t="str">
        <f>CHOOSE(MATCH(B399, {20,25,30,35,40,45,50,55,60,65,70,75,80,85}, 1), "20-24", "25-29", "30-34", "35-39", "40-44", "45-49", "50-54", "55-59", "60-64", "65-69", "70-74", "75-79", "80-84", "85+")</f>
        <v>20-24</v>
      </c>
      <c r="D399" t="s">
        <v>8</v>
      </c>
    </row>
    <row r="400" spans="1:4">
      <c r="A400" t="s">
        <v>6</v>
      </c>
      <c r="B400">
        <v>55</v>
      </c>
      <c r="C400" t="str">
        <f>CHOOSE(MATCH(B400, {20,25,30,35,40,45,50,55,60,65,70,75,80,85}, 1), "20-24", "25-29", "30-34", "35-39", "40-44", "45-49", "50-54", "55-59", "60-64", "65-69", "70-74", "75-79", "80-84", "85+")</f>
        <v>55-59</v>
      </c>
      <c r="D400" t="s">
        <v>8</v>
      </c>
    </row>
    <row r="401" spans="1:4">
      <c r="A401" t="s">
        <v>6</v>
      </c>
      <c r="B401">
        <v>33</v>
      </c>
      <c r="C401" t="str">
        <f>CHOOSE(MATCH(B401, {20,25,30,35,40,45,50,55,60,65,70,75,80,85}, 1), "20-24", "25-29", "30-34", "35-39", "40-44", "45-49", "50-54", "55-59", "60-64", "65-69", "70-74", "75-79", "80-84", "85+")</f>
        <v>30-34</v>
      </c>
      <c r="D401" t="s">
        <v>8</v>
      </c>
    </row>
    <row r="402" spans="1:4">
      <c r="A402" t="s">
        <v>6</v>
      </c>
      <c r="B402">
        <v>22</v>
      </c>
      <c r="C402" t="str">
        <f>CHOOSE(MATCH(B402, {20,25,30,35,40,45,50,55,60,65,70,75,80,85}, 1), "20-24", "25-29", "30-34", "35-39", "40-44", "45-49", "50-54", "55-59", "60-64", "65-69", "70-74", "75-79", "80-84", "85+")</f>
        <v>20-24</v>
      </c>
      <c r="D402" t="s">
        <v>8</v>
      </c>
    </row>
    <row r="403" spans="1:4">
      <c r="A403" t="s">
        <v>6</v>
      </c>
      <c r="B403">
        <v>21</v>
      </c>
      <c r="C403" t="str">
        <f>CHOOSE(MATCH(B403, {20,25,30,35,40,45,50,55,60,65,70,75,80,85}, 1), "20-24", "25-29", "30-34", "35-39", "40-44", "45-49", "50-54", "55-59", "60-64", "65-69", "70-74", "75-79", "80-84", "85+")</f>
        <v>20-24</v>
      </c>
      <c r="D403" t="s">
        <v>7</v>
      </c>
    </row>
    <row r="404" spans="1:4">
      <c r="A404" t="s">
        <v>6</v>
      </c>
      <c r="B404">
        <v>30</v>
      </c>
      <c r="C404" t="str">
        <f>CHOOSE(MATCH(B404, {20,25,30,35,40,45,50,55,60,65,70,75,80,85}, 1), "20-24", "25-29", "30-34", "35-39", "40-44", "45-49", "50-54", "55-59", "60-64", "65-69", "70-74", "75-79", "80-84", "85+")</f>
        <v>30-34</v>
      </c>
      <c r="D404" t="s">
        <v>8</v>
      </c>
    </row>
    <row r="405" spans="1:4">
      <c r="A405" t="s">
        <v>6</v>
      </c>
      <c r="B405">
        <v>21</v>
      </c>
      <c r="C405" t="str">
        <f>CHOOSE(MATCH(B405, {20,25,30,35,40,45,50,55,60,65,70,75,80,85}, 1), "20-24", "25-29", "30-34", "35-39", "40-44", "45-49", "50-54", "55-59", "60-64", "65-69", "70-74", "75-79", "80-84", "85+")</f>
        <v>20-24</v>
      </c>
      <c r="D405" t="s">
        <v>7</v>
      </c>
    </row>
    <row r="406" spans="1:4">
      <c r="A406" t="s">
        <v>6</v>
      </c>
      <c r="B406">
        <v>44</v>
      </c>
      <c r="C406" t="str">
        <f>CHOOSE(MATCH(B406, {20,25,30,35,40,45,50,55,60,65,70,75,80,85}, 1), "20-24", "25-29", "30-34", "35-39", "40-44", "45-49", "50-54", "55-59", "60-64", "65-69", "70-74", "75-79", "80-84", "85+")</f>
        <v>40-44</v>
      </c>
      <c r="D406" t="s">
        <v>7</v>
      </c>
    </row>
    <row r="407" spans="1:4">
      <c r="A407" t="s">
        <v>6</v>
      </c>
      <c r="B407">
        <v>27</v>
      </c>
      <c r="C407" t="str">
        <f>CHOOSE(MATCH(B407, {20,25,30,35,40,45,50,55,60,65,70,75,80,85}, 1), "20-24", "25-29", "30-34", "35-39", "40-44", "45-49", "50-54", "55-59", "60-64", "65-69", "70-74", "75-79", "80-84", "85+")</f>
        <v>25-29</v>
      </c>
      <c r="D407" t="s">
        <v>8</v>
      </c>
    </row>
    <row r="408" spans="1:4">
      <c r="A408" t="s">
        <v>6</v>
      </c>
      <c r="B408">
        <v>51</v>
      </c>
      <c r="C408" t="str">
        <f>CHOOSE(MATCH(B408, {20,25,30,35,40,45,50,55,60,65,70,75,80,85}, 1), "20-24", "25-29", "30-34", "35-39", "40-44", "45-49", "50-54", "55-59", "60-64", "65-69", "70-74", "75-79", "80-84", "85+")</f>
        <v>50-54</v>
      </c>
      <c r="D408" t="s">
        <v>8</v>
      </c>
    </row>
    <row r="409" spans="1:4">
      <c r="A409" t="s">
        <v>6</v>
      </c>
      <c r="B409">
        <v>25</v>
      </c>
      <c r="C409" t="str">
        <f>CHOOSE(MATCH(B409, {20,25,30,35,40,45,50,55,60,65,70,75,80,85}, 1), "20-24", "25-29", "30-34", "35-39", "40-44", "45-49", "50-54", "55-59", "60-64", "65-69", "70-74", "75-79", "80-84", "85+")</f>
        <v>25-29</v>
      </c>
      <c r="D409" t="s">
        <v>8</v>
      </c>
    </row>
    <row r="410" spans="1:4">
      <c r="A410" t="s">
        <v>6</v>
      </c>
      <c r="B410">
        <v>43</v>
      </c>
      <c r="C410" t="str">
        <f>CHOOSE(MATCH(B410, {20,25,30,35,40,45,50,55,60,65,70,75,80,85}, 1), "20-24", "25-29", "30-34", "35-39", "40-44", "45-49", "50-54", "55-59", "60-64", "65-69", "70-74", "75-79", "80-84", "85+")</f>
        <v>40-44</v>
      </c>
      <c r="D410" t="s">
        <v>7</v>
      </c>
    </row>
    <row r="411" spans="1:4">
      <c r="A411" t="s">
        <v>6</v>
      </c>
      <c r="B411">
        <v>59</v>
      </c>
      <c r="C411" t="str">
        <f>CHOOSE(MATCH(B411, {20,25,30,35,40,45,50,55,60,65,70,75,80,85}, 1), "20-24", "25-29", "30-34", "35-39", "40-44", "45-49", "50-54", "55-59", "60-64", "65-69", "70-74", "75-79", "80-84", "85+")</f>
        <v>55-59</v>
      </c>
      <c r="D411" t="s">
        <v>8</v>
      </c>
    </row>
    <row r="412" spans="1:4">
      <c r="A412" t="s">
        <v>6</v>
      </c>
      <c r="B412">
        <v>26</v>
      </c>
      <c r="C412" t="str">
        <f>CHOOSE(MATCH(B412, {20,25,30,35,40,45,50,55,60,65,70,75,80,85}, 1), "20-24", "25-29", "30-34", "35-39", "40-44", "45-49", "50-54", "55-59", "60-64", "65-69", "70-74", "75-79", "80-84", "85+")</f>
        <v>25-29</v>
      </c>
      <c r="D412" t="s">
        <v>7</v>
      </c>
    </row>
    <row r="413" spans="1:4">
      <c r="A413" t="s">
        <v>6</v>
      </c>
      <c r="B413">
        <v>49</v>
      </c>
      <c r="C413" t="str">
        <f>CHOOSE(MATCH(B413, {20,25,30,35,40,45,50,55,60,65,70,75,80,85}, 1), "20-24", "25-29", "30-34", "35-39", "40-44", "45-49", "50-54", "55-59", "60-64", "65-69", "70-74", "75-79", "80-84", "85+")</f>
        <v>45-49</v>
      </c>
      <c r="D413" t="s">
        <v>8</v>
      </c>
    </row>
    <row r="414" spans="1:4">
      <c r="A414" t="s">
        <v>6</v>
      </c>
      <c r="B414">
        <v>44</v>
      </c>
      <c r="C414" t="str">
        <f>CHOOSE(MATCH(B414, {20,25,30,35,40,45,50,55,60,65,70,75,80,85}, 1), "20-24", "25-29", "30-34", "35-39", "40-44", "45-49", "50-54", "55-59", "60-64", "65-69", "70-74", "75-79", "80-84", "85+")</f>
        <v>40-44</v>
      </c>
      <c r="D414" t="s">
        <v>8</v>
      </c>
    </row>
    <row r="415" spans="1:4">
      <c r="A415" t="s">
        <v>6</v>
      </c>
      <c r="B415">
        <v>42</v>
      </c>
      <c r="C415" t="str">
        <f>CHOOSE(MATCH(B415, {20,25,30,35,40,45,50,55,60,65,70,75,80,85}, 1), "20-24", "25-29", "30-34", "35-39", "40-44", "45-49", "50-54", "55-59", "60-64", "65-69", "70-74", "75-79", "80-84", "85+")</f>
        <v>40-44</v>
      </c>
      <c r="D415" t="s">
        <v>7</v>
      </c>
    </row>
    <row r="416" spans="1:4">
      <c r="A416" t="s">
        <v>6</v>
      </c>
      <c r="B416">
        <v>82</v>
      </c>
      <c r="C416" t="str">
        <f>CHOOSE(MATCH(B416, {20,25,30,35,40,45,50,55,60,65,70,75,80,85}, 1), "20-24", "25-29", "30-34", "35-39", "40-44", "45-49", "50-54", "55-59", "60-64", "65-69", "70-74", "75-79", "80-84", "85+")</f>
        <v>80-84</v>
      </c>
      <c r="D416" t="s">
        <v>7</v>
      </c>
    </row>
    <row r="417" spans="1:4">
      <c r="A417" t="s">
        <v>6</v>
      </c>
      <c r="B417">
        <v>47</v>
      </c>
      <c r="C417" t="str">
        <f>CHOOSE(MATCH(B417, {20,25,30,35,40,45,50,55,60,65,70,75,80,85}, 1), "20-24", "25-29", "30-34", "35-39", "40-44", "45-49", "50-54", "55-59", "60-64", "65-69", "70-74", "75-79", "80-84", "85+")</f>
        <v>45-49</v>
      </c>
      <c r="D417" t="s">
        <v>7</v>
      </c>
    </row>
    <row r="418" spans="1:4">
      <c r="A418" t="s">
        <v>6</v>
      </c>
      <c r="B418">
        <v>39</v>
      </c>
      <c r="C418" t="str">
        <f>CHOOSE(MATCH(B418, {20,25,30,35,40,45,50,55,60,65,70,75,80,85}, 1), "20-24", "25-29", "30-34", "35-39", "40-44", "45-49", "50-54", "55-59", "60-64", "65-69", "70-74", "75-79", "80-84", "85+")</f>
        <v>35-39</v>
      </c>
      <c r="D418" t="s">
        <v>7</v>
      </c>
    </row>
    <row r="419" spans="1:4">
      <c r="A419" t="s">
        <v>6</v>
      </c>
      <c r="B419">
        <v>75</v>
      </c>
      <c r="C419" t="str">
        <f>CHOOSE(MATCH(B419, {20,25,30,35,40,45,50,55,60,65,70,75,80,85}, 1), "20-24", "25-29", "30-34", "35-39", "40-44", "45-49", "50-54", "55-59", "60-64", "65-69", "70-74", "75-79", "80-84", "85+")</f>
        <v>75-79</v>
      </c>
      <c r="D419" t="s">
        <v>7</v>
      </c>
    </row>
    <row r="420" spans="1:4">
      <c r="A420" t="s">
        <v>6</v>
      </c>
      <c r="B420">
        <v>38</v>
      </c>
      <c r="C420" t="str">
        <f>CHOOSE(MATCH(B420, {20,25,30,35,40,45,50,55,60,65,70,75,80,85}, 1), "20-24", "25-29", "30-34", "35-39", "40-44", "45-49", "50-54", "55-59", "60-64", "65-69", "70-74", "75-79", "80-84", "85+")</f>
        <v>35-39</v>
      </c>
      <c r="D420" t="s">
        <v>8</v>
      </c>
    </row>
    <row r="421" spans="1:4">
      <c r="A421" t="s">
        <v>6</v>
      </c>
      <c r="B421">
        <v>35</v>
      </c>
      <c r="C421" t="str">
        <f>CHOOSE(MATCH(B421, {20,25,30,35,40,45,50,55,60,65,70,75,80,85}, 1), "20-24", "25-29", "30-34", "35-39", "40-44", "45-49", "50-54", "55-59", "60-64", "65-69", "70-74", "75-79", "80-84", "85+")</f>
        <v>35-39</v>
      </c>
      <c r="D421" t="s">
        <v>7</v>
      </c>
    </row>
    <row r="422" spans="1:4">
      <c r="A422" t="s">
        <v>6</v>
      </c>
      <c r="B422">
        <v>55</v>
      </c>
      <c r="C422" t="str">
        <f>CHOOSE(MATCH(B422, {20,25,30,35,40,45,50,55,60,65,70,75,80,85}, 1), "20-24", "25-29", "30-34", "35-39", "40-44", "45-49", "50-54", "55-59", "60-64", "65-69", "70-74", "75-79", "80-84", "85+")</f>
        <v>55-59</v>
      </c>
      <c r="D422" t="s">
        <v>8</v>
      </c>
    </row>
    <row r="423" spans="1:4">
      <c r="A423" t="s">
        <v>6</v>
      </c>
      <c r="B423">
        <v>53</v>
      </c>
      <c r="C423" t="str">
        <f>CHOOSE(MATCH(B423, {20,25,30,35,40,45,50,55,60,65,70,75,80,85}, 1), "20-24", "25-29", "30-34", "35-39", "40-44", "45-49", "50-54", "55-59", "60-64", "65-69", "70-74", "75-79", "80-84", "85+")</f>
        <v>50-54</v>
      </c>
      <c r="D423" t="s">
        <v>7</v>
      </c>
    </row>
    <row r="424" spans="1:4">
      <c r="A424" t="s">
        <v>6</v>
      </c>
      <c r="B424">
        <v>24</v>
      </c>
      <c r="C424" t="str">
        <f>CHOOSE(MATCH(B424, {20,25,30,35,40,45,50,55,60,65,70,75,80,85}, 1), "20-24", "25-29", "30-34", "35-39", "40-44", "45-49", "50-54", "55-59", "60-64", "65-69", "70-74", "75-79", "80-84", "85+")</f>
        <v>20-24</v>
      </c>
      <c r="D424" t="s">
        <v>7</v>
      </c>
    </row>
    <row r="425" spans="1:4">
      <c r="A425" t="s">
        <v>6</v>
      </c>
      <c r="B425">
        <v>27</v>
      </c>
      <c r="C425" t="str">
        <f>CHOOSE(MATCH(B425, {20,25,30,35,40,45,50,55,60,65,70,75,80,85}, 1), "20-24", "25-29", "30-34", "35-39", "40-44", "45-49", "50-54", "55-59", "60-64", "65-69", "70-74", "75-79", "80-84", "85+")</f>
        <v>25-29</v>
      </c>
      <c r="D425" t="s">
        <v>7</v>
      </c>
    </row>
    <row r="426" spans="1:4">
      <c r="A426" t="s">
        <v>6</v>
      </c>
      <c r="B426">
        <v>53</v>
      </c>
      <c r="C426" t="str">
        <f>CHOOSE(MATCH(B426, {20,25,30,35,40,45,50,55,60,65,70,75,80,85}, 1), "20-24", "25-29", "30-34", "35-39", "40-44", "45-49", "50-54", "55-59", "60-64", "65-69", "70-74", "75-79", "80-84", "85+")</f>
        <v>50-54</v>
      </c>
      <c r="D426" t="s">
        <v>7</v>
      </c>
    </row>
    <row r="427" spans="1:4">
      <c r="A427" t="s">
        <v>6</v>
      </c>
      <c r="B427">
        <v>33</v>
      </c>
      <c r="C427" t="str">
        <f>CHOOSE(MATCH(B427, {20,25,30,35,40,45,50,55,60,65,70,75,80,85}, 1), "20-24", "25-29", "30-34", "35-39", "40-44", "45-49", "50-54", "55-59", "60-64", "65-69", "70-74", "75-79", "80-84", "85+")</f>
        <v>30-34</v>
      </c>
      <c r="D427" t="s">
        <v>8</v>
      </c>
    </row>
    <row r="428" spans="1:4">
      <c r="A428" t="s">
        <v>6</v>
      </c>
      <c r="B428">
        <v>47</v>
      </c>
      <c r="C428" t="str">
        <f>CHOOSE(MATCH(B428, {20,25,30,35,40,45,50,55,60,65,70,75,80,85}, 1), "20-24", "25-29", "30-34", "35-39", "40-44", "45-49", "50-54", "55-59", "60-64", "65-69", "70-74", "75-79", "80-84", "85+")</f>
        <v>45-49</v>
      </c>
      <c r="D428" t="s">
        <v>7</v>
      </c>
    </row>
    <row r="429" spans="1:4">
      <c r="A429" t="s">
        <v>6</v>
      </c>
      <c r="B429">
        <v>49</v>
      </c>
      <c r="C429" t="str">
        <f>CHOOSE(MATCH(B429, {20,25,30,35,40,45,50,55,60,65,70,75,80,85}, 1), "20-24", "25-29", "30-34", "35-39", "40-44", "45-49", "50-54", "55-59", "60-64", "65-69", "70-74", "75-79", "80-84", "85+")</f>
        <v>45-49</v>
      </c>
      <c r="D429" t="s">
        <v>8</v>
      </c>
    </row>
    <row r="430" spans="1:4">
      <c r="A430" t="s">
        <v>6</v>
      </c>
      <c r="B430">
        <v>37</v>
      </c>
      <c r="C430" t="str">
        <f>CHOOSE(MATCH(B430, {20,25,30,35,40,45,50,55,60,65,70,75,80,85}, 1), "20-24", "25-29", "30-34", "35-39", "40-44", "45-49", "50-54", "55-59", "60-64", "65-69", "70-74", "75-79", "80-84", "85+")</f>
        <v>35-39</v>
      </c>
      <c r="D430" t="s">
        <v>8</v>
      </c>
    </row>
    <row r="431" spans="1:4">
      <c r="A431" t="s">
        <v>6</v>
      </c>
      <c r="B431">
        <v>26</v>
      </c>
      <c r="C431" t="str">
        <f>CHOOSE(MATCH(B431, {20,25,30,35,40,45,50,55,60,65,70,75,80,85}, 1), "20-24", "25-29", "30-34", "35-39", "40-44", "45-49", "50-54", "55-59", "60-64", "65-69", "70-74", "75-79", "80-84", "85+")</f>
        <v>25-29</v>
      </c>
      <c r="D431" t="s">
        <v>7</v>
      </c>
    </row>
    <row r="432" spans="1:4">
      <c r="A432" t="s">
        <v>6</v>
      </c>
      <c r="B432">
        <v>21</v>
      </c>
      <c r="C432" t="str">
        <f>CHOOSE(MATCH(B432, {20,25,30,35,40,45,50,55,60,65,70,75,80,85}, 1), "20-24", "25-29", "30-34", "35-39", "40-44", "45-49", "50-54", "55-59", "60-64", "65-69", "70-74", "75-79", "80-84", "85+")</f>
        <v>20-24</v>
      </c>
      <c r="D432" t="s">
        <v>8</v>
      </c>
    </row>
    <row r="433" spans="1:4">
      <c r="A433" t="s">
        <v>6</v>
      </c>
      <c r="B433">
        <v>50</v>
      </c>
      <c r="C433" t="str">
        <f>CHOOSE(MATCH(B433, {20,25,30,35,40,45,50,55,60,65,70,75,80,85}, 1), "20-24", "25-29", "30-34", "35-39", "40-44", "45-49", "50-54", "55-59", "60-64", "65-69", "70-74", "75-79", "80-84", "85+")</f>
        <v>50-54</v>
      </c>
      <c r="D433" t="s">
        <v>7</v>
      </c>
    </row>
    <row r="434" spans="1:4">
      <c r="A434" t="s">
        <v>6</v>
      </c>
      <c r="B434">
        <v>33</v>
      </c>
      <c r="C434" t="str">
        <f>CHOOSE(MATCH(B434, {20,25,30,35,40,45,50,55,60,65,70,75,80,85}, 1), "20-24", "25-29", "30-34", "35-39", "40-44", "45-49", "50-54", "55-59", "60-64", "65-69", "70-74", "75-79", "80-84", "85+")</f>
        <v>30-34</v>
      </c>
      <c r="D434" t="s">
        <v>7</v>
      </c>
    </row>
    <row r="435" spans="1:4">
      <c r="A435" t="s">
        <v>6</v>
      </c>
      <c r="B435">
        <v>63</v>
      </c>
      <c r="C435" t="str">
        <f>CHOOSE(MATCH(B435, {20,25,30,35,40,45,50,55,60,65,70,75,80,85}, 1), "20-24", "25-29", "30-34", "35-39", "40-44", "45-49", "50-54", "55-59", "60-64", "65-69", "70-74", "75-79", "80-84", "85+")</f>
        <v>60-64</v>
      </c>
      <c r="D435" t="s">
        <v>7</v>
      </c>
    </row>
    <row r="436" spans="1:4">
      <c r="A436" t="s">
        <v>6</v>
      </c>
      <c r="B436">
        <v>33</v>
      </c>
      <c r="C436" t="str">
        <f>CHOOSE(MATCH(B436, {20,25,30,35,40,45,50,55,60,65,70,75,80,85}, 1), "20-24", "25-29", "30-34", "35-39", "40-44", "45-49", "50-54", "55-59", "60-64", "65-69", "70-74", "75-79", "80-84", "85+")</f>
        <v>30-34</v>
      </c>
      <c r="D436" t="s">
        <v>7</v>
      </c>
    </row>
    <row r="437" spans="1:4">
      <c r="A437" t="s">
        <v>6</v>
      </c>
      <c r="B437">
        <v>81</v>
      </c>
      <c r="C437" t="str">
        <f>CHOOSE(MATCH(B437, {20,25,30,35,40,45,50,55,60,65,70,75,80,85}, 1), "20-24", "25-29", "30-34", "35-39", "40-44", "45-49", "50-54", "55-59", "60-64", "65-69", "70-74", "75-79", "80-84", "85+")</f>
        <v>80-84</v>
      </c>
      <c r="D437" t="s">
        <v>7</v>
      </c>
    </row>
    <row r="438" spans="1:4">
      <c r="A438" t="s">
        <v>6</v>
      </c>
      <c r="B438">
        <v>44</v>
      </c>
      <c r="C438" t="str">
        <f>CHOOSE(MATCH(B438, {20,25,30,35,40,45,50,55,60,65,70,75,80,85}, 1), "20-24", "25-29", "30-34", "35-39", "40-44", "45-49", "50-54", "55-59", "60-64", "65-69", "70-74", "75-79", "80-84", "85+")</f>
        <v>40-44</v>
      </c>
      <c r="D438" t="s">
        <v>8</v>
      </c>
    </row>
    <row r="439" spans="1:4">
      <c r="A439" t="s">
        <v>6</v>
      </c>
      <c r="B439">
        <v>44</v>
      </c>
      <c r="C439" t="str">
        <f>CHOOSE(MATCH(B439, {20,25,30,35,40,45,50,55,60,65,70,75,80,85}, 1), "20-24", "25-29", "30-34", "35-39", "40-44", "45-49", "50-54", "55-59", "60-64", "65-69", "70-74", "75-79", "80-84", "85+")</f>
        <v>40-44</v>
      </c>
      <c r="D439" t="s">
        <v>7</v>
      </c>
    </row>
    <row r="440" spans="1:4">
      <c r="A440" t="s">
        <v>6</v>
      </c>
      <c r="B440">
        <v>29</v>
      </c>
      <c r="C440" t="str">
        <f>CHOOSE(MATCH(B440, {20,25,30,35,40,45,50,55,60,65,70,75,80,85}, 1), "20-24", "25-29", "30-34", "35-39", "40-44", "45-49", "50-54", "55-59", "60-64", "65-69", "70-74", "75-79", "80-84", "85+")</f>
        <v>25-29</v>
      </c>
      <c r="D440" t="s">
        <v>8</v>
      </c>
    </row>
    <row r="441" spans="1:4">
      <c r="A441" t="s">
        <v>6</v>
      </c>
      <c r="B441">
        <v>65</v>
      </c>
      <c r="C441" t="str">
        <f>CHOOSE(MATCH(B441, {20,25,30,35,40,45,50,55,60,65,70,75,80,85}, 1), "20-24", "25-29", "30-34", "35-39", "40-44", "45-49", "50-54", "55-59", "60-64", "65-69", "70-74", "75-79", "80-84", "85+")</f>
        <v>65-69</v>
      </c>
      <c r="D441" t="s">
        <v>8</v>
      </c>
    </row>
    <row r="442" spans="1:4">
      <c r="A442" t="s">
        <v>6</v>
      </c>
      <c r="B442">
        <v>69</v>
      </c>
      <c r="C442" t="str">
        <f>CHOOSE(MATCH(B442, {20,25,30,35,40,45,50,55,60,65,70,75,80,85}, 1), "20-24", "25-29", "30-34", "35-39", "40-44", "45-49", "50-54", "55-59", "60-64", "65-69", "70-74", "75-79", "80-84", "85+")</f>
        <v>65-69</v>
      </c>
      <c r="D442" t="s">
        <v>7</v>
      </c>
    </row>
    <row r="443" spans="1:4">
      <c r="A443" t="s">
        <v>6</v>
      </c>
      <c r="B443">
        <v>62</v>
      </c>
      <c r="C443" t="str">
        <f>CHOOSE(MATCH(B443, {20,25,30,35,40,45,50,55,60,65,70,75,80,85}, 1), "20-24", "25-29", "30-34", "35-39", "40-44", "45-49", "50-54", "55-59", "60-64", "65-69", "70-74", "75-79", "80-84", "85+")</f>
        <v>60-64</v>
      </c>
      <c r="D443" t="s">
        <v>7</v>
      </c>
    </row>
    <row r="444" spans="1:4">
      <c r="A444" t="s">
        <v>6</v>
      </c>
      <c r="B444">
        <v>24</v>
      </c>
      <c r="C444" t="str">
        <f>CHOOSE(MATCH(B444, {20,25,30,35,40,45,50,55,60,65,70,75,80,85}, 1), "20-24", "25-29", "30-34", "35-39", "40-44", "45-49", "50-54", "55-59", "60-64", "65-69", "70-74", "75-79", "80-84", "85+")</f>
        <v>20-24</v>
      </c>
      <c r="D444" t="s">
        <v>7</v>
      </c>
    </row>
    <row r="445" spans="1:4">
      <c r="A445" t="s">
        <v>6</v>
      </c>
      <c r="B445">
        <v>41</v>
      </c>
      <c r="C445" t="str">
        <f>CHOOSE(MATCH(B445, {20,25,30,35,40,45,50,55,60,65,70,75,80,85}, 1), "20-24", "25-29", "30-34", "35-39", "40-44", "45-49", "50-54", "55-59", "60-64", "65-69", "70-74", "75-79", "80-84", "85+")</f>
        <v>40-44</v>
      </c>
      <c r="D445" t="s">
        <v>8</v>
      </c>
    </row>
    <row r="446" spans="1:4">
      <c r="A446" t="s">
        <v>6</v>
      </c>
      <c r="B446">
        <v>51</v>
      </c>
      <c r="C446" t="str">
        <f>CHOOSE(MATCH(B446, {20,25,30,35,40,45,50,55,60,65,70,75,80,85}, 1), "20-24", "25-29", "30-34", "35-39", "40-44", "45-49", "50-54", "55-59", "60-64", "65-69", "70-74", "75-79", "80-84", "85+")</f>
        <v>50-54</v>
      </c>
      <c r="D446" t="s">
        <v>8</v>
      </c>
    </row>
    <row r="447" spans="1:4">
      <c r="A447" t="s">
        <v>6</v>
      </c>
      <c r="B447">
        <v>42</v>
      </c>
      <c r="C447" t="str">
        <f>CHOOSE(MATCH(B447, {20,25,30,35,40,45,50,55,60,65,70,75,80,85}, 1), "20-24", "25-29", "30-34", "35-39", "40-44", "45-49", "50-54", "55-59", "60-64", "65-69", "70-74", "75-79", "80-84", "85+")</f>
        <v>40-44</v>
      </c>
      <c r="D447" t="s">
        <v>7</v>
      </c>
    </row>
    <row r="448" spans="1:4">
      <c r="A448" t="s">
        <v>6</v>
      </c>
      <c r="B448">
        <v>28</v>
      </c>
      <c r="C448" t="str">
        <f>CHOOSE(MATCH(B448, {20,25,30,35,40,45,50,55,60,65,70,75,80,85}, 1), "20-24", "25-29", "30-34", "35-39", "40-44", "45-49", "50-54", "55-59", "60-64", "65-69", "70-74", "75-79", "80-84", "85+")</f>
        <v>25-29</v>
      </c>
      <c r="D448" t="s">
        <v>8</v>
      </c>
    </row>
    <row r="449" spans="1:4">
      <c r="A449" t="s">
        <v>6</v>
      </c>
      <c r="B449">
        <v>33</v>
      </c>
      <c r="C449" t="str">
        <f>CHOOSE(MATCH(B449, {20,25,30,35,40,45,50,55,60,65,70,75,80,85}, 1), "20-24", "25-29", "30-34", "35-39", "40-44", "45-49", "50-54", "55-59", "60-64", "65-69", "70-74", "75-79", "80-84", "85+")</f>
        <v>30-34</v>
      </c>
      <c r="D449" t="s">
        <v>7</v>
      </c>
    </row>
    <row r="450" spans="1:4">
      <c r="A450" t="s">
        <v>6</v>
      </c>
      <c r="B450">
        <v>22</v>
      </c>
      <c r="C450" t="str">
        <f>CHOOSE(MATCH(B450, {20,25,30,35,40,45,50,55,60,65,70,75,80,85}, 1), "20-24", "25-29", "30-34", "35-39", "40-44", "45-49", "50-54", "55-59", "60-64", "65-69", "70-74", "75-79", "80-84", "85+")</f>
        <v>20-24</v>
      </c>
      <c r="D450" t="s">
        <v>8</v>
      </c>
    </row>
    <row r="451" spans="1:4">
      <c r="A451" t="s">
        <v>6</v>
      </c>
      <c r="B451">
        <v>33</v>
      </c>
      <c r="C451" t="str">
        <f>CHOOSE(MATCH(B451, {20,25,30,35,40,45,50,55,60,65,70,75,80,85}, 1), "20-24", "25-29", "30-34", "35-39", "40-44", "45-49", "50-54", "55-59", "60-64", "65-69", "70-74", "75-79", "80-84", "85+")</f>
        <v>30-34</v>
      </c>
      <c r="D451" t="s">
        <v>7</v>
      </c>
    </row>
    <row r="452" spans="1:4">
      <c r="A452" t="s">
        <v>6</v>
      </c>
      <c r="B452">
        <v>40</v>
      </c>
      <c r="C452" t="str">
        <f>CHOOSE(MATCH(B452, {20,25,30,35,40,45,50,55,60,65,70,75,80,85}, 1), "20-24", "25-29", "30-34", "35-39", "40-44", "45-49", "50-54", "55-59", "60-64", "65-69", "70-74", "75-79", "80-84", "85+")</f>
        <v>40-44</v>
      </c>
      <c r="D452" t="s">
        <v>8</v>
      </c>
    </row>
    <row r="453" spans="1:4">
      <c r="A453" t="s">
        <v>6</v>
      </c>
      <c r="B453">
        <v>30</v>
      </c>
      <c r="C453" t="str">
        <f>CHOOSE(MATCH(B453, {20,25,30,35,40,45,50,55,60,65,70,75,80,85}, 1), "20-24", "25-29", "30-34", "35-39", "40-44", "45-49", "50-54", "55-59", "60-64", "65-69", "70-74", "75-79", "80-84", "85+")</f>
        <v>30-34</v>
      </c>
      <c r="D453" t="s">
        <v>8</v>
      </c>
    </row>
    <row r="454" spans="1:4">
      <c r="A454" t="s">
        <v>6</v>
      </c>
      <c r="B454">
        <v>45</v>
      </c>
      <c r="C454" t="str">
        <f>CHOOSE(MATCH(B454, {20,25,30,35,40,45,50,55,60,65,70,75,80,85}, 1), "20-24", "25-29", "30-34", "35-39", "40-44", "45-49", "50-54", "55-59", "60-64", "65-69", "70-74", "75-79", "80-84", "85+")</f>
        <v>45-49</v>
      </c>
      <c r="D454" t="s">
        <v>8</v>
      </c>
    </row>
    <row r="455" spans="1:4">
      <c r="A455" t="s">
        <v>6</v>
      </c>
      <c r="B455">
        <v>33</v>
      </c>
      <c r="C455" t="str">
        <f>CHOOSE(MATCH(B455, {20,25,30,35,40,45,50,55,60,65,70,75,80,85}, 1), "20-24", "25-29", "30-34", "35-39", "40-44", "45-49", "50-54", "55-59", "60-64", "65-69", "70-74", "75-79", "80-84", "85+")</f>
        <v>30-34</v>
      </c>
      <c r="D455" t="s">
        <v>7</v>
      </c>
    </row>
    <row r="456" spans="1:4">
      <c r="A456" t="s">
        <v>6</v>
      </c>
      <c r="B456">
        <v>27</v>
      </c>
      <c r="C456" t="str">
        <f>CHOOSE(MATCH(B456, {20,25,30,35,40,45,50,55,60,65,70,75,80,85}, 1), "20-24", "25-29", "30-34", "35-39", "40-44", "45-49", "50-54", "55-59", "60-64", "65-69", "70-74", "75-79", "80-84", "85+")</f>
        <v>25-29</v>
      </c>
      <c r="D456" t="s">
        <v>8</v>
      </c>
    </row>
    <row r="457" spans="1:4">
      <c r="A457" t="s">
        <v>6</v>
      </c>
      <c r="B457">
        <v>28</v>
      </c>
      <c r="C457" t="str">
        <f>CHOOSE(MATCH(B457, {20,25,30,35,40,45,50,55,60,65,70,75,80,85}, 1), "20-24", "25-29", "30-34", "35-39", "40-44", "45-49", "50-54", "55-59", "60-64", "65-69", "70-74", "75-79", "80-84", "85+")</f>
        <v>25-29</v>
      </c>
      <c r="D457" t="s">
        <v>7</v>
      </c>
    </row>
    <row r="458" spans="1:4">
      <c r="A458" t="s">
        <v>6</v>
      </c>
      <c r="B458">
        <v>43</v>
      </c>
      <c r="C458" t="str">
        <f>CHOOSE(MATCH(B458, {20,25,30,35,40,45,50,55,60,65,70,75,80,85}, 1), "20-24", "25-29", "30-34", "35-39", "40-44", "45-49", "50-54", "55-59", "60-64", "65-69", "70-74", "75-79", "80-84", "85+")</f>
        <v>40-44</v>
      </c>
      <c r="D458" t="s">
        <v>7</v>
      </c>
    </row>
    <row r="459" spans="1:4">
      <c r="A459" t="s">
        <v>6</v>
      </c>
      <c r="B459">
        <v>22</v>
      </c>
      <c r="C459" t="str">
        <f>CHOOSE(MATCH(B459, {20,25,30,35,40,45,50,55,60,65,70,75,80,85}, 1), "20-24", "25-29", "30-34", "35-39", "40-44", "45-49", "50-54", "55-59", "60-64", "65-69", "70-74", "75-79", "80-84", "85+")</f>
        <v>20-24</v>
      </c>
      <c r="D459" t="s">
        <v>7</v>
      </c>
    </row>
    <row r="460" spans="1:4">
      <c r="A460" t="s">
        <v>6</v>
      </c>
      <c r="B460">
        <v>66</v>
      </c>
      <c r="C460" t="str">
        <f>CHOOSE(MATCH(B460, {20,25,30,35,40,45,50,55,60,65,70,75,80,85}, 1), "20-24", "25-29", "30-34", "35-39", "40-44", "45-49", "50-54", "55-59", "60-64", "65-69", "70-74", "75-79", "80-84", "85+")</f>
        <v>65-69</v>
      </c>
      <c r="D460" t="s">
        <v>8</v>
      </c>
    </row>
    <row r="461" spans="1:4">
      <c r="A461" t="s">
        <v>6</v>
      </c>
      <c r="B461">
        <v>28</v>
      </c>
      <c r="C461" t="str">
        <f>CHOOSE(MATCH(B461, {20,25,30,35,40,45,50,55,60,65,70,75,80,85}, 1), "20-24", "25-29", "30-34", "35-39", "40-44", "45-49", "50-54", "55-59", "60-64", "65-69", "70-74", "75-79", "80-84", "85+")</f>
        <v>25-29</v>
      </c>
      <c r="D461" t="s">
        <v>7</v>
      </c>
    </row>
    <row r="462" spans="1:4">
      <c r="A462" t="s">
        <v>6</v>
      </c>
      <c r="B462">
        <v>43</v>
      </c>
      <c r="C462" t="str">
        <f>CHOOSE(MATCH(B462, {20,25,30,35,40,45,50,55,60,65,70,75,80,85}, 1), "20-24", "25-29", "30-34", "35-39", "40-44", "45-49", "50-54", "55-59", "60-64", "65-69", "70-74", "75-79", "80-84", "85+")</f>
        <v>40-44</v>
      </c>
      <c r="D462" t="s">
        <v>7</v>
      </c>
    </row>
    <row r="463" spans="1:4">
      <c r="A463" t="s">
        <v>6</v>
      </c>
      <c r="B463">
        <v>61</v>
      </c>
      <c r="C463" t="str">
        <f>CHOOSE(MATCH(B463, {20,25,30,35,40,45,50,55,60,65,70,75,80,85}, 1), "20-24", "25-29", "30-34", "35-39", "40-44", "45-49", "50-54", "55-59", "60-64", "65-69", "70-74", "75-79", "80-84", "85+")</f>
        <v>60-64</v>
      </c>
      <c r="D463" t="s">
        <v>8</v>
      </c>
    </row>
    <row r="464" spans="1:4">
      <c r="A464" t="s">
        <v>6</v>
      </c>
      <c r="B464">
        <v>31</v>
      </c>
      <c r="C464" t="str">
        <f>CHOOSE(MATCH(B464, {20,25,30,35,40,45,50,55,60,65,70,75,80,85}, 1), "20-24", "25-29", "30-34", "35-39", "40-44", "45-49", "50-54", "55-59", "60-64", "65-69", "70-74", "75-79", "80-84", "85+")</f>
        <v>30-34</v>
      </c>
      <c r="D464" t="s">
        <v>7</v>
      </c>
    </row>
    <row r="465" spans="1:4">
      <c r="A465" t="s">
        <v>6</v>
      </c>
      <c r="B465">
        <v>58</v>
      </c>
      <c r="C465" t="str">
        <f>CHOOSE(MATCH(B465, {20,25,30,35,40,45,50,55,60,65,70,75,80,85}, 1), "20-24", "25-29", "30-34", "35-39", "40-44", "45-49", "50-54", "55-59", "60-64", "65-69", "70-74", "75-79", "80-84", "85+")</f>
        <v>55-59</v>
      </c>
      <c r="D465" t="s">
        <v>7</v>
      </c>
    </row>
    <row r="466" spans="1:4">
      <c r="A466" t="s">
        <v>6</v>
      </c>
      <c r="B466">
        <v>62</v>
      </c>
      <c r="C466" t="str">
        <f>CHOOSE(MATCH(B466, {20,25,30,35,40,45,50,55,60,65,70,75,80,85}, 1), "20-24", "25-29", "30-34", "35-39", "40-44", "45-49", "50-54", "55-59", "60-64", "65-69", "70-74", "75-79", "80-84", "85+")</f>
        <v>60-64</v>
      </c>
      <c r="D466" t="s">
        <v>8</v>
      </c>
    </row>
    <row r="467" spans="1:4">
      <c r="A467" t="s">
        <v>6</v>
      </c>
      <c r="B467">
        <v>29</v>
      </c>
      <c r="C467" t="str">
        <f>CHOOSE(MATCH(B467, {20,25,30,35,40,45,50,55,60,65,70,75,80,85}, 1), "20-24", "25-29", "30-34", "35-39", "40-44", "45-49", "50-54", "55-59", "60-64", "65-69", "70-74", "75-79", "80-84", "85+")</f>
        <v>25-29</v>
      </c>
      <c r="D467" t="s">
        <v>7</v>
      </c>
    </row>
    <row r="468" spans="1:4">
      <c r="A468" t="s">
        <v>6</v>
      </c>
      <c r="B468">
        <v>40</v>
      </c>
      <c r="C468" t="str">
        <f>CHOOSE(MATCH(B468, {20,25,30,35,40,45,50,55,60,65,70,75,80,85}, 1), "20-24", "25-29", "30-34", "35-39", "40-44", "45-49", "50-54", "55-59", "60-64", "65-69", "70-74", "75-79", "80-84", "85+")</f>
        <v>40-44</v>
      </c>
      <c r="D468" t="s">
        <v>7</v>
      </c>
    </row>
    <row r="469" spans="1:4">
      <c r="A469" t="s">
        <v>6</v>
      </c>
      <c r="B469">
        <v>26</v>
      </c>
      <c r="C469" t="str">
        <f>CHOOSE(MATCH(B469, {20,25,30,35,40,45,50,55,60,65,70,75,80,85}, 1), "20-24", "25-29", "30-34", "35-39", "40-44", "45-49", "50-54", "55-59", "60-64", "65-69", "70-74", "75-79", "80-84", "85+")</f>
        <v>25-29</v>
      </c>
      <c r="D469" t="s">
        <v>8</v>
      </c>
    </row>
    <row r="470" spans="1:4">
      <c r="A470" t="s">
        <v>6</v>
      </c>
      <c r="B470">
        <v>65</v>
      </c>
      <c r="C470" t="str">
        <f>CHOOSE(MATCH(B470, {20,25,30,35,40,45,50,55,60,65,70,75,80,85}, 1), "20-24", "25-29", "30-34", "35-39", "40-44", "45-49", "50-54", "55-59", "60-64", "65-69", "70-74", "75-79", "80-84", "85+")</f>
        <v>65-69</v>
      </c>
      <c r="D470" t="s">
        <v>7</v>
      </c>
    </row>
    <row r="471" spans="1:4">
      <c r="A471" t="s">
        <v>6</v>
      </c>
      <c r="B471">
        <v>39</v>
      </c>
      <c r="C471" t="str">
        <f>CHOOSE(MATCH(B471, {20,25,30,35,40,45,50,55,60,65,70,75,80,85}, 1), "20-24", "25-29", "30-34", "35-39", "40-44", "45-49", "50-54", "55-59", "60-64", "65-69", "70-74", "75-79", "80-84", "85+")</f>
        <v>35-39</v>
      </c>
      <c r="D471" t="s">
        <v>8</v>
      </c>
    </row>
    <row r="472" spans="1:4">
      <c r="A472" t="s">
        <v>6</v>
      </c>
      <c r="B472">
        <v>31</v>
      </c>
      <c r="C472" t="str">
        <f>CHOOSE(MATCH(B472, {20,25,30,35,40,45,50,55,60,65,70,75,80,85}, 1), "20-24", "25-29", "30-34", "35-39", "40-44", "45-49", "50-54", "55-59", "60-64", "65-69", "70-74", "75-79", "80-84", "85+")</f>
        <v>30-34</v>
      </c>
      <c r="D472" t="s">
        <v>7</v>
      </c>
    </row>
    <row r="473" spans="1:4">
      <c r="A473" t="s">
        <v>6</v>
      </c>
      <c r="B473">
        <v>24</v>
      </c>
      <c r="C473" t="str">
        <f>CHOOSE(MATCH(B473, {20,25,30,35,40,45,50,55,60,65,70,75,80,85}, 1), "20-24", "25-29", "30-34", "35-39", "40-44", "45-49", "50-54", "55-59", "60-64", "65-69", "70-74", "75-79", "80-84", "85+")</f>
        <v>20-24</v>
      </c>
      <c r="D473" t="s">
        <v>8</v>
      </c>
    </row>
    <row r="474" spans="1:4">
      <c r="A474" t="s">
        <v>6</v>
      </c>
      <c r="B474">
        <v>50</v>
      </c>
      <c r="C474" t="str">
        <f>CHOOSE(MATCH(B474, {20,25,30,35,40,45,50,55,60,65,70,75,80,85}, 1), "20-24", "25-29", "30-34", "35-39", "40-44", "45-49", "50-54", "55-59", "60-64", "65-69", "70-74", "75-79", "80-84", "85+")</f>
        <v>50-54</v>
      </c>
      <c r="D474" t="s">
        <v>8</v>
      </c>
    </row>
    <row r="475" spans="1:4">
      <c r="A475" t="s">
        <v>6</v>
      </c>
      <c r="B475">
        <v>52</v>
      </c>
      <c r="C475" t="str">
        <f>CHOOSE(MATCH(B475, {20,25,30,35,40,45,50,55,60,65,70,75,80,85}, 1), "20-24", "25-29", "30-34", "35-39", "40-44", "45-49", "50-54", "55-59", "60-64", "65-69", "70-74", "75-79", "80-84", "85+")</f>
        <v>50-54</v>
      </c>
      <c r="D475" t="s">
        <v>8</v>
      </c>
    </row>
    <row r="476" spans="1:4">
      <c r="A476" t="s">
        <v>6</v>
      </c>
      <c r="B476">
        <v>32</v>
      </c>
      <c r="C476" t="str">
        <f>CHOOSE(MATCH(B476, {20,25,30,35,40,45,50,55,60,65,70,75,80,85}, 1), "20-24", "25-29", "30-34", "35-39", "40-44", "45-49", "50-54", "55-59", "60-64", "65-69", "70-74", "75-79", "80-84", "85+")</f>
        <v>30-34</v>
      </c>
      <c r="D476" t="s">
        <v>8</v>
      </c>
    </row>
    <row r="477" spans="1:4">
      <c r="A477" t="s">
        <v>6</v>
      </c>
      <c r="B477">
        <v>29</v>
      </c>
      <c r="C477" t="str">
        <f>CHOOSE(MATCH(B477, {20,25,30,35,40,45,50,55,60,65,70,75,80,85}, 1), "20-24", "25-29", "30-34", "35-39", "40-44", "45-49", "50-54", "55-59", "60-64", "65-69", "70-74", "75-79", "80-84", "85+")</f>
        <v>25-29</v>
      </c>
      <c r="D477" t="s">
        <v>7</v>
      </c>
    </row>
    <row r="478" spans="1:4">
      <c r="A478" t="s">
        <v>6</v>
      </c>
      <c r="B478">
        <v>45</v>
      </c>
      <c r="C478" t="str">
        <f>CHOOSE(MATCH(B478, {20,25,30,35,40,45,50,55,60,65,70,75,80,85}, 1), "20-24", "25-29", "30-34", "35-39", "40-44", "45-49", "50-54", "55-59", "60-64", "65-69", "70-74", "75-79", "80-84", "85+")</f>
        <v>45-49</v>
      </c>
      <c r="D478" t="s">
        <v>8</v>
      </c>
    </row>
    <row r="479" spans="1:4">
      <c r="A479" t="s">
        <v>6</v>
      </c>
      <c r="B479">
        <v>25</v>
      </c>
      <c r="C479" t="str">
        <f>CHOOSE(MATCH(B479, {20,25,30,35,40,45,50,55,60,65,70,75,80,85}, 1), "20-24", "25-29", "30-34", "35-39", "40-44", "45-49", "50-54", "55-59", "60-64", "65-69", "70-74", "75-79", "80-84", "85+")</f>
        <v>25-29</v>
      </c>
      <c r="D479" t="s">
        <v>8</v>
      </c>
    </row>
    <row r="480" spans="1:4">
      <c r="A480" t="s">
        <v>6</v>
      </c>
      <c r="B480">
        <v>46</v>
      </c>
      <c r="C480" t="str">
        <f>CHOOSE(MATCH(B480, {20,25,30,35,40,45,50,55,60,65,70,75,80,85}, 1), "20-24", "25-29", "30-34", "35-39", "40-44", "45-49", "50-54", "55-59", "60-64", "65-69", "70-74", "75-79", "80-84", "85+")</f>
        <v>45-49</v>
      </c>
      <c r="D480" t="s">
        <v>8</v>
      </c>
    </row>
    <row r="481" spans="1:4">
      <c r="A481" t="s">
        <v>6</v>
      </c>
      <c r="B481">
        <v>32</v>
      </c>
      <c r="C481" t="str">
        <f>CHOOSE(MATCH(B481, {20,25,30,35,40,45,50,55,60,65,70,75,80,85}, 1), "20-24", "25-29", "30-34", "35-39", "40-44", "45-49", "50-54", "55-59", "60-64", "65-69", "70-74", "75-79", "80-84", "85+")</f>
        <v>30-34</v>
      </c>
      <c r="D481" t="s">
        <v>7</v>
      </c>
    </row>
    <row r="482" spans="1:4">
      <c r="A482" t="s">
        <v>6</v>
      </c>
      <c r="B482">
        <v>36</v>
      </c>
      <c r="C482" t="str">
        <f>CHOOSE(MATCH(B482, {20,25,30,35,40,45,50,55,60,65,70,75,80,85}, 1), "20-24", "25-29", "30-34", "35-39", "40-44", "45-49", "50-54", "55-59", "60-64", "65-69", "70-74", "75-79", "80-84", "85+")</f>
        <v>35-39</v>
      </c>
      <c r="D482" t="s">
        <v>8</v>
      </c>
    </row>
    <row r="483" spans="1:4">
      <c r="A483" t="s">
        <v>6</v>
      </c>
      <c r="B483">
        <v>95</v>
      </c>
      <c r="C483" t="str">
        <f>CHOOSE(MATCH(B483, {20,25,30,35,40,45,50,55,60,65,70,75,80,85}, 1), "20-24", "25-29", "30-34", "35-39", "40-44", "45-49", "50-54", "55-59", "60-64", "65-69", "70-74", "75-79", "80-84", "85+")</f>
        <v>85+</v>
      </c>
      <c r="D483" t="s">
        <v>7</v>
      </c>
    </row>
    <row r="484" spans="1:4">
      <c r="A484" t="s">
        <v>6</v>
      </c>
      <c r="B484">
        <v>59</v>
      </c>
      <c r="C484" t="str">
        <f>CHOOSE(MATCH(B484, {20,25,30,35,40,45,50,55,60,65,70,75,80,85}, 1), "20-24", "25-29", "30-34", "35-39", "40-44", "45-49", "50-54", "55-59", "60-64", "65-69", "70-74", "75-79", "80-84", "85+")</f>
        <v>55-59</v>
      </c>
      <c r="D484" t="s">
        <v>7</v>
      </c>
    </row>
    <row r="485" spans="1:4">
      <c r="A485" t="s">
        <v>6</v>
      </c>
      <c r="B485">
        <v>28</v>
      </c>
      <c r="C485" t="str">
        <f>CHOOSE(MATCH(B485, {20,25,30,35,40,45,50,55,60,65,70,75,80,85}, 1), "20-24", "25-29", "30-34", "35-39", "40-44", "45-49", "50-54", "55-59", "60-64", "65-69", "70-74", "75-79", "80-84", "85+")</f>
        <v>25-29</v>
      </c>
      <c r="D485" t="s">
        <v>7</v>
      </c>
    </row>
    <row r="486" spans="1:4">
      <c r="A486" t="s">
        <v>6</v>
      </c>
      <c r="B486">
        <v>53</v>
      </c>
      <c r="C486" t="str">
        <f>CHOOSE(MATCH(B486, {20,25,30,35,40,45,50,55,60,65,70,75,80,85}, 1), "20-24", "25-29", "30-34", "35-39", "40-44", "45-49", "50-54", "55-59", "60-64", "65-69", "70-74", "75-79", "80-84", "85+")</f>
        <v>50-54</v>
      </c>
      <c r="D486" t="s">
        <v>8</v>
      </c>
    </row>
    <row r="487" spans="1:4">
      <c r="A487" t="s">
        <v>6</v>
      </c>
      <c r="B487">
        <v>35</v>
      </c>
      <c r="C487" t="str">
        <f>CHOOSE(MATCH(B487, {20,25,30,35,40,45,50,55,60,65,70,75,80,85}, 1), "20-24", "25-29", "30-34", "35-39", "40-44", "45-49", "50-54", "55-59", "60-64", "65-69", "70-74", "75-79", "80-84", "85+")</f>
        <v>35-39</v>
      </c>
      <c r="D487" t="s">
        <v>7</v>
      </c>
    </row>
    <row r="488" spans="1:4">
      <c r="A488" t="s">
        <v>6</v>
      </c>
      <c r="B488">
        <v>42</v>
      </c>
      <c r="C488" t="str">
        <f>CHOOSE(MATCH(B488, {20,25,30,35,40,45,50,55,60,65,70,75,80,85}, 1), "20-24", "25-29", "30-34", "35-39", "40-44", "45-49", "50-54", "55-59", "60-64", "65-69", "70-74", "75-79", "80-84", "85+")</f>
        <v>40-44</v>
      </c>
      <c r="D488" t="s">
        <v>7</v>
      </c>
    </row>
    <row r="489" spans="1:4">
      <c r="A489" t="s">
        <v>6</v>
      </c>
      <c r="B489">
        <v>29</v>
      </c>
      <c r="C489" t="str">
        <f>CHOOSE(MATCH(B489, {20,25,30,35,40,45,50,55,60,65,70,75,80,85}, 1), "20-24", "25-29", "30-34", "35-39", "40-44", "45-49", "50-54", "55-59", "60-64", "65-69", "70-74", "75-79", "80-84", "85+")</f>
        <v>25-29</v>
      </c>
      <c r="D489" t="s">
        <v>7</v>
      </c>
    </row>
    <row r="490" spans="1:4">
      <c r="A490" t="s">
        <v>6</v>
      </c>
      <c r="B490">
        <v>65</v>
      </c>
      <c r="C490" t="str">
        <f>CHOOSE(MATCH(B490, {20,25,30,35,40,45,50,55,60,65,70,75,80,85}, 1), "20-24", "25-29", "30-34", "35-39", "40-44", "45-49", "50-54", "55-59", "60-64", "65-69", "70-74", "75-79", "80-84", "85+")</f>
        <v>65-69</v>
      </c>
      <c r="D490" t="s">
        <v>8</v>
      </c>
    </row>
    <row r="491" spans="1:4">
      <c r="A491" t="s">
        <v>6</v>
      </c>
      <c r="B491">
        <v>59</v>
      </c>
      <c r="C491" t="str">
        <f>CHOOSE(MATCH(B491, {20,25,30,35,40,45,50,55,60,65,70,75,80,85}, 1), "20-24", "25-29", "30-34", "35-39", "40-44", "45-49", "50-54", "55-59", "60-64", "65-69", "70-74", "75-79", "80-84", "85+")</f>
        <v>55-59</v>
      </c>
      <c r="D491" t="s">
        <v>8</v>
      </c>
    </row>
    <row r="492" spans="1:4">
      <c r="A492" t="s">
        <v>6</v>
      </c>
      <c r="B492">
        <v>29</v>
      </c>
      <c r="C492" t="str">
        <f>CHOOSE(MATCH(B492, {20,25,30,35,40,45,50,55,60,65,70,75,80,85}, 1), "20-24", "25-29", "30-34", "35-39", "40-44", "45-49", "50-54", "55-59", "60-64", "65-69", "70-74", "75-79", "80-84", "85+")</f>
        <v>25-29</v>
      </c>
      <c r="D492" t="s">
        <v>7</v>
      </c>
    </row>
    <row r="493" spans="1:4">
      <c r="A493" t="s">
        <v>6</v>
      </c>
      <c r="B493">
        <v>39</v>
      </c>
      <c r="C493" t="str">
        <f>CHOOSE(MATCH(B493, {20,25,30,35,40,45,50,55,60,65,70,75,80,85}, 1), "20-24", "25-29", "30-34", "35-39", "40-44", "45-49", "50-54", "55-59", "60-64", "65-69", "70-74", "75-79", "80-84", "85+")</f>
        <v>35-39</v>
      </c>
      <c r="D493" t="s">
        <v>7</v>
      </c>
    </row>
    <row r="494" spans="1:4">
      <c r="A494" t="s">
        <v>6</v>
      </c>
      <c r="B494">
        <v>36</v>
      </c>
      <c r="C494" t="str">
        <f>CHOOSE(MATCH(B494, {20,25,30,35,40,45,50,55,60,65,70,75,80,85}, 1), "20-24", "25-29", "30-34", "35-39", "40-44", "45-49", "50-54", "55-59", "60-64", "65-69", "70-74", "75-79", "80-84", "85+")</f>
        <v>35-39</v>
      </c>
      <c r="D494" t="s">
        <v>8</v>
      </c>
    </row>
    <row r="495" spans="1:4">
      <c r="A495" t="s">
        <v>6</v>
      </c>
      <c r="B495">
        <v>32</v>
      </c>
      <c r="C495" t="str">
        <f>CHOOSE(MATCH(B495, {20,25,30,35,40,45,50,55,60,65,70,75,80,85}, 1), "20-24", "25-29", "30-34", "35-39", "40-44", "45-49", "50-54", "55-59", "60-64", "65-69", "70-74", "75-79", "80-84", "85+")</f>
        <v>30-34</v>
      </c>
      <c r="D495" t="s">
        <v>7</v>
      </c>
    </row>
    <row r="496" spans="1:4">
      <c r="A496" t="s">
        <v>6</v>
      </c>
      <c r="B496">
        <v>54</v>
      </c>
      <c r="C496" t="str">
        <f>CHOOSE(MATCH(B496, {20,25,30,35,40,45,50,55,60,65,70,75,80,85}, 1), "20-24", "25-29", "30-34", "35-39", "40-44", "45-49", "50-54", "55-59", "60-64", "65-69", "70-74", "75-79", "80-84", "85+")</f>
        <v>50-54</v>
      </c>
      <c r="D496" t="s">
        <v>8</v>
      </c>
    </row>
    <row r="497" spans="1:4">
      <c r="A497" t="s">
        <v>6</v>
      </c>
      <c r="B497">
        <v>72</v>
      </c>
      <c r="C497" t="str">
        <f>CHOOSE(MATCH(B497, {20,25,30,35,40,45,50,55,60,65,70,75,80,85}, 1), "20-24", "25-29", "30-34", "35-39", "40-44", "45-49", "50-54", "55-59", "60-64", "65-69", "70-74", "75-79", "80-84", "85+")</f>
        <v>70-74</v>
      </c>
      <c r="D497" t="s">
        <v>7</v>
      </c>
    </row>
    <row r="498" spans="1:4">
      <c r="A498" t="s">
        <v>6</v>
      </c>
      <c r="B498">
        <v>36</v>
      </c>
      <c r="C498" t="str">
        <f>CHOOSE(MATCH(B498, {20,25,30,35,40,45,50,55,60,65,70,75,80,85}, 1), "20-24", "25-29", "30-34", "35-39", "40-44", "45-49", "50-54", "55-59", "60-64", "65-69", "70-74", "75-79", "80-84", "85+")</f>
        <v>35-39</v>
      </c>
      <c r="D498" t="s">
        <v>8</v>
      </c>
    </row>
    <row r="499" spans="1:4">
      <c r="A499" t="s">
        <v>6</v>
      </c>
      <c r="B499">
        <v>29</v>
      </c>
      <c r="C499" t="str">
        <f>CHOOSE(MATCH(B499, {20,25,30,35,40,45,50,55,60,65,70,75,80,85}, 1), "20-24", "25-29", "30-34", "35-39", "40-44", "45-49", "50-54", "55-59", "60-64", "65-69", "70-74", "75-79", "80-84", "85+")</f>
        <v>25-29</v>
      </c>
      <c r="D499" t="s">
        <v>8</v>
      </c>
    </row>
    <row r="500" spans="1:4">
      <c r="A500" t="s">
        <v>6</v>
      </c>
      <c r="B500">
        <v>38</v>
      </c>
      <c r="C500" t="str">
        <f>CHOOSE(MATCH(B500, {20,25,30,35,40,45,50,55,60,65,70,75,80,85}, 1), "20-24", "25-29", "30-34", "35-39", "40-44", "45-49", "50-54", "55-59", "60-64", "65-69", "70-74", "75-79", "80-84", "85+")</f>
        <v>35-39</v>
      </c>
      <c r="D500" t="s">
        <v>8</v>
      </c>
    </row>
    <row r="501" spans="1:4">
      <c r="A501" t="s">
        <v>6</v>
      </c>
      <c r="B501">
        <v>32</v>
      </c>
      <c r="C501" t="str">
        <f>CHOOSE(MATCH(B501, {20,25,30,35,40,45,50,55,60,65,70,75,80,85}, 1), "20-24", "25-29", "30-34", "35-39", "40-44", "45-49", "50-54", "55-59", "60-64", "65-69", "70-74", "75-79", "80-84", "85+")</f>
        <v>30-34</v>
      </c>
      <c r="D501" t="s">
        <v>7</v>
      </c>
    </row>
    <row r="502" spans="1:4">
      <c r="A502" t="s">
        <v>6</v>
      </c>
      <c r="B502">
        <v>57</v>
      </c>
      <c r="C502" t="str">
        <f>CHOOSE(MATCH(B502, {20,25,30,35,40,45,50,55,60,65,70,75,80,85}, 1), "20-24", "25-29", "30-34", "35-39", "40-44", "45-49", "50-54", "55-59", "60-64", "65-69", "70-74", "75-79", "80-84", "85+")</f>
        <v>55-59</v>
      </c>
      <c r="D502" t="s">
        <v>7</v>
      </c>
    </row>
    <row r="503" spans="1:4">
      <c r="A503" t="s">
        <v>6</v>
      </c>
      <c r="B503">
        <v>72</v>
      </c>
      <c r="C503" t="str">
        <f>CHOOSE(MATCH(B503, {20,25,30,35,40,45,50,55,60,65,70,75,80,85}, 1), "20-24", "25-29", "30-34", "35-39", "40-44", "45-49", "50-54", "55-59", "60-64", "65-69", "70-74", "75-79", "80-84", "85+")</f>
        <v>70-74</v>
      </c>
      <c r="D503" t="s">
        <v>7</v>
      </c>
    </row>
    <row r="504" spans="1:4">
      <c r="A504" t="s">
        <v>6</v>
      </c>
      <c r="B504">
        <v>38</v>
      </c>
      <c r="C504" t="str">
        <f>CHOOSE(MATCH(B504, {20,25,30,35,40,45,50,55,60,65,70,75,80,85}, 1), "20-24", "25-29", "30-34", "35-39", "40-44", "45-49", "50-54", "55-59", "60-64", "65-69", "70-74", "75-79", "80-84", "85+")</f>
        <v>35-39</v>
      </c>
      <c r="D504" t="s">
        <v>7</v>
      </c>
    </row>
    <row r="505" spans="1:4">
      <c r="A505" t="s">
        <v>6</v>
      </c>
      <c r="B505">
        <v>57</v>
      </c>
      <c r="C505" t="str">
        <f>CHOOSE(MATCH(B505, {20,25,30,35,40,45,50,55,60,65,70,75,80,85}, 1), "20-24", "25-29", "30-34", "35-39", "40-44", "45-49", "50-54", "55-59", "60-64", "65-69", "70-74", "75-79", "80-84", "85+")</f>
        <v>55-59</v>
      </c>
      <c r="D505" t="s">
        <v>8</v>
      </c>
    </row>
    <row r="506" spans="1:4">
      <c r="A506" t="s">
        <v>6</v>
      </c>
      <c r="B506">
        <v>52</v>
      </c>
      <c r="C506" t="str">
        <f>CHOOSE(MATCH(B506, {20,25,30,35,40,45,50,55,60,65,70,75,80,85}, 1), "20-24", "25-29", "30-34", "35-39", "40-44", "45-49", "50-54", "55-59", "60-64", "65-69", "70-74", "75-79", "80-84", "85+")</f>
        <v>50-54</v>
      </c>
      <c r="D506" t="s">
        <v>7</v>
      </c>
    </row>
    <row r="507" spans="1:4">
      <c r="A507" t="s">
        <v>6</v>
      </c>
      <c r="B507">
        <v>42</v>
      </c>
      <c r="C507" t="str">
        <f>CHOOSE(MATCH(B507, {20,25,30,35,40,45,50,55,60,65,70,75,80,85}, 1), "20-24", "25-29", "30-34", "35-39", "40-44", "45-49", "50-54", "55-59", "60-64", "65-69", "70-74", "75-79", "80-84", "85+")</f>
        <v>40-44</v>
      </c>
      <c r="D507" t="s">
        <v>8</v>
      </c>
    </row>
    <row r="508" spans="1:4">
      <c r="A508" t="s">
        <v>6</v>
      </c>
      <c r="B508">
        <v>26</v>
      </c>
      <c r="C508" t="str">
        <f>CHOOSE(MATCH(B508, {20,25,30,35,40,45,50,55,60,65,70,75,80,85}, 1), "20-24", "25-29", "30-34", "35-39", "40-44", "45-49", "50-54", "55-59", "60-64", "65-69", "70-74", "75-79", "80-84", "85+")</f>
        <v>25-29</v>
      </c>
      <c r="D508" t="s">
        <v>7</v>
      </c>
    </row>
    <row r="509" spans="1:4">
      <c r="A509" t="s">
        <v>6</v>
      </c>
      <c r="B509">
        <v>20</v>
      </c>
      <c r="C509" t="str">
        <f>CHOOSE(MATCH(B509, {20,25,30,35,40,45,50,55,60,65,70,75,80,85}, 1), "20-24", "25-29", "30-34", "35-39", "40-44", "45-49", "50-54", "55-59", "60-64", "65-69", "70-74", "75-79", "80-84", "85+")</f>
        <v>20-24</v>
      </c>
      <c r="D509" t="s">
        <v>8</v>
      </c>
    </row>
    <row r="510" spans="1:4">
      <c r="A510" t="s">
        <v>6</v>
      </c>
      <c r="B510">
        <v>26</v>
      </c>
      <c r="C510" t="str">
        <f>CHOOSE(MATCH(B510, {20,25,30,35,40,45,50,55,60,65,70,75,80,85}, 1), "20-24", "25-29", "30-34", "35-39", "40-44", "45-49", "50-54", "55-59", "60-64", "65-69", "70-74", "75-79", "80-84", "85+")</f>
        <v>25-29</v>
      </c>
      <c r="D510" t="s">
        <v>7</v>
      </c>
    </row>
    <row r="511" spans="1:4">
      <c r="A511" t="s">
        <v>6</v>
      </c>
      <c r="B511">
        <v>33</v>
      </c>
      <c r="C511" t="str">
        <f>CHOOSE(MATCH(B511, {20,25,30,35,40,45,50,55,60,65,70,75,80,85}, 1), "20-24", "25-29", "30-34", "35-39", "40-44", "45-49", "50-54", "55-59", "60-64", "65-69", "70-74", "75-79", "80-84", "85+")</f>
        <v>30-34</v>
      </c>
      <c r="D511" t="s">
        <v>7</v>
      </c>
    </row>
    <row r="512" spans="1:4">
      <c r="A512" t="s">
        <v>6</v>
      </c>
      <c r="B512">
        <v>29</v>
      </c>
      <c r="C512" t="str">
        <f>CHOOSE(MATCH(B512, {20,25,30,35,40,45,50,55,60,65,70,75,80,85}, 1), "20-24", "25-29", "30-34", "35-39", "40-44", "45-49", "50-54", "55-59", "60-64", "65-69", "70-74", "75-79", "80-84", "85+")</f>
        <v>25-29</v>
      </c>
      <c r="D512" t="s">
        <v>7</v>
      </c>
    </row>
    <row r="513" spans="1:4">
      <c r="A513" t="s">
        <v>6</v>
      </c>
      <c r="B513">
        <v>30</v>
      </c>
      <c r="C513" t="str">
        <f>CHOOSE(MATCH(B513, {20,25,30,35,40,45,50,55,60,65,70,75,80,85}, 1), "20-24", "25-29", "30-34", "35-39", "40-44", "45-49", "50-54", "55-59", "60-64", "65-69", "70-74", "75-79", "80-84", "85+")</f>
        <v>30-34</v>
      </c>
      <c r="D513" t="s">
        <v>8</v>
      </c>
    </row>
    <row r="514" spans="1:4">
      <c r="A514" t="s">
        <v>6</v>
      </c>
      <c r="B514">
        <v>42</v>
      </c>
      <c r="C514" t="str">
        <f>CHOOSE(MATCH(B514, {20,25,30,35,40,45,50,55,60,65,70,75,80,85}, 1), "20-24", "25-29", "30-34", "35-39", "40-44", "45-49", "50-54", "55-59", "60-64", "65-69", "70-74", "75-79", "80-84", "85+")</f>
        <v>40-44</v>
      </c>
      <c r="D514" t="s">
        <v>7</v>
      </c>
    </row>
    <row r="515" spans="1:4">
      <c r="A515" t="s">
        <v>6</v>
      </c>
      <c r="B515">
        <v>49</v>
      </c>
      <c r="C515" t="str">
        <f>CHOOSE(MATCH(B515, {20,25,30,35,40,45,50,55,60,65,70,75,80,85}, 1), "20-24", "25-29", "30-34", "35-39", "40-44", "45-49", "50-54", "55-59", "60-64", "65-69", "70-74", "75-79", "80-84", "85+")</f>
        <v>45-49</v>
      </c>
      <c r="D515" t="s">
        <v>7</v>
      </c>
    </row>
    <row r="516" spans="1:4">
      <c r="A516" t="s">
        <v>6</v>
      </c>
      <c r="B516">
        <v>20</v>
      </c>
      <c r="C516" t="str">
        <f>CHOOSE(MATCH(B516, {20,25,30,35,40,45,50,55,60,65,70,75,80,85}, 1), "20-24", "25-29", "30-34", "35-39", "40-44", "45-49", "50-54", "55-59", "60-64", "65-69", "70-74", "75-79", "80-84", "85+")</f>
        <v>20-24</v>
      </c>
      <c r="D516" t="s">
        <v>8</v>
      </c>
    </row>
    <row r="517" spans="1:4">
      <c r="A517" t="s">
        <v>6</v>
      </c>
      <c r="B517">
        <v>27</v>
      </c>
      <c r="C517" t="str">
        <f>CHOOSE(MATCH(B517, {20,25,30,35,40,45,50,55,60,65,70,75,80,85}, 1), "20-24", "25-29", "30-34", "35-39", "40-44", "45-49", "50-54", "55-59", "60-64", "65-69", "70-74", "75-79", "80-84", "85+")</f>
        <v>25-29</v>
      </c>
      <c r="D517" t="s">
        <v>8</v>
      </c>
    </row>
    <row r="518" spans="1:4">
      <c r="A518" t="s">
        <v>6</v>
      </c>
      <c r="B518">
        <v>67</v>
      </c>
      <c r="C518" t="str">
        <f>CHOOSE(MATCH(B518, {20,25,30,35,40,45,50,55,60,65,70,75,80,85}, 1), "20-24", "25-29", "30-34", "35-39", "40-44", "45-49", "50-54", "55-59", "60-64", "65-69", "70-74", "75-79", "80-84", "85+")</f>
        <v>65-69</v>
      </c>
      <c r="D518" t="s">
        <v>7</v>
      </c>
    </row>
    <row r="519" spans="1:4">
      <c r="A519" t="s">
        <v>6</v>
      </c>
      <c r="B519">
        <v>46</v>
      </c>
      <c r="C519" t="str">
        <f>CHOOSE(MATCH(B519, {20,25,30,35,40,45,50,55,60,65,70,75,80,85}, 1), "20-24", "25-29", "30-34", "35-39", "40-44", "45-49", "50-54", "55-59", "60-64", "65-69", "70-74", "75-79", "80-84", "85+")</f>
        <v>45-49</v>
      </c>
      <c r="D519" t="s">
        <v>7</v>
      </c>
    </row>
    <row r="520" spans="1:4">
      <c r="A520" t="s">
        <v>6</v>
      </c>
      <c r="B520">
        <v>27</v>
      </c>
      <c r="C520" t="str">
        <f>CHOOSE(MATCH(B520, {20,25,30,35,40,45,50,55,60,65,70,75,80,85}, 1), "20-24", "25-29", "30-34", "35-39", "40-44", "45-49", "50-54", "55-59", "60-64", "65-69", "70-74", "75-79", "80-84", "85+")</f>
        <v>25-29</v>
      </c>
      <c r="D520" t="s">
        <v>7</v>
      </c>
    </row>
    <row r="521" spans="1:4">
      <c r="A521" t="s">
        <v>6</v>
      </c>
      <c r="B521">
        <v>40</v>
      </c>
      <c r="C521" t="str">
        <f>CHOOSE(MATCH(B521, {20,25,30,35,40,45,50,55,60,65,70,75,80,85}, 1), "20-24", "25-29", "30-34", "35-39", "40-44", "45-49", "50-54", "55-59", "60-64", "65-69", "70-74", "75-79", "80-84", "85+")</f>
        <v>40-44</v>
      </c>
      <c r="D521" t="s">
        <v>8</v>
      </c>
    </row>
    <row r="522" spans="1:4">
      <c r="A522" t="s">
        <v>6</v>
      </c>
      <c r="B522">
        <v>23</v>
      </c>
      <c r="C522" t="str">
        <f>CHOOSE(MATCH(B522, {20,25,30,35,40,45,50,55,60,65,70,75,80,85}, 1), "20-24", "25-29", "30-34", "35-39", "40-44", "45-49", "50-54", "55-59", "60-64", "65-69", "70-74", "75-79", "80-84", "85+")</f>
        <v>20-24</v>
      </c>
      <c r="D522" t="s">
        <v>8</v>
      </c>
    </row>
    <row r="523" spans="1:4">
      <c r="A523" t="s">
        <v>6</v>
      </c>
      <c r="B523">
        <v>28</v>
      </c>
      <c r="C523" t="str">
        <f>CHOOSE(MATCH(B523, {20,25,30,35,40,45,50,55,60,65,70,75,80,85}, 1), "20-24", "25-29", "30-34", "35-39", "40-44", "45-49", "50-54", "55-59", "60-64", "65-69", "70-74", "75-79", "80-84", "85+")</f>
        <v>25-29</v>
      </c>
      <c r="D523" t="s">
        <v>7</v>
      </c>
    </row>
    <row r="524" spans="1:4">
      <c r="A524" t="s">
        <v>6</v>
      </c>
      <c r="B524">
        <v>44</v>
      </c>
      <c r="C524" t="str">
        <f>CHOOSE(MATCH(B524, {20,25,30,35,40,45,50,55,60,65,70,75,80,85}, 1), "20-24", "25-29", "30-34", "35-39", "40-44", "45-49", "50-54", "55-59", "60-64", "65-69", "70-74", "75-79", "80-84", "85+")</f>
        <v>40-44</v>
      </c>
      <c r="D524" t="s">
        <v>7</v>
      </c>
    </row>
    <row r="525" spans="1:4">
      <c r="A525" t="s">
        <v>6</v>
      </c>
      <c r="B525">
        <v>55</v>
      </c>
      <c r="C525" t="str">
        <f>CHOOSE(MATCH(B525, {20,25,30,35,40,45,50,55,60,65,70,75,80,85}, 1), "20-24", "25-29", "30-34", "35-39", "40-44", "45-49", "50-54", "55-59", "60-64", "65-69", "70-74", "75-79", "80-84", "85+")</f>
        <v>55-59</v>
      </c>
      <c r="D525" t="s">
        <v>7</v>
      </c>
    </row>
    <row r="526" spans="1:4">
      <c r="A526" t="s">
        <v>6</v>
      </c>
      <c r="B526">
        <v>24</v>
      </c>
      <c r="C526" t="str">
        <f>CHOOSE(MATCH(B526, {20,25,30,35,40,45,50,55,60,65,70,75,80,85}, 1), "20-24", "25-29", "30-34", "35-39", "40-44", "45-49", "50-54", "55-59", "60-64", "65-69", "70-74", "75-79", "80-84", "85+")</f>
        <v>20-24</v>
      </c>
      <c r="D526" t="s">
        <v>8</v>
      </c>
    </row>
    <row r="527" spans="1:4">
      <c r="A527" t="s">
        <v>6</v>
      </c>
      <c r="B527">
        <v>36</v>
      </c>
      <c r="C527" t="str">
        <f>CHOOSE(MATCH(B527, {20,25,30,35,40,45,50,55,60,65,70,75,80,85}, 1), "20-24", "25-29", "30-34", "35-39", "40-44", "45-49", "50-54", "55-59", "60-64", "65-69", "70-74", "75-79", "80-84", "85+")</f>
        <v>35-39</v>
      </c>
      <c r="D527" t="s">
        <v>7</v>
      </c>
    </row>
    <row r="528" spans="1:4">
      <c r="A528" t="s">
        <v>6</v>
      </c>
      <c r="B528">
        <v>34</v>
      </c>
      <c r="C528" t="str">
        <f>CHOOSE(MATCH(B528, {20,25,30,35,40,45,50,55,60,65,70,75,80,85}, 1), "20-24", "25-29", "30-34", "35-39", "40-44", "45-49", "50-54", "55-59", "60-64", "65-69", "70-74", "75-79", "80-84", "85+")</f>
        <v>30-34</v>
      </c>
      <c r="D528" t="s">
        <v>8</v>
      </c>
    </row>
    <row r="529" spans="1:4">
      <c r="A529" t="s">
        <v>6</v>
      </c>
      <c r="B529">
        <v>53</v>
      </c>
      <c r="C529" t="str">
        <f>CHOOSE(MATCH(B529, {20,25,30,35,40,45,50,55,60,65,70,75,80,85}, 1), "20-24", "25-29", "30-34", "35-39", "40-44", "45-49", "50-54", "55-59", "60-64", "65-69", "70-74", "75-79", "80-84", "85+")</f>
        <v>50-54</v>
      </c>
      <c r="D529" t="s">
        <v>8</v>
      </c>
    </row>
    <row r="530" spans="1:4">
      <c r="A530" t="s">
        <v>6</v>
      </c>
      <c r="B530">
        <v>29</v>
      </c>
      <c r="C530" t="str">
        <f>CHOOSE(MATCH(B530, {20,25,30,35,40,45,50,55,60,65,70,75,80,85}, 1), "20-24", "25-29", "30-34", "35-39", "40-44", "45-49", "50-54", "55-59", "60-64", "65-69", "70-74", "75-79", "80-84", "85+")</f>
        <v>25-29</v>
      </c>
      <c r="D530" t="s">
        <v>7</v>
      </c>
    </row>
    <row r="531" spans="1:4">
      <c r="A531" t="s">
        <v>6</v>
      </c>
      <c r="B531">
        <v>35</v>
      </c>
      <c r="C531" t="str">
        <f>CHOOSE(MATCH(B531, {20,25,30,35,40,45,50,55,60,65,70,75,80,85}, 1), "20-24", "25-29", "30-34", "35-39", "40-44", "45-49", "50-54", "55-59", "60-64", "65-69", "70-74", "75-79", "80-84", "85+")</f>
        <v>35-39</v>
      </c>
      <c r="D531" t="s">
        <v>7</v>
      </c>
    </row>
    <row r="532" spans="1:4">
      <c r="A532" t="s">
        <v>6</v>
      </c>
      <c r="B532">
        <v>64</v>
      </c>
      <c r="C532" t="str">
        <f>CHOOSE(MATCH(B532, {20,25,30,35,40,45,50,55,60,65,70,75,80,85}, 1), "20-24", "25-29", "30-34", "35-39", "40-44", "45-49", "50-54", "55-59", "60-64", "65-69", "70-74", "75-79", "80-84", "85+")</f>
        <v>60-64</v>
      </c>
      <c r="D532" t="s">
        <v>7</v>
      </c>
    </row>
    <row r="533" spans="1:4">
      <c r="A533" t="s">
        <v>6</v>
      </c>
      <c r="B533">
        <v>35</v>
      </c>
      <c r="C533" t="str">
        <f>CHOOSE(MATCH(B533, {20,25,30,35,40,45,50,55,60,65,70,75,80,85}, 1), "20-24", "25-29", "30-34", "35-39", "40-44", "45-49", "50-54", "55-59", "60-64", "65-69", "70-74", "75-79", "80-84", "85+")</f>
        <v>35-39</v>
      </c>
      <c r="D533" t="s">
        <v>7</v>
      </c>
    </row>
    <row r="534" spans="1:4">
      <c r="A534" t="s">
        <v>6</v>
      </c>
      <c r="B534">
        <v>32</v>
      </c>
      <c r="C534" t="str">
        <f>CHOOSE(MATCH(B534, {20,25,30,35,40,45,50,55,60,65,70,75,80,85}, 1), "20-24", "25-29", "30-34", "35-39", "40-44", "45-49", "50-54", "55-59", "60-64", "65-69", "70-74", "75-79", "80-84", "85+")</f>
        <v>30-34</v>
      </c>
      <c r="D534" t="s">
        <v>7</v>
      </c>
    </row>
    <row r="535" spans="1:4">
      <c r="A535" t="s">
        <v>6</v>
      </c>
      <c r="B535">
        <v>49</v>
      </c>
      <c r="C535" t="str">
        <f>CHOOSE(MATCH(B535, {20,25,30,35,40,45,50,55,60,65,70,75,80,85}, 1), "20-24", "25-29", "30-34", "35-39", "40-44", "45-49", "50-54", "55-59", "60-64", "65-69", "70-74", "75-79", "80-84", "85+")</f>
        <v>45-49</v>
      </c>
      <c r="D535" t="s">
        <v>7</v>
      </c>
    </row>
    <row r="536" spans="1:4">
      <c r="A536" t="s">
        <v>6</v>
      </c>
      <c r="B536">
        <v>27</v>
      </c>
      <c r="C536" t="str">
        <f>CHOOSE(MATCH(B536, {20,25,30,35,40,45,50,55,60,65,70,75,80,85}, 1), "20-24", "25-29", "30-34", "35-39", "40-44", "45-49", "50-54", "55-59", "60-64", "65-69", "70-74", "75-79", "80-84", "85+")</f>
        <v>25-29</v>
      </c>
      <c r="D536" t="s">
        <v>7</v>
      </c>
    </row>
    <row r="537" spans="1:4">
      <c r="A537" t="s">
        <v>6</v>
      </c>
      <c r="B537">
        <v>45</v>
      </c>
      <c r="C537" t="str">
        <f>CHOOSE(MATCH(B537, {20,25,30,35,40,45,50,55,60,65,70,75,80,85}, 1), "20-24", "25-29", "30-34", "35-39", "40-44", "45-49", "50-54", "55-59", "60-64", "65-69", "70-74", "75-79", "80-84", "85+")</f>
        <v>45-49</v>
      </c>
      <c r="D537" t="s">
        <v>7</v>
      </c>
    </row>
    <row r="538" spans="1:4">
      <c r="A538" t="s">
        <v>6</v>
      </c>
      <c r="B538">
        <v>49</v>
      </c>
      <c r="C538" t="str">
        <f>CHOOSE(MATCH(B538, {20,25,30,35,40,45,50,55,60,65,70,75,80,85}, 1), "20-24", "25-29", "30-34", "35-39", "40-44", "45-49", "50-54", "55-59", "60-64", "65-69", "70-74", "75-79", "80-84", "85+")</f>
        <v>45-49</v>
      </c>
      <c r="D538" t="s">
        <v>7</v>
      </c>
    </row>
    <row r="539" spans="1:4">
      <c r="A539" t="s">
        <v>6</v>
      </c>
      <c r="B539">
        <v>27</v>
      </c>
      <c r="C539" t="str">
        <f>CHOOSE(MATCH(B539, {20,25,30,35,40,45,50,55,60,65,70,75,80,85}, 1), "20-24", "25-29", "30-34", "35-39", "40-44", "45-49", "50-54", "55-59", "60-64", "65-69", "70-74", "75-79", "80-84", "85+")</f>
        <v>25-29</v>
      </c>
      <c r="D539" t="s">
        <v>8</v>
      </c>
    </row>
    <row r="540" spans="1:4">
      <c r="A540" t="s">
        <v>6</v>
      </c>
      <c r="B540">
        <v>40</v>
      </c>
      <c r="C540" t="str">
        <f>CHOOSE(MATCH(B540, {20,25,30,35,40,45,50,55,60,65,70,75,80,85}, 1), "20-24", "25-29", "30-34", "35-39", "40-44", "45-49", "50-54", "55-59", "60-64", "65-69", "70-74", "75-79", "80-84", "85+")</f>
        <v>40-44</v>
      </c>
      <c r="D540" t="s">
        <v>7</v>
      </c>
    </row>
    <row r="541" spans="1:4">
      <c r="A541" t="s">
        <v>6</v>
      </c>
      <c r="B541">
        <v>32</v>
      </c>
      <c r="C541" t="str">
        <f>CHOOSE(MATCH(B541, {20,25,30,35,40,45,50,55,60,65,70,75,80,85}, 1), "20-24", "25-29", "30-34", "35-39", "40-44", "45-49", "50-54", "55-59", "60-64", "65-69", "70-74", "75-79", "80-84", "85+")</f>
        <v>30-34</v>
      </c>
      <c r="D541" t="s">
        <v>8</v>
      </c>
    </row>
    <row r="542" spans="1:4">
      <c r="A542" t="s">
        <v>6</v>
      </c>
      <c r="B542">
        <v>78</v>
      </c>
      <c r="C542" t="str">
        <f>CHOOSE(MATCH(B542, {20,25,30,35,40,45,50,55,60,65,70,75,80,85}, 1), "20-24", "25-29", "30-34", "35-39", "40-44", "45-49", "50-54", "55-59", "60-64", "65-69", "70-74", "75-79", "80-84", "85+")</f>
        <v>75-79</v>
      </c>
      <c r="D542" t="s">
        <v>8</v>
      </c>
    </row>
    <row r="543" spans="1:4">
      <c r="A543" t="s">
        <v>6</v>
      </c>
      <c r="B543">
        <v>28</v>
      </c>
      <c r="C543" t="str">
        <f>CHOOSE(MATCH(B543, {20,25,30,35,40,45,50,55,60,65,70,75,80,85}, 1), "20-24", "25-29", "30-34", "35-39", "40-44", "45-49", "50-54", "55-59", "60-64", "65-69", "70-74", "75-79", "80-84", "85+")</f>
        <v>25-29</v>
      </c>
      <c r="D543" t="s">
        <v>7</v>
      </c>
    </row>
    <row r="544" spans="1:4">
      <c r="A544" t="s">
        <v>6</v>
      </c>
      <c r="B544">
        <v>33</v>
      </c>
      <c r="C544" t="str">
        <f>CHOOSE(MATCH(B544, {20,25,30,35,40,45,50,55,60,65,70,75,80,85}, 1), "20-24", "25-29", "30-34", "35-39", "40-44", "45-49", "50-54", "55-59", "60-64", "65-69", "70-74", "75-79", "80-84", "85+")</f>
        <v>30-34</v>
      </c>
      <c r="D544" t="s">
        <v>7</v>
      </c>
    </row>
    <row r="545" spans="1:4">
      <c r="A545" t="s">
        <v>6</v>
      </c>
      <c r="B545">
        <v>33</v>
      </c>
      <c r="C545" t="str">
        <f>CHOOSE(MATCH(B545, {20,25,30,35,40,45,50,55,60,65,70,75,80,85}, 1), "20-24", "25-29", "30-34", "35-39", "40-44", "45-49", "50-54", "55-59", "60-64", "65-69", "70-74", "75-79", "80-84", "85+")</f>
        <v>30-34</v>
      </c>
      <c r="D545" t="s">
        <v>7</v>
      </c>
    </row>
    <row r="546" spans="1:4">
      <c r="A546" t="s">
        <v>6</v>
      </c>
      <c r="B546">
        <v>47</v>
      </c>
      <c r="C546" t="str">
        <f>CHOOSE(MATCH(B546, {20,25,30,35,40,45,50,55,60,65,70,75,80,85}, 1), "20-24", "25-29", "30-34", "35-39", "40-44", "45-49", "50-54", "55-59", "60-64", "65-69", "70-74", "75-79", "80-84", "85+")</f>
        <v>45-49</v>
      </c>
      <c r="D546" t="s">
        <v>8</v>
      </c>
    </row>
    <row r="547" spans="1:4">
      <c r="A547" t="s">
        <v>6</v>
      </c>
      <c r="B547">
        <v>37</v>
      </c>
      <c r="C547" t="str">
        <f>CHOOSE(MATCH(B547, {20,25,30,35,40,45,50,55,60,65,70,75,80,85}, 1), "20-24", "25-29", "30-34", "35-39", "40-44", "45-49", "50-54", "55-59", "60-64", "65-69", "70-74", "75-79", "80-84", "85+")</f>
        <v>35-39</v>
      </c>
      <c r="D547" t="s">
        <v>7</v>
      </c>
    </row>
    <row r="548" spans="1:4">
      <c r="A548" t="s">
        <v>6</v>
      </c>
      <c r="B548">
        <v>46</v>
      </c>
      <c r="C548" t="str">
        <f>CHOOSE(MATCH(B548, {20,25,30,35,40,45,50,55,60,65,70,75,80,85}, 1), "20-24", "25-29", "30-34", "35-39", "40-44", "45-49", "50-54", "55-59", "60-64", "65-69", "70-74", "75-79", "80-84", "85+")</f>
        <v>45-49</v>
      </c>
      <c r="D548" t="s">
        <v>8</v>
      </c>
    </row>
    <row r="549" spans="1:4">
      <c r="A549" t="s">
        <v>6</v>
      </c>
      <c r="B549">
        <v>48</v>
      </c>
      <c r="C549" t="str">
        <f>CHOOSE(MATCH(B549, {20,25,30,35,40,45,50,55,60,65,70,75,80,85}, 1), "20-24", "25-29", "30-34", "35-39", "40-44", "45-49", "50-54", "55-59", "60-64", "65-69", "70-74", "75-79", "80-84", "85+")</f>
        <v>45-49</v>
      </c>
      <c r="D549" t="s">
        <v>8</v>
      </c>
    </row>
    <row r="550" spans="1:4">
      <c r="A550" t="s">
        <v>6</v>
      </c>
      <c r="B550">
        <v>68</v>
      </c>
      <c r="C550" t="str">
        <f>CHOOSE(MATCH(B550, {20,25,30,35,40,45,50,55,60,65,70,75,80,85}, 1), "20-24", "25-29", "30-34", "35-39", "40-44", "45-49", "50-54", "55-59", "60-64", "65-69", "70-74", "75-79", "80-84", "85+")</f>
        <v>65-69</v>
      </c>
      <c r="D550" t="s">
        <v>7</v>
      </c>
    </row>
    <row r="551" spans="1:4">
      <c r="A551" t="s">
        <v>6</v>
      </c>
      <c r="B551">
        <v>66</v>
      </c>
      <c r="C551" t="str">
        <f>CHOOSE(MATCH(B551, {20,25,30,35,40,45,50,55,60,65,70,75,80,85}, 1), "20-24", "25-29", "30-34", "35-39", "40-44", "45-49", "50-54", "55-59", "60-64", "65-69", "70-74", "75-79", "80-84", "85+")</f>
        <v>65-69</v>
      </c>
      <c r="D551" t="s">
        <v>8</v>
      </c>
    </row>
    <row r="552" spans="1:4">
      <c r="A552" t="s">
        <v>6</v>
      </c>
      <c r="B552">
        <v>58</v>
      </c>
      <c r="C552" t="str">
        <f>CHOOSE(MATCH(B552, {20,25,30,35,40,45,50,55,60,65,70,75,80,85}, 1), "20-24", "25-29", "30-34", "35-39", "40-44", "45-49", "50-54", "55-59", "60-64", "65-69", "70-74", "75-79", "80-84", "85+")</f>
        <v>55-59</v>
      </c>
      <c r="D552" t="s">
        <v>7</v>
      </c>
    </row>
    <row r="553" spans="1:4">
      <c r="A553" t="s">
        <v>6</v>
      </c>
      <c r="B553">
        <v>33</v>
      </c>
      <c r="C553" t="str">
        <f>CHOOSE(MATCH(B553, {20,25,30,35,40,45,50,55,60,65,70,75,80,85}, 1), "20-24", "25-29", "30-34", "35-39", "40-44", "45-49", "50-54", "55-59", "60-64", "65-69", "70-74", "75-79", "80-84", "85+")</f>
        <v>30-34</v>
      </c>
      <c r="D553" t="s">
        <v>7</v>
      </c>
    </row>
    <row r="554" spans="1:4">
      <c r="A554" t="s">
        <v>6</v>
      </c>
      <c r="B554">
        <v>53</v>
      </c>
      <c r="C554" t="str">
        <f>CHOOSE(MATCH(B554, {20,25,30,35,40,45,50,55,60,65,70,75,80,85}, 1), "20-24", "25-29", "30-34", "35-39", "40-44", "45-49", "50-54", "55-59", "60-64", "65-69", "70-74", "75-79", "80-84", "85+")</f>
        <v>50-54</v>
      </c>
      <c r="D554" t="s">
        <v>8</v>
      </c>
    </row>
    <row r="555" spans="1:4">
      <c r="A555" t="s">
        <v>6</v>
      </c>
      <c r="B555">
        <v>41</v>
      </c>
      <c r="C555" t="str">
        <f>CHOOSE(MATCH(B555, {20,25,30,35,40,45,50,55,60,65,70,75,80,85}, 1), "20-24", "25-29", "30-34", "35-39", "40-44", "45-49", "50-54", "55-59", "60-64", "65-69", "70-74", "75-79", "80-84", "85+")</f>
        <v>40-44</v>
      </c>
      <c r="D555" t="s">
        <v>7</v>
      </c>
    </row>
    <row r="556" spans="1:4">
      <c r="A556" t="s">
        <v>6</v>
      </c>
      <c r="B556">
        <v>71</v>
      </c>
      <c r="C556" t="str">
        <f>CHOOSE(MATCH(B556, {20,25,30,35,40,45,50,55,60,65,70,75,80,85}, 1), "20-24", "25-29", "30-34", "35-39", "40-44", "45-49", "50-54", "55-59", "60-64", "65-69", "70-74", "75-79", "80-84", "85+")</f>
        <v>70-74</v>
      </c>
      <c r="D556" t="s">
        <v>8</v>
      </c>
    </row>
    <row r="557" spans="1:4">
      <c r="A557" t="s">
        <v>6</v>
      </c>
      <c r="B557">
        <v>61</v>
      </c>
      <c r="C557" t="str">
        <f>CHOOSE(MATCH(B557, {20,25,30,35,40,45,50,55,60,65,70,75,80,85}, 1), "20-24", "25-29", "30-34", "35-39", "40-44", "45-49", "50-54", "55-59", "60-64", "65-69", "70-74", "75-79", "80-84", "85+")</f>
        <v>60-64</v>
      </c>
      <c r="D557" t="s">
        <v>7</v>
      </c>
    </row>
    <row r="558" spans="1:4">
      <c r="A558" t="s">
        <v>6</v>
      </c>
      <c r="B558">
        <v>23</v>
      </c>
      <c r="C558" t="str">
        <f>CHOOSE(MATCH(B558, {20,25,30,35,40,45,50,55,60,65,70,75,80,85}, 1), "20-24", "25-29", "30-34", "35-39", "40-44", "45-49", "50-54", "55-59", "60-64", "65-69", "70-74", "75-79", "80-84", "85+")</f>
        <v>20-24</v>
      </c>
      <c r="D558" t="s">
        <v>7</v>
      </c>
    </row>
    <row r="559" spans="1:4">
      <c r="A559" t="s">
        <v>6</v>
      </c>
      <c r="B559">
        <v>35</v>
      </c>
      <c r="C559" t="str">
        <f>CHOOSE(MATCH(B559, {20,25,30,35,40,45,50,55,60,65,70,75,80,85}, 1), "20-24", "25-29", "30-34", "35-39", "40-44", "45-49", "50-54", "55-59", "60-64", "65-69", "70-74", "75-79", "80-84", "85+")</f>
        <v>35-39</v>
      </c>
      <c r="D559" t="s">
        <v>7</v>
      </c>
    </row>
    <row r="560" spans="1:4">
      <c r="A560" t="s">
        <v>6</v>
      </c>
      <c r="B560">
        <v>24</v>
      </c>
      <c r="C560" t="str">
        <f>CHOOSE(MATCH(B560, {20,25,30,35,40,45,50,55,60,65,70,75,80,85}, 1), "20-24", "25-29", "30-34", "35-39", "40-44", "45-49", "50-54", "55-59", "60-64", "65-69", "70-74", "75-79", "80-84", "85+")</f>
        <v>20-24</v>
      </c>
      <c r="D560" t="s">
        <v>7</v>
      </c>
    </row>
    <row r="561" spans="1:4">
      <c r="A561" t="s">
        <v>6</v>
      </c>
      <c r="B561">
        <v>26</v>
      </c>
      <c r="C561" t="str">
        <f>CHOOSE(MATCH(B561, {20,25,30,35,40,45,50,55,60,65,70,75,80,85}, 1), "20-24", "25-29", "30-34", "35-39", "40-44", "45-49", "50-54", "55-59", "60-64", "65-69", "70-74", "75-79", "80-84", "85+")</f>
        <v>25-29</v>
      </c>
      <c r="D561" t="s">
        <v>7</v>
      </c>
    </row>
    <row r="562" spans="1:4">
      <c r="A562" t="s">
        <v>6</v>
      </c>
      <c r="B562">
        <v>33</v>
      </c>
      <c r="C562" t="str">
        <f>CHOOSE(MATCH(B562, {20,25,30,35,40,45,50,55,60,65,70,75,80,85}, 1), "20-24", "25-29", "30-34", "35-39", "40-44", "45-49", "50-54", "55-59", "60-64", "65-69", "70-74", "75-79", "80-84", "85+")</f>
        <v>30-34</v>
      </c>
      <c r="D562" t="s">
        <v>7</v>
      </c>
    </row>
    <row r="563" spans="1:4">
      <c r="A563" t="s">
        <v>6</v>
      </c>
      <c r="B563">
        <v>75</v>
      </c>
      <c r="C563" t="str">
        <f>CHOOSE(MATCH(B563, {20,25,30,35,40,45,50,55,60,65,70,75,80,85}, 1), "20-24", "25-29", "30-34", "35-39", "40-44", "45-49", "50-54", "55-59", "60-64", "65-69", "70-74", "75-79", "80-84", "85+")</f>
        <v>75-79</v>
      </c>
      <c r="D563" t="s">
        <v>7</v>
      </c>
    </row>
    <row r="564" spans="1:4">
      <c r="A564" t="s">
        <v>6</v>
      </c>
      <c r="B564">
        <v>43</v>
      </c>
      <c r="C564" t="str">
        <f>CHOOSE(MATCH(B564, {20,25,30,35,40,45,50,55,60,65,70,75,80,85}, 1), "20-24", "25-29", "30-34", "35-39", "40-44", "45-49", "50-54", "55-59", "60-64", "65-69", "70-74", "75-79", "80-84", "85+")</f>
        <v>40-44</v>
      </c>
      <c r="D564" t="s">
        <v>7</v>
      </c>
    </row>
    <row r="565" spans="1:4">
      <c r="A565" t="s">
        <v>6</v>
      </c>
      <c r="B565">
        <v>29</v>
      </c>
      <c r="C565" t="str">
        <f>CHOOSE(MATCH(B565, {20,25,30,35,40,45,50,55,60,65,70,75,80,85}, 1), "20-24", "25-29", "30-34", "35-39", "40-44", "45-49", "50-54", "55-59", "60-64", "65-69", "70-74", "75-79", "80-84", "85+")</f>
        <v>25-29</v>
      </c>
      <c r="D565" t="s">
        <v>8</v>
      </c>
    </row>
    <row r="566" spans="1:4">
      <c r="A566" t="s">
        <v>6</v>
      </c>
      <c r="B566">
        <v>26</v>
      </c>
      <c r="C566" t="str">
        <f>CHOOSE(MATCH(B566, {20,25,30,35,40,45,50,55,60,65,70,75,80,85}, 1), "20-24", "25-29", "30-34", "35-39", "40-44", "45-49", "50-54", "55-59", "60-64", "65-69", "70-74", "75-79", "80-84", "85+")</f>
        <v>25-29</v>
      </c>
      <c r="D566" t="s">
        <v>8</v>
      </c>
    </row>
    <row r="567" spans="1:4">
      <c r="A567" t="s">
        <v>6</v>
      </c>
      <c r="B567">
        <v>37</v>
      </c>
      <c r="C567" t="str">
        <f>CHOOSE(MATCH(B567, {20,25,30,35,40,45,50,55,60,65,70,75,80,85}, 1), "20-24", "25-29", "30-34", "35-39", "40-44", "45-49", "50-54", "55-59", "60-64", "65-69", "70-74", "75-79", "80-84", "85+")</f>
        <v>35-39</v>
      </c>
      <c r="D567" t="s">
        <v>8</v>
      </c>
    </row>
    <row r="568" spans="1:4">
      <c r="A568" t="s">
        <v>6</v>
      </c>
      <c r="B568">
        <v>40</v>
      </c>
      <c r="C568" t="str">
        <f>CHOOSE(MATCH(B568, {20,25,30,35,40,45,50,55,60,65,70,75,80,85}, 1), "20-24", "25-29", "30-34", "35-39", "40-44", "45-49", "50-54", "55-59", "60-64", "65-69", "70-74", "75-79", "80-84", "85+")</f>
        <v>40-44</v>
      </c>
      <c r="D568" t="s">
        <v>7</v>
      </c>
    </row>
    <row r="569" spans="1:4">
      <c r="A569" t="s">
        <v>6</v>
      </c>
      <c r="B569">
        <v>70</v>
      </c>
      <c r="C569" t="str">
        <f>CHOOSE(MATCH(B569, {20,25,30,35,40,45,50,55,60,65,70,75,80,85}, 1), "20-24", "25-29", "30-34", "35-39", "40-44", "45-49", "50-54", "55-59", "60-64", "65-69", "70-74", "75-79", "80-84", "85+")</f>
        <v>70-74</v>
      </c>
      <c r="D569" t="s">
        <v>8</v>
      </c>
    </row>
    <row r="570" spans="1:4">
      <c r="A570" t="s">
        <v>6</v>
      </c>
      <c r="B570">
        <v>33</v>
      </c>
      <c r="C570" t="str">
        <f>CHOOSE(MATCH(B570, {20,25,30,35,40,45,50,55,60,65,70,75,80,85}, 1), "20-24", "25-29", "30-34", "35-39", "40-44", "45-49", "50-54", "55-59", "60-64", "65-69", "70-74", "75-79", "80-84", "85+")</f>
        <v>30-34</v>
      </c>
      <c r="D570" t="s">
        <v>8</v>
      </c>
    </row>
    <row r="571" spans="1:4">
      <c r="A571" t="s">
        <v>6</v>
      </c>
      <c r="B571">
        <v>50</v>
      </c>
      <c r="C571" t="str">
        <f>CHOOSE(MATCH(B571, {20,25,30,35,40,45,50,55,60,65,70,75,80,85}, 1), "20-24", "25-29", "30-34", "35-39", "40-44", "45-49", "50-54", "55-59", "60-64", "65-69", "70-74", "75-79", "80-84", "85+")</f>
        <v>50-54</v>
      </c>
      <c r="D571" t="s">
        <v>8</v>
      </c>
    </row>
    <row r="572" spans="1:4">
      <c r="A572" t="s">
        <v>6</v>
      </c>
      <c r="B572">
        <v>22</v>
      </c>
      <c r="C572" t="str">
        <f>CHOOSE(MATCH(B572, {20,25,30,35,40,45,50,55,60,65,70,75,80,85}, 1), "20-24", "25-29", "30-34", "35-39", "40-44", "45-49", "50-54", "55-59", "60-64", "65-69", "70-74", "75-79", "80-84", "85+")</f>
        <v>20-24</v>
      </c>
      <c r="D572" t="s">
        <v>7</v>
      </c>
    </row>
    <row r="573" spans="1:4">
      <c r="A573" t="s">
        <v>6</v>
      </c>
      <c r="B573">
        <v>22</v>
      </c>
      <c r="C573" t="str">
        <f>CHOOSE(MATCH(B573, {20,25,30,35,40,45,50,55,60,65,70,75,80,85}, 1), "20-24", "25-29", "30-34", "35-39", "40-44", "45-49", "50-54", "55-59", "60-64", "65-69", "70-74", "75-79", "80-84", "85+")</f>
        <v>20-24</v>
      </c>
      <c r="D573" t="s">
        <v>7</v>
      </c>
    </row>
    <row r="574" spans="1:4">
      <c r="A574" t="s">
        <v>6</v>
      </c>
      <c r="B574">
        <v>24</v>
      </c>
      <c r="C574" t="str">
        <f>CHOOSE(MATCH(B574, {20,25,30,35,40,45,50,55,60,65,70,75,80,85}, 1), "20-24", "25-29", "30-34", "35-39", "40-44", "45-49", "50-54", "55-59", "60-64", "65-69", "70-74", "75-79", "80-84", "85+")</f>
        <v>20-24</v>
      </c>
      <c r="D574" t="s">
        <v>8</v>
      </c>
    </row>
    <row r="575" spans="1:4">
      <c r="A575" t="s">
        <v>6</v>
      </c>
      <c r="B575">
        <v>59</v>
      </c>
      <c r="C575" t="str">
        <f>CHOOSE(MATCH(B575, {20,25,30,35,40,45,50,55,60,65,70,75,80,85}, 1), "20-24", "25-29", "30-34", "35-39", "40-44", "45-49", "50-54", "55-59", "60-64", "65-69", "70-74", "75-79", "80-84", "85+")</f>
        <v>55-59</v>
      </c>
      <c r="D575" t="s">
        <v>7</v>
      </c>
    </row>
    <row r="576" spans="1:4">
      <c r="A576" t="s">
        <v>6</v>
      </c>
      <c r="B576">
        <v>44</v>
      </c>
      <c r="C576" t="str">
        <f>CHOOSE(MATCH(B576, {20,25,30,35,40,45,50,55,60,65,70,75,80,85}, 1), "20-24", "25-29", "30-34", "35-39", "40-44", "45-49", "50-54", "55-59", "60-64", "65-69", "70-74", "75-79", "80-84", "85+")</f>
        <v>40-44</v>
      </c>
      <c r="D576" t="s">
        <v>7</v>
      </c>
    </row>
    <row r="577" spans="1:4">
      <c r="A577" t="s">
        <v>6</v>
      </c>
      <c r="B577">
        <v>76</v>
      </c>
      <c r="C577" t="str">
        <f>CHOOSE(MATCH(B577, {20,25,30,35,40,45,50,55,60,65,70,75,80,85}, 1), "20-24", "25-29", "30-34", "35-39", "40-44", "45-49", "50-54", "55-59", "60-64", "65-69", "70-74", "75-79", "80-84", "85+")</f>
        <v>75-79</v>
      </c>
      <c r="D577" t="s">
        <v>7</v>
      </c>
    </row>
    <row r="578" spans="1:4">
      <c r="A578" t="s">
        <v>6</v>
      </c>
      <c r="B578">
        <v>27</v>
      </c>
      <c r="C578" t="str">
        <f>CHOOSE(MATCH(B578, {20,25,30,35,40,45,50,55,60,65,70,75,80,85}, 1), "20-24", "25-29", "30-34", "35-39", "40-44", "45-49", "50-54", "55-59", "60-64", "65-69", "70-74", "75-79", "80-84", "85+")</f>
        <v>25-29</v>
      </c>
      <c r="D578" t="s">
        <v>7</v>
      </c>
    </row>
    <row r="579" spans="1:4">
      <c r="A579" t="s">
        <v>6</v>
      </c>
      <c r="B579">
        <v>61</v>
      </c>
      <c r="C579" t="str">
        <f>CHOOSE(MATCH(B579, {20,25,30,35,40,45,50,55,60,65,70,75,80,85}, 1), "20-24", "25-29", "30-34", "35-39", "40-44", "45-49", "50-54", "55-59", "60-64", "65-69", "70-74", "75-79", "80-84", "85+")</f>
        <v>60-64</v>
      </c>
      <c r="D579" t="s">
        <v>8</v>
      </c>
    </row>
    <row r="580" spans="1:4">
      <c r="A580" t="s">
        <v>6</v>
      </c>
      <c r="B580">
        <v>51</v>
      </c>
      <c r="C580" t="str">
        <f>CHOOSE(MATCH(B580, {20,25,30,35,40,45,50,55,60,65,70,75,80,85}, 1), "20-24", "25-29", "30-34", "35-39", "40-44", "45-49", "50-54", "55-59", "60-64", "65-69", "70-74", "75-79", "80-84", "85+")</f>
        <v>50-54</v>
      </c>
      <c r="D580" t="s">
        <v>7</v>
      </c>
    </row>
    <row r="581" spans="1:4">
      <c r="A581" t="s">
        <v>6</v>
      </c>
      <c r="B581">
        <v>30</v>
      </c>
      <c r="C581" t="str">
        <f>CHOOSE(MATCH(B581, {20,25,30,35,40,45,50,55,60,65,70,75,80,85}, 1), "20-24", "25-29", "30-34", "35-39", "40-44", "45-49", "50-54", "55-59", "60-64", "65-69", "70-74", "75-79", "80-84", "85+")</f>
        <v>30-34</v>
      </c>
      <c r="D581" t="s">
        <v>7</v>
      </c>
    </row>
    <row r="582" spans="1:4">
      <c r="A582" t="s">
        <v>6</v>
      </c>
      <c r="B582">
        <v>61</v>
      </c>
      <c r="C582" t="str">
        <f>CHOOSE(MATCH(B582, {20,25,30,35,40,45,50,55,60,65,70,75,80,85}, 1), "20-24", "25-29", "30-34", "35-39", "40-44", "45-49", "50-54", "55-59", "60-64", "65-69", "70-74", "75-79", "80-84", "85+")</f>
        <v>60-64</v>
      </c>
      <c r="D582" t="s">
        <v>8</v>
      </c>
    </row>
    <row r="583" spans="1:4">
      <c r="A583" t="s">
        <v>6</v>
      </c>
      <c r="B583">
        <v>33</v>
      </c>
      <c r="C583" t="str">
        <f>CHOOSE(MATCH(B583, {20,25,30,35,40,45,50,55,60,65,70,75,80,85}, 1), "20-24", "25-29", "30-34", "35-39", "40-44", "45-49", "50-54", "55-59", "60-64", "65-69", "70-74", "75-79", "80-84", "85+")</f>
        <v>30-34</v>
      </c>
      <c r="D583" t="s">
        <v>7</v>
      </c>
    </row>
    <row r="584" spans="1:4">
      <c r="A584" t="s">
        <v>6</v>
      </c>
      <c r="B584">
        <v>46</v>
      </c>
      <c r="C584" t="str">
        <f>CHOOSE(MATCH(B584, {20,25,30,35,40,45,50,55,60,65,70,75,80,85}, 1), "20-24", "25-29", "30-34", "35-39", "40-44", "45-49", "50-54", "55-59", "60-64", "65-69", "70-74", "75-79", "80-84", "85+")</f>
        <v>45-49</v>
      </c>
      <c r="D584" t="s">
        <v>8</v>
      </c>
    </row>
    <row r="585" spans="1:4">
      <c r="A585" t="s">
        <v>6</v>
      </c>
      <c r="B585">
        <v>47</v>
      </c>
      <c r="C585" t="str">
        <f>CHOOSE(MATCH(B585, {20,25,30,35,40,45,50,55,60,65,70,75,80,85}, 1), "20-24", "25-29", "30-34", "35-39", "40-44", "45-49", "50-54", "55-59", "60-64", "65-69", "70-74", "75-79", "80-84", "85+")</f>
        <v>45-49</v>
      </c>
      <c r="D585" t="s">
        <v>8</v>
      </c>
    </row>
    <row r="586" spans="1:4">
      <c r="A586" t="s">
        <v>6</v>
      </c>
      <c r="B586">
        <v>35</v>
      </c>
      <c r="C586" t="str">
        <f>CHOOSE(MATCH(B586, {20,25,30,35,40,45,50,55,60,65,70,75,80,85}, 1), "20-24", "25-29", "30-34", "35-39", "40-44", "45-49", "50-54", "55-59", "60-64", "65-69", "70-74", "75-79", "80-84", "85+")</f>
        <v>35-39</v>
      </c>
      <c r="D586" t="s">
        <v>7</v>
      </c>
    </row>
    <row r="587" spans="1:4">
      <c r="A587" t="s">
        <v>6</v>
      </c>
      <c r="B587">
        <v>39</v>
      </c>
      <c r="C587" t="str">
        <f>CHOOSE(MATCH(B587, {20,25,30,35,40,45,50,55,60,65,70,75,80,85}, 1), "20-24", "25-29", "30-34", "35-39", "40-44", "45-49", "50-54", "55-59", "60-64", "65-69", "70-74", "75-79", "80-84", "85+")</f>
        <v>35-39</v>
      </c>
      <c r="D587" t="s">
        <v>8</v>
      </c>
    </row>
    <row r="588" spans="1:4">
      <c r="A588" t="s">
        <v>6</v>
      </c>
      <c r="B588">
        <v>33</v>
      </c>
      <c r="C588" t="str">
        <f>CHOOSE(MATCH(B588, {20,25,30,35,40,45,50,55,60,65,70,75,80,85}, 1), "20-24", "25-29", "30-34", "35-39", "40-44", "45-49", "50-54", "55-59", "60-64", "65-69", "70-74", "75-79", "80-84", "85+")</f>
        <v>30-34</v>
      </c>
      <c r="D588" t="s">
        <v>8</v>
      </c>
    </row>
    <row r="589" spans="1:4">
      <c r="A589" t="s">
        <v>6</v>
      </c>
      <c r="B589">
        <v>38</v>
      </c>
      <c r="C589" t="str">
        <f>CHOOSE(MATCH(B589, {20,25,30,35,40,45,50,55,60,65,70,75,80,85}, 1), "20-24", "25-29", "30-34", "35-39", "40-44", "45-49", "50-54", "55-59", "60-64", "65-69", "70-74", "75-79", "80-84", "85+")</f>
        <v>35-39</v>
      </c>
      <c r="D589" t="s">
        <v>8</v>
      </c>
    </row>
    <row r="590" spans="1:4">
      <c r="A590" t="s">
        <v>6</v>
      </c>
      <c r="B590">
        <v>26</v>
      </c>
      <c r="C590" t="str">
        <f>CHOOSE(MATCH(B590, {20,25,30,35,40,45,50,55,60,65,70,75,80,85}, 1), "20-24", "25-29", "30-34", "35-39", "40-44", "45-49", "50-54", "55-59", "60-64", "65-69", "70-74", "75-79", "80-84", "85+")</f>
        <v>25-29</v>
      </c>
      <c r="D590" t="s">
        <v>7</v>
      </c>
    </row>
    <row r="591" spans="1:4">
      <c r="A591" t="s">
        <v>6</v>
      </c>
      <c r="B591">
        <v>44</v>
      </c>
      <c r="C591" t="str">
        <f>CHOOSE(MATCH(B591, {20,25,30,35,40,45,50,55,60,65,70,75,80,85}, 1), "20-24", "25-29", "30-34", "35-39", "40-44", "45-49", "50-54", "55-59", "60-64", "65-69", "70-74", "75-79", "80-84", "85+")</f>
        <v>40-44</v>
      </c>
      <c r="D591" t="s">
        <v>7</v>
      </c>
    </row>
    <row r="592" spans="1:4">
      <c r="A592" t="s">
        <v>6</v>
      </c>
      <c r="B592">
        <v>33</v>
      </c>
      <c r="C592" t="str">
        <f>CHOOSE(MATCH(B592, {20,25,30,35,40,45,50,55,60,65,70,75,80,85}, 1), "20-24", "25-29", "30-34", "35-39", "40-44", "45-49", "50-54", "55-59", "60-64", "65-69", "70-74", "75-79", "80-84", "85+")</f>
        <v>30-34</v>
      </c>
      <c r="D592" t="s">
        <v>7</v>
      </c>
    </row>
    <row r="593" spans="1:4">
      <c r="A593" t="s">
        <v>6</v>
      </c>
      <c r="B593">
        <v>68</v>
      </c>
      <c r="C593" t="str">
        <f>CHOOSE(MATCH(B593, {20,25,30,35,40,45,50,55,60,65,70,75,80,85}, 1), "20-24", "25-29", "30-34", "35-39", "40-44", "45-49", "50-54", "55-59", "60-64", "65-69", "70-74", "75-79", "80-84", "85+")</f>
        <v>65-69</v>
      </c>
      <c r="D593" t="s">
        <v>8</v>
      </c>
    </row>
    <row r="594" spans="1:4">
      <c r="A594" t="s">
        <v>6</v>
      </c>
      <c r="B594">
        <v>26</v>
      </c>
      <c r="C594" t="str">
        <f>CHOOSE(MATCH(B594, {20,25,30,35,40,45,50,55,60,65,70,75,80,85}, 1), "20-24", "25-29", "30-34", "35-39", "40-44", "45-49", "50-54", "55-59", "60-64", "65-69", "70-74", "75-79", "80-84", "85+")</f>
        <v>25-29</v>
      </c>
      <c r="D594" t="s">
        <v>7</v>
      </c>
    </row>
    <row r="595" spans="1:4">
      <c r="A595" t="s">
        <v>6</v>
      </c>
      <c r="B595">
        <v>47</v>
      </c>
      <c r="C595" t="str">
        <f>CHOOSE(MATCH(B595, {20,25,30,35,40,45,50,55,60,65,70,75,80,85}, 1), "20-24", "25-29", "30-34", "35-39", "40-44", "45-49", "50-54", "55-59", "60-64", "65-69", "70-74", "75-79", "80-84", "85+")</f>
        <v>45-49</v>
      </c>
      <c r="D595" t="s">
        <v>7</v>
      </c>
    </row>
    <row r="596" spans="1:4">
      <c r="A596" t="s">
        <v>6</v>
      </c>
      <c r="B596">
        <v>29</v>
      </c>
      <c r="C596" t="str">
        <f>CHOOSE(MATCH(B596, {20,25,30,35,40,45,50,55,60,65,70,75,80,85}, 1), "20-24", "25-29", "30-34", "35-39", "40-44", "45-49", "50-54", "55-59", "60-64", "65-69", "70-74", "75-79", "80-84", "85+")</f>
        <v>25-29</v>
      </c>
      <c r="D596" t="s">
        <v>8</v>
      </c>
    </row>
    <row r="597" spans="1:4">
      <c r="A597" t="s">
        <v>6</v>
      </c>
      <c r="B597">
        <v>40</v>
      </c>
      <c r="C597" t="str">
        <f>CHOOSE(MATCH(B597, {20,25,30,35,40,45,50,55,60,65,70,75,80,85}, 1), "20-24", "25-29", "30-34", "35-39", "40-44", "45-49", "50-54", "55-59", "60-64", "65-69", "70-74", "75-79", "80-84", "85+")</f>
        <v>40-44</v>
      </c>
      <c r="D597" t="s">
        <v>8</v>
      </c>
    </row>
    <row r="598" spans="1:4">
      <c r="A598" t="s">
        <v>6</v>
      </c>
      <c r="B598">
        <v>48</v>
      </c>
      <c r="C598" t="str">
        <f>CHOOSE(MATCH(B598, {20,25,30,35,40,45,50,55,60,65,70,75,80,85}, 1), "20-24", "25-29", "30-34", "35-39", "40-44", "45-49", "50-54", "55-59", "60-64", "65-69", "70-74", "75-79", "80-84", "85+")</f>
        <v>45-49</v>
      </c>
      <c r="D598" t="s">
        <v>8</v>
      </c>
    </row>
    <row r="599" spans="1:4">
      <c r="A599" t="s">
        <v>6</v>
      </c>
      <c r="B599">
        <v>22</v>
      </c>
      <c r="C599" t="str">
        <f>CHOOSE(MATCH(B599, {20,25,30,35,40,45,50,55,60,65,70,75,80,85}, 1), "20-24", "25-29", "30-34", "35-39", "40-44", "45-49", "50-54", "55-59", "60-64", "65-69", "70-74", "75-79", "80-84", "85+")</f>
        <v>20-24</v>
      </c>
      <c r="D599" t="s">
        <v>7</v>
      </c>
    </row>
    <row r="600" spans="1:4">
      <c r="A600" t="s">
        <v>6</v>
      </c>
      <c r="B600">
        <v>29</v>
      </c>
      <c r="C600" t="str">
        <f>CHOOSE(MATCH(B600, {20,25,30,35,40,45,50,55,60,65,70,75,80,85}, 1), "20-24", "25-29", "30-34", "35-39", "40-44", "45-49", "50-54", "55-59", "60-64", "65-69", "70-74", "75-79", "80-84", "85+")</f>
        <v>25-29</v>
      </c>
      <c r="D600" t="s">
        <v>8</v>
      </c>
    </row>
    <row r="601" spans="1:4">
      <c r="A601" t="s">
        <v>6</v>
      </c>
      <c r="B601">
        <v>32</v>
      </c>
      <c r="C601" t="str">
        <f>CHOOSE(MATCH(B601, {20,25,30,35,40,45,50,55,60,65,70,75,80,85}, 1), "20-24", "25-29", "30-34", "35-39", "40-44", "45-49", "50-54", "55-59", "60-64", "65-69", "70-74", "75-79", "80-84", "85+")</f>
        <v>30-34</v>
      </c>
      <c r="D601" t="s">
        <v>7</v>
      </c>
    </row>
    <row r="602" spans="1:4">
      <c r="A602" t="s">
        <v>6</v>
      </c>
      <c r="B602">
        <v>71</v>
      </c>
      <c r="C602" t="str">
        <f>CHOOSE(MATCH(B602, {20,25,30,35,40,45,50,55,60,65,70,75,80,85}, 1), "20-24", "25-29", "30-34", "35-39", "40-44", "45-49", "50-54", "55-59", "60-64", "65-69", "70-74", "75-79", "80-84", "85+")</f>
        <v>70-74</v>
      </c>
      <c r="D602" t="s">
        <v>8</v>
      </c>
    </row>
    <row r="603" spans="1:4">
      <c r="A603" t="s">
        <v>6</v>
      </c>
      <c r="B603">
        <v>44</v>
      </c>
      <c r="C603" t="str">
        <f>CHOOSE(MATCH(B603, {20,25,30,35,40,45,50,55,60,65,70,75,80,85}, 1), "20-24", "25-29", "30-34", "35-39", "40-44", "45-49", "50-54", "55-59", "60-64", "65-69", "70-74", "75-79", "80-84", "85+")</f>
        <v>40-44</v>
      </c>
      <c r="D603" t="s">
        <v>7</v>
      </c>
    </row>
    <row r="604" spans="1:4">
      <c r="A604" t="s">
        <v>6</v>
      </c>
      <c r="B604">
        <v>59</v>
      </c>
      <c r="C604" t="str">
        <f>CHOOSE(MATCH(B604, {20,25,30,35,40,45,50,55,60,65,70,75,80,85}, 1), "20-24", "25-29", "30-34", "35-39", "40-44", "45-49", "50-54", "55-59", "60-64", "65-69", "70-74", "75-79", "80-84", "85+")</f>
        <v>55-59</v>
      </c>
      <c r="D604" t="s">
        <v>7</v>
      </c>
    </row>
    <row r="605" spans="1:4">
      <c r="A605" t="s">
        <v>6</v>
      </c>
      <c r="B605">
        <v>49</v>
      </c>
      <c r="C605" t="str">
        <f>CHOOSE(MATCH(B605, {20,25,30,35,40,45,50,55,60,65,70,75,80,85}, 1), "20-24", "25-29", "30-34", "35-39", "40-44", "45-49", "50-54", "55-59", "60-64", "65-69", "70-74", "75-79", "80-84", "85+")</f>
        <v>45-49</v>
      </c>
      <c r="D605" t="s">
        <v>7</v>
      </c>
    </row>
    <row r="606" spans="1:4">
      <c r="A606" t="s">
        <v>6</v>
      </c>
      <c r="B606">
        <v>29</v>
      </c>
      <c r="C606" t="str">
        <f>CHOOSE(MATCH(B606, {20,25,30,35,40,45,50,55,60,65,70,75,80,85}, 1), "20-24", "25-29", "30-34", "35-39", "40-44", "45-49", "50-54", "55-59", "60-64", "65-69", "70-74", "75-79", "80-84", "85+")</f>
        <v>25-29</v>
      </c>
      <c r="D606" t="s">
        <v>7</v>
      </c>
    </row>
    <row r="607" spans="1:4">
      <c r="A607" t="s">
        <v>6</v>
      </c>
      <c r="B607">
        <v>49</v>
      </c>
      <c r="C607" t="str">
        <f>CHOOSE(MATCH(B607, {20,25,30,35,40,45,50,55,60,65,70,75,80,85}, 1), "20-24", "25-29", "30-34", "35-39", "40-44", "45-49", "50-54", "55-59", "60-64", "65-69", "70-74", "75-79", "80-84", "85+")</f>
        <v>45-49</v>
      </c>
      <c r="D607" t="s">
        <v>8</v>
      </c>
    </row>
    <row r="608" spans="1:4">
      <c r="A608" t="s">
        <v>6</v>
      </c>
      <c r="B608">
        <v>32</v>
      </c>
      <c r="C608" t="str">
        <f>CHOOSE(MATCH(B608, {20,25,30,35,40,45,50,55,60,65,70,75,80,85}, 1), "20-24", "25-29", "30-34", "35-39", "40-44", "45-49", "50-54", "55-59", "60-64", "65-69", "70-74", "75-79", "80-84", "85+")</f>
        <v>30-34</v>
      </c>
      <c r="D608" t="s">
        <v>7</v>
      </c>
    </row>
    <row r="609" spans="1:4">
      <c r="A609" t="s">
        <v>6</v>
      </c>
      <c r="B609">
        <v>31</v>
      </c>
      <c r="C609" t="str">
        <f>CHOOSE(MATCH(B609, {20,25,30,35,40,45,50,55,60,65,70,75,80,85}, 1), "20-24", "25-29", "30-34", "35-39", "40-44", "45-49", "50-54", "55-59", "60-64", "65-69", "70-74", "75-79", "80-84", "85+")</f>
        <v>30-34</v>
      </c>
      <c r="D609" t="s">
        <v>8</v>
      </c>
    </row>
    <row r="610" spans="1:4">
      <c r="A610" t="s">
        <v>6</v>
      </c>
      <c r="B610">
        <v>42</v>
      </c>
      <c r="C610" t="str">
        <f>CHOOSE(MATCH(B610, {20,25,30,35,40,45,50,55,60,65,70,75,80,85}, 1), "20-24", "25-29", "30-34", "35-39", "40-44", "45-49", "50-54", "55-59", "60-64", "65-69", "70-74", "75-79", "80-84", "85+")</f>
        <v>40-44</v>
      </c>
      <c r="D610" t="s">
        <v>7</v>
      </c>
    </row>
    <row r="611" spans="1:4">
      <c r="A611" t="s">
        <v>6</v>
      </c>
      <c r="B611">
        <v>70</v>
      </c>
      <c r="C611" t="str">
        <f>CHOOSE(MATCH(B611, {20,25,30,35,40,45,50,55,60,65,70,75,80,85}, 1), "20-24", "25-29", "30-34", "35-39", "40-44", "45-49", "50-54", "55-59", "60-64", "65-69", "70-74", "75-79", "80-84", "85+")</f>
        <v>70-74</v>
      </c>
      <c r="D611" t="s">
        <v>8</v>
      </c>
    </row>
    <row r="612" spans="1:4">
      <c r="A612" t="s">
        <v>6</v>
      </c>
      <c r="B612">
        <v>21</v>
      </c>
      <c r="C612" t="str">
        <f>CHOOSE(MATCH(B612, {20,25,30,35,40,45,50,55,60,65,70,75,80,85}, 1), "20-24", "25-29", "30-34", "35-39", "40-44", "45-49", "50-54", "55-59", "60-64", "65-69", "70-74", "75-79", "80-84", "85+")</f>
        <v>20-24</v>
      </c>
      <c r="D612" t="s">
        <v>7</v>
      </c>
    </row>
    <row r="613" spans="1:4">
      <c r="A613" t="s">
        <v>6</v>
      </c>
      <c r="B613">
        <v>22</v>
      </c>
      <c r="C613" t="str">
        <f>CHOOSE(MATCH(B613, {20,25,30,35,40,45,50,55,60,65,70,75,80,85}, 1), "20-24", "25-29", "30-34", "35-39", "40-44", "45-49", "50-54", "55-59", "60-64", "65-69", "70-74", "75-79", "80-84", "85+")</f>
        <v>20-24</v>
      </c>
      <c r="D613" t="s">
        <v>7</v>
      </c>
    </row>
    <row r="614" spans="1:4">
      <c r="A614" t="s">
        <v>6</v>
      </c>
      <c r="B614">
        <v>25</v>
      </c>
      <c r="C614" t="str">
        <f>CHOOSE(MATCH(B614, {20,25,30,35,40,45,50,55,60,65,70,75,80,85}, 1), "20-24", "25-29", "30-34", "35-39", "40-44", "45-49", "50-54", "55-59", "60-64", "65-69", "70-74", "75-79", "80-84", "85+")</f>
        <v>25-29</v>
      </c>
      <c r="D614" t="s">
        <v>7</v>
      </c>
    </row>
    <row r="615" spans="1:4">
      <c r="A615" t="s">
        <v>6</v>
      </c>
      <c r="B615">
        <v>25</v>
      </c>
      <c r="C615" t="str">
        <f>CHOOSE(MATCH(B615, {20,25,30,35,40,45,50,55,60,65,70,75,80,85}, 1), "20-24", "25-29", "30-34", "35-39", "40-44", "45-49", "50-54", "55-59", "60-64", "65-69", "70-74", "75-79", "80-84", "85+")</f>
        <v>25-29</v>
      </c>
      <c r="D615" t="s">
        <v>7</v>
      </c>
    </row>
    <row r="616" spans="1:4">
      <c r="A616" t="s">
        <v>6</v>
      </c>
      <c r="B616">
        <v>54</v>
      </c>
      <c r="C616" t="str">
        <f>CHOOSE(MATCH(B616, {20,25,30,35,40,45,50,55,60,65,70,75,80,85}, 1), "20-24", "25-29", "30-34", "35-39", "40-44", "45-49", "50-54", "55-59", "60-64", "65-69", "70-74", "75-79", "80-84", "85+")</f>
        <v>50-54</v>
      </c>
      <c r="D616" t="s">
        <v>7</v>
      </c>
    </row>
    <row r="617" spans="1:4">
      <c r="A617" t="s">
        <v>6</v>
      </c>
      <c r="B617">
        <v>49</v>
      </c>
      <c r="C617" t="str">
        <f>CHOOSE(MATCH(B617, {20,25,30,35,40,45,50,55,60,65,70,75,80,85}, 1), "20-24", "25-29", "30-34", "35-39", "40-44", "45-49", "50-54", "55-59", "60-64", "65-69", "70-74", "75-79", "80-84", "85+")</f>
        <v>45-49</v>
      </c>
      <c r="D617" t="s">
        <v>8</v>
      </c>
    </row>
    <row r="618" spans="1:4">
      <c r="A618" t="s">
        <v>6</v>
      </c>
      <c r="B618">
        <v>28</v>
      </c>
      <c r="C618" t="str">
        <f>CHOOSE(MATCH(B618, {20,25,30,35,40,45,50,55,60,65,70,75,80,85}, 1), "20-24", "25-29", "30-34", "35-39", "40-44", "45-49", "50-54", "55-59", "60-64", "65-69", "70-74", "75-79", "80-84", "85+")</f>
        <v>25-29</v>
      </c>
      <c r="D618" t="s">
        <v>7</v>
      </c>
    </row>
    <row r="619" spans="1:4">
      <c r="A619" t="s">
        <v>6</v>
      </c>
      <c r="B619">
        <v>38</v>
      </c>
      <c r="C619" t="str">
        <f>CHOOSE(MATCH(B619, {20,25,30,35,40,45,50,55,60,65,70,75,80,85}, 1), "20-24", "25-29", "30-34", "35-39", "40-44", "45-49", "50-54", "55-59", "60-64", "65-69", "70-74", "75-79", "80-84", "85+")</f>
        <v>35-39</v>
      </c>
      <c r="D619" t="s">
        <v>7</v>
      </c>
    </row>
    <row r="620" spans="1:4">
      <c r="A620" t="s">
        <v>6</v>
      </c>
      <c r="B620">
        <v>29</v>
      </c>
      <c r="C620" t="str">
        <f>CHOOSE(MATCH(B620, {20,25,30,35,40,45,50,55,60,65,70,75,80,85}, 1), "20-24", "25-29", "30-34", "35-39", "40-44", "45-49", "50-54", "55-59", "60-64", "65-69", "70-74", "75-79", "80-84", "85+")</f>
        <v>25-29</v>
      </c>
      <c r="D620" t="s">
        <v>8</v>
      </c>
    </row>
    <row r="621" spans="1:4">
      <c r="A621" t="s">
        <v>6</v>
      </c>
      <c r="B621">
        <v>37</v>
      </c>
      <c r="C621" t="str">
        <f>CHOOSE(MATCH(B621, {20,25,30,35,40,45,50,55,60,65,70,75,80,85}, 1), "20-24", "25-29", "30-34", "35-39", "40-44", "45-49", "50-54", "55-59", "60-64", "65-69", "70-74", "75-79", "80-84", "85+")</f>
        <v>35-39</v>
      </c>
      <c r="D621" t="s">
        <v>7</v>
      </c>
    </row>
    <row r="622" spans="1:4">
      <c r="A622" t="s">
        <v>6</v>
      </c>
      <c r="B622">
        <v>29</v>
      </c>
      <c r="C622" t="str">
        <f>CHOOSE(MATCH(B622, {20,25,30,35,40,45,50,55,60,65,70,75,80,85}, 1), "20-24", "25-29", "30-34", "35-39", "40-44", "45-49", "50-54", "55-59", "60-64", "65-69", "70-74", "75-79", "80-84", "85+")</f>
        <v>25-29</v>
      </c>
      <c r="D622" t="s">
        <v>7</v>
      </c>
    </row>
    <row r="623" spans="1:4">
      <c r="A623" t="s">
        <v>6</v>
      </c>
      <c r="B623">
        <v>25</v>
      </c>
      <c r="C623" t="str">
        <f>CHOOSE(MATCH(B623, {20,25,30,35,40,45,50,55,60,65,70,75,80,85}, 1), "20-24", "25-29", "30-34", "35-39", "40-44", "45-49", "50-54", "55-59", "60-64", "65-69", "70-74", "75-79", "80-84", "85+")</f>
        <v>25-29</v>
      </c>
      <c r="D623" t="s">
        <v>7</v>
      </c>
    </row>
    <row r="624" spans="1:4">
      <c r="A624" t="s">
        <v>6</v>
      </c>
      <c r="B624">
        <v>30</v>
      </c>
      <c r="C624" t="str">
        <f>CHOOSE(MATCH(B624, {20,25,30,35,40,45,50,55,60,65,70,75,80,85}, 1), "20-24", "25-29", "30-34", "35-39", "40-44", "45-49", "50-54", "55-59", "60-64", "65-69", "70-74", "75-79", "80-84", "85+")</f>
        <v>30-34</v>
      </c>
      <c r="D624" t="s">
        <v>7</v>
      </c>
    </row>
    <row r="625" spans="1:4">
      <c r="A625" t="s">
        <v>6</v>
      </c>
      <c r="B625">
        <v>64</v>
      </c>
      <c r="C625" t="str">
        <f>CHOOSE(MATCH(B625, {20,25,30,35,40,45,50,55,60,65,70,75,80,85}, 1), "20-24", "25-29", "30-34", "35-39", "40-44", "45-49", "50-54", "55-59", "60-64", "65-69", "70-74", "75-79", "80-84", "85+")</f>
        <v>60-64</v>
      </c>
      <c r="D625" t="s">
        <v>8</v>
      </c>
    </row>
    <row r="626" spans="1:4">
      <c r="A626" t="s">
        <v>6</v>
      </c>
      <c r="B626">
        <v>38</v>
      </c>
      <c r="C626" t="str">
        <f>CHOOSE(MATCH(B626, {20,25,30,35,40,45,50,55,60,65,70,75,80,85}, 1), "20-24", "25-29", "30-34", "35-39", "40-44", "45-49", "50-54", "55-59", "60-64", "65-69", "70-74", "75-79", "80-84", "85+")</f>
        <v>35-39</v>
      </c>
      <c r="D626" t="s">
        <v>7</v>
      </c>
    </row>
    <row r="627" spans="1:4">
      <c r="A627" t="s">
        <v>6</v>
      </c>
      <c r="B627">
        <v>44</v>
      </c>
      <c r="C627" t="str">
        <f>CHOOSE(MATCH(B627, {20,25,30,35,40,45,50,55,60,65,70,75,80,85}, 1), "20-24", "25-29", "30-34", "35-39", "40-44", "45-49", "50-54", "55-59", "60-64", "65-69", "70-74", "75-79", "80-84", "85+")</f>
        <v>40-44</v>
      </c>
      <c r="D627" t="s">
        <v>7</v>
      </c>
    </row>
    <row r="628" spans="1:4">
      <c r="A628" t="s">
        <v>6</v>
      </c>
      <c r="B628">
        <v>45</v>
      </c>
      <c r="C628" t="str">
        <f>CHOOSE(MATCH(B628, {20,25,30,35,40,45,50,55,60,65,70,75,80,85}, 1), "20-24", "25-29", "30-34", "35-39", "40-44", "45-49", "50-54", "55-59", "60-64", "65-69", "70-74", "75-79", "80-84", "85+")</f>
        <v>45-49</v>
      </c>
      <c r="D628" t="s">
        <v>8</v>
      </c>
    </row>
    <row r="629" spans="1:4">
      <c r="A629" t="s">
        <v>6</v>
      </c>
      <c r="B629">
        <v>38</v>
      </c>
      <c r="C629" t="str">
        <f>CHOOSE(MATCH(B629, {20,25,30,35,40,45,50,55,60,65,70,75,80,85}, 1), "20-24", "25-29", "30-34", "35-39", "40-44", "45-49", "50-54", "55-59", "60-64", "65-69", "70-74", "75-79", "80-84", "85+")</f>
        <v>35-39</v>
      </c>
      <c r="D629" t="s">
        <v>7</v>
      </c>
    </row>
    <row r="630" spans="1:4">
      <c r="A630" t="s">
        <v>6</v>
      </c>
      <c r="B630">
        <v>53</v>
      </c>
      <c r="C630" t="str">
        <f>CHOOSE(MATCH(B630, {20,25,30,35,40,45,50,55,60,65,70,75,80,85}, 1), "20-24", "25-29", "30-34", "35-39", "40-44", "45-49", "50-54", "55-59", "60-64", "65-69", "70-74", "75-79", "80-84", "85+")</f>
        <v>50-54</v>
      </c>
      <c r="D630" t="s">
        <v>7</v>
      </c>
    </row>
    <row r="631" spans="1:4">
      <c r="A631" t="s">
        <v>6</v>
      </c>
      <c r="B631">
        <v>82</v>
      </c>
      <c r="C631" t="str">
        <f>CHOOSE(MATCH(B631, {20,25,30,35,40,45,50,55,60,65,70,75,80,85}, 1), "20-24", "25-29", "30-34", "35-39", "40-44", "45-49", "50-54", "55-59", "60-64", "65-69", "70-74", "75-79", "80-84", "85+")</f>
        <v>80-84</v>
      </c>
      <c r="D631" t="s">
        <v>7</v>
      </c>
    </row>
    <row r="632" spans="1:4">
      <c r="A632" t="s">
        <v>6</v>
      </c>
      <c r="B632">
        <v>60</v>
      </c>
      <c r="C632" t="str">
        <f>CHOOSE(MATCH(B632, {20,25,30,35,40,45,50,55,60,65,70,75,80,85}, 1), "20-24", "25-29", "30-34", "35-39", "40-44", "45-49", "50-54", "55-59", "60-64", "65-69", "70-74", "75-79", "80-84", "85+")</f>
        <v>60-64</v>
      </c>
      <c r="D632" t="s">
        <v>8</v>
      </c>
    </row>
    <row r="633" spans="1:4">
      <c r="A633" t="s">
        <v>6</v>
      </c>
      <c r="B633">
        <v>67</v>
      </c>
      <c r="C633" t="str">
        <f>CHOOSE(MATCH(B633, {20,25,30,35,40,45,50,55,60,65,70,75,80,85}, 1), "20-24", "25-29", "30-34", "35-39", "40-44", "45-49", "50-54", "55-59", "60-64", "65-69", "70-74", "75-79", "80-84", "85+")</f>
        <v>65-69</v>
      </c>
      <c r="D633" t="s">
        <v>8</v>
      </c>
    </row>
    <row r="634" spans="1:4">
      <c r="A634" t="s">
        <v>6</v>
      </c>
      <c r="B634">
        <v>65</v>
      </c>
      <c r="C634" t="str">
        <f>CHOOSE(MATCH(B634, {20,25,30,35,40,45,50,55,60,65,70,75,80,85}, 1), "20-24", "25-29", "30-34", "35-39", "40-44", "45-49", "50-54", "55-59", "60-64", "65-69", "70-74", "75-79", "80-84", "85+")</f>
        <v>65-69</v>
      </c>
      <c r="D634" t="s">
        <v>8</v>
      </c>
    </row>
    <row r="635" spans="1:4">
      <c r="A635" t="s">
        <v>6</v>
      </c>
      <c r="B635">
        <v>39</v>
      </c>
      <c r="C635" t="str">
        <f>CHOOSE(MATCH(B635, {20,25,30,35,40,45,50,55,60,65,70,75,80,85}, 1), "20-24", "25-29", "30-34", "35-39", "40-44", "45-49", "50-54", "55-59", "60-64", "65-69", "70-74", "75-79", "80-84", "85+")</f>
        <v>35-39</v>
      </c>
      <c r="D635" t="s">
        <v>8</v>
      </c>
    </row>
    <row r="636" spans="1:4">
      <c r="A636" t="s">
        <v>6</v>
      </c>
      <c r="B636">
        <v>33</v>
      </c>
      <c r="C636" t="str">
        <f>CHOOSE(MATCH(B636, {20,25,30,35,40,45,50,55,60,65,70,75,80,85}, 1), "20-24", "25-29", "30-34", "35-39", "40-44", "45-49", "50-54", "55-59", "60-64", "65-69", "70-74", "75-79", "80-84", "85+")</f>
        <v>30-34</v>
      </c>
      <c r="D636" t="s">
        <v>7</v>
      </c>
    </row>
    <row r="637" spans="1:4">
      <c r="A637" t="s">
        <v>6</v>
      </c>
      <c r="B637">
        <v>76</v>
      </c>
      <c r="C637" t="str">
        <f>CHOOSE(MATCH(B637, {20,25,30,35,40,45,50,55,60,65,70,75,80,85}, 1), "20-24", "25-29", "30-34", "35-39", "40-44", "45-49", "50-54", "55-59", "60-64", "65-69", "70-74", "75-79", "80-84", "85+")</f>
        <v>75-79</v>
      </c>
      <c r="D637" t="s">
        <v>7</v>
      </c>
    </row>
    <row r="638" spans="1:4">
      <c r="A638" t="s">
        <v>6</v>
      </c>
      <c r="B638">
        <v>38</v>
      </c>
      <c r="C638" t="str">
        <f>CHOOSE(MATCH(B638, {20,25,30,35,40,45,50,55,60,65,70,75,80,85}, 1), "20-24", "25-29", "30-34", "35-39", "40-44", "45-49", "50-54", "55-59", "60-64", "65-69", "70-74", "75-79", "80-84", "85+")</f>
        <v>35-39</v>
      </c>
      <c r="D638" t="s">
        <v>7</v>
      </c>
    </row>
    <row r="639" spans="1:4">
      <c r="A639" t="s">
        <v>6</v>
      </c>
      <c r="B639">
        <v>52</v>
      </c>
      <c r="C639" t="str">
        <f>CHOOSE(MATCH(B639, {20,25,30,35,40,45,50,55,60,65,70,75,80,85}, 1), "20-24", "25-29", "30-34", "35-39", "40-44", "45-49", "50-54", "55-59", "60-64", "65-69", "70-74", "75-79", "80-84", "85+")</f>
        <v>50-54</v>
      </c>
      <c r="D639" t="s">
        <v>7</v>
      </c>
    </row>
    <row r="640" spans="1:4">
      <c r="A640" t="s">
        <v>6</v>
      </c>
      <c r="B640">
        <v>69</v>
      </c>
      <c r="C640" t="str">
        <f>CHOOSE(MATCH(B640, {20,25,30,35,40,45,50,55,60,65,70,75,80,85}, 1), "20-24", "25-29", "30-34", "35-39", "40-44", "45-49", "50-54", "55-59", "60-64", "65-69", "70-74", "75-79", "80-84", "85+")</f>
        <v>65-69</v>
      </c>
      <c r="D640" t="s">
        <v>7</v>
      </c>
    </row>
    <row r="641" spans="1:4">
      <c r="A641" t="s">
        <v>6</v>
      </c>
      <c r="B641">
        <v>49</v>
      </c>
      <c r="C641" t="str">
        <f>CHOOSE(MATCH(B641, {20,25,30,35,40,45,50,55,60,65,70,75,80,85}, 1), "20-24", "25-29", "30-34", "35-39", "40-44", "45-49", "50-54", "55-59", "60-64", "65-69", "70-74", "75-79", "80-84", "85+")</f>
        <v>45-49</v>
      </c>
      <c r="D641" t="s">
        <v>7</v>
      </c>
    </row>
    <row r="642" spans="1:4">
      <c r="A642" t="s">
        <v>6</v>
      </c>
      <c r="B642">
        <v>79</v>
      </c>
      <c r="C642" t="str">
        <f>CHOOSE(MATCH(B642, {20,25,30,35,40,45,50,55,60,65,70,75,80,85}, 1), "20-24", "25-29", "30-34", "35-39", "40-44", "45-49", "50-54", "55-59", "60-64", "65-69", "70-74", "75-79", "80-84", "85+")</f>
        <v>75-79</v>
      </c>
      <c r="D642" t="s">
        <v>7</v>
      </c>
    </row>
    <row r="643" spans="1:4">
      <c r="A643" t="s">
        <v>6</v>
      </c>
      <c r="B643">
        <v>30</v>
      </c>
      <c r="C643" t="str">
        <f>CHOOSE(MATCH(B643, {20,25,30,35,40,45,50,55,60,65,70,75,80,85}, 1), "20-24", "25-29", "30-34", "35-39", "40-44", "45-49", "50-54", "55-59", "60-64", "65-69", "70-74", "75-79", "80-84", "85+")</f>
        <v>30-34</v>
      </c>
      <c r="D643" t="s">
        <v>7</v>
      </c>
    </row>
    <row r="644" spans="1:4">
      <c r="A644" t="s">
        <v>6</v>
      </c>
      <c r="B644">
        <v>34</v>
      </c>
      <c r="C644" t="str">
        <f>CHOOSE(MATCH(B644, {20,25,30,35,40,45,50,55,60,65,70,75,80,85}, 1), "20-24", "25-29", "30-34", "35-39", "40-44", "45-49", "50-54", "55-59", "60-64", "65-69", "70-74", "75-79", "80-84", "85+")</f>
        <v>30-34</v>
      </c>
      <c r="D644" t="s">
        <v>7</v>
      </c>
    </row>
    <row r="645" spans="1:4">
      <c r="A645" t="s">
        <v>6</v>
      </c>
      <c r="B645">
        <v>50</v>
      </c>
      <c r="C645" t="str">
        <f>CHOOSE(MATCH(B645, {20,25,30,35,40,45,50,55,60,65,70,75,80,85}, 1), "20-24", "25-29", "30-34", "35-39", "40-44", "45-49", "50-54", "55-59", "60-64", "65-69", "70-74", "75-79", "80-84", "85+")</f>
        <v>50-54</v>
      </c>
      <c r="D645" t="s">
        <v>8</v>
      </c>
    </row>
    <row r="646" spans="1:4">
      <c r="A646" t="s">
        <v>6</v>
      </c>
      <c r="B646">
        <v>29</v>
      </c>
      <c r="C646" t="str">
        <f>CHOOSE(MATCH(B646, {20,25,30,35,40,45,50,55,60,65,70,75,80,85}, 1), "20-24", "25-29", "30-34", "35-39", "40-44", "45-49", "50-54", "55-59", "60-64", "65-69", "70-74", "75-79", "80-84", "85+")</f>
        <v>25-29</v>
      </c>
      <c r="D646" t="s">
        <v>7</v>
      </c>
    </row>
    <row r="647" spans="1:4">
      <c r="A647" t="s">
        <v>6</v>
      </c>
      <c r="B647">
        <v>35</v>
      </c>
      <c r="C647" t="str">
        <f>CHOOSE(MATCH(B647, {20,25,30,35,40,45,50,55,60,65,70,75,80,85}, 1), "20-24", "25-29", "30-34", "35-39", "40-44", "45-49", "50-54", "55-59", "60-64", "65-69", "70-74", "75-79", "80-84", "85+")</f>
        <v>35-39</v>
      </c>
      <c r="D647" t="s">
        <v>8</v>
      </c>
    </row>
    <row r="648" spans="1:4">
      <c r="A648" t="s">
        <v>6</v>
      </c>
      <c r="B648">
        <v>39</v>
      </c>
      <c r="C648" t="str">
        <f>CHOOSE(MATCH(B648, {20,25,30,35,40,45,50,55,60,65,70,75,80,85}, 1), "20-24", "25-29", "30-34", "35-39", "40-44", "45-49", "50-54", "55-59", "60-64", "65-69", "70-74", "75-79", "80-84", "85+")</f>
        <v>35-39</v>
      </c>
      <c r="D648" t="s">
        <v>7</v>
      </c>
    </row>
    <row r="649" spans="1:4">
      <c r="A649" t="s">
        <v>6</v>
      </c>
      <c r="B649">
        <v>61</v>
      </c>
      <c r="C649" t="str">
        <f>CHOOSE(MATCH(B649, {20,25,30,35,40,45,50,55,60,65,70,75,80,85}, 1), "20-24", "25-29", "30-34", "35-39", "40-44", "45-49", "50-54", "55-59", "60-64", "65-69", "70-74", "75-79", "80-84", "85+")</f>
        <v>60-64</v>
      </c>
      <c r="D649" t="s">
        <v>8</v>
      </c>
    </row>
    <row r="650" spans="1:4">
      <c r="A650" t="s">
        <v>6</v>
      </c>
      <c r="B650">
        <v>58</v>
      </c>
      <c r="C650" t="str">
        <f>CHOOSE(MATCH(B650, {20,25,30,35,40,45,50,55,60,65,70,75,80,85}, 1), "20-24", "25-29", "30-34", "35-39", "40-44", "45-49", "50-54", "55-59", "60-64", "65-69", "70-74", "75-79", "80-84", "85+")</f>
        <v>55-59</v>
      </c>
      <c r="D650" t="s">
        <v>8</v>
      </c>
    </row>
    <row r="651" spans="1:4">
      <c r="A651" t="s">
        <v>6</v>
      </c>
      <c r="B651">
        <v>34</v>
      </c>
      <c r="C651" t="str">
        <f>CHOOSE(MATCH(B651, {20,25,30,35,40,45,50,55,60,65,70,75,80,85}, 1), "20-24", "25-29", "30-34", "35-39", "40-44", "45-49", "50-54", "55-59", "60-64", "65-69", "70-74", "75-79", "80-84", "85+")</f>
        <v>30-34</v>
      </c>
      <c r="D651" t="s">
        <v>7</v>
      </c>
    </row>
    <row r="652" spans="1:4">
      <c r="A652" t="s">
        <v>6</v>
      </c>
      <c r="B652">
        <v>61</v>
      </c>
      <c r="C652" t="str">
        <f>CHOOSE(MATCH(B652, {20,25,30,35,40,45,50,55,60,65,70,75,80,85}, 1), "20-24", "25-29", "30-34", "35-39", "40-44", "45-49", "50-54", "55-59", "60-64", "65-69", "70-74", "75-79", "80-84", "85+")</f>
        <v>60-64</v>
      </c>
      <c r="D652" t="s">
        <v>7</v>
      </c>
    </row>
    <row r="653" spans="1:4">
      <c r="A653" t="s">
        <v>6</v>
      </c>
      <c r="B653">
        <v>33</v>
      </c>
      <c r="C653" t="str">
        <f>CHOOSE(MATCH(B653, {20,25,30,35,40,45,50,55,60,65,70,75,80,85}, 1), "20-24", "25-29", "30-34", "35-39", "40-44", "45-49", "50-54", "55-59", "60-64", "65-69", "70-74", "75-79", "80-84", "85+")</f>
        <v>30-34</v>
      </c>
      <c r="D653" t="s">
        <v>8</v>
      </c>
    </row>
    <row r="654" spans="1:4">
      <c r="A654" t="s">
        <v>6</v>
      </c>
      <c r="B654">
        <v>74</v>
      </c>
      <c r="C654" t="str">
        <f>CHOOSE(MATCH(B654, {20,25,30,35,40,45,50,55,60,65,70,75,80,85}, 1), "20-24", "25-29", "30-34", "35-39", "40-44", "45-49", "50-54", "55-59", "60-64", "65-69", "70-74", "75-79", "80-84", "85+")</f>
        <v>70-74</v>
      </c>
      <c r="D654" t="s">
        <v>7</v>
      </c>
    </row>
    <row r="655" spans="1:4">
      <c r="A655" t="s">
        <v>6</v>
      </c>
      <c r="B655">
        <v>32</v>
      </c>
      <c r="C655" t="str">
        <f>CHOOSE(MATCH(B655, {20,25,30,35,40,45,50,55,60,65,70,75,80,85}, 1), "20-24", "25-29", "30-34", "35-39", "40-44", "45-49", "50-54", "55-59", "60-64", "65-69", "70-74", "75-79", "80-84", "85+")</f>
        <v>30-34</v>
      </c>
      <c r="D655" t="s">
        <v>7</v>
      </c>
    </row>
    <row r="656" spans="1:4">
      <c r="A656" t="s">
        <v>6</v>
      </c>
      <c r="B656">
        <v>25</v>
      </c>
      <c r="C656" t="str">
        <f>CHOOSE(MATCH(B656, {20,25,30,35,40,45,50,55,60,65,70,75,80,85}, 1), "20-24", "25-29", "30-34", "35-39", "40-44", "45-49", "50-54", "55-59", "60-64", "65-69", "70-74", "75-79", "80-84", "85+")</f>
        <v>25-29</v>
      </c>
      <c r="D656" t="s">
        <v>7</v>
      </c>
    </row>
    <row r="657" spans="1:4">
      <c r="A657" t="s">
        <v>6</v>
      </c>
      <c r="B657">
        <v>63</v>
      </c>
      <c r="C657" t="str">
        <f>CHOOSE(MATCH(B657, {20,25,30,35,40,45,50,55,60,65,70,75,80,85}, 1), "20-24", "25-29", "30-34", "35-39", "40-44", "45-49", "50-54", "55-59", "60-64", "65-69", "70-74", "75-79", "80-84", "85+")</f>
        <v>60-64</v>
      </c>
      <c r="D657" t="s">
        <v>8</v>
      </c>
    </row>
    <row r="658" spans="1:4">
      <c r="A658" t="s">
        <v>6</v>
      </c>
      <c r="B658">
        <v>66</v>
      </c>
      <c r="C658" t="str">
        <f>CHOOSE(MATCH(B658, {20,25,30,35,40,45,50,55,60,65,70,75,80,85}, 1), "20-24", "25-29", "30-34", "35-39", "40-44", "45-49", "50-54", "55-59", "60-64", "65-69", "70-74", "75-79", "80-84", "85+")</f>
        <v>65-69</v>
      </c>
      <c r="D658" t="s">
        <v>7</v>
      </c>
    </row>
    <row r="659" spans="1:4">
      <c r="A659" t="s">
        <v>6</v>
      </c>
      <c r="B659">
        <v>21</v>
      </c>
      <c r="C659" t="str">
        <f>CHOOSE(MATCH(B659, {20,25,30,35,40,45,50,55,60,65,70,75,80,85}, 1), "20-24", "25-29", "30-34", "35-39", "40-44", "45-49", "50-54", "55-59", "60-64", "65-69", "70-74", "75-79", "80-84", "85+")</f>
        <v>20-24</v>
      </c>
      <c r="D659" t="s">
        <v>7</v>
      </c>
    </row>
    <row r="660" spans="1:4">
      <c r="A660" t="s">
        <v>6</v>
      </c>
      <c r="B660">
        <v>60</v>
      </c>
      <c r="C660" t="str">
        <f>CHOOSE(MATCH(B660, {20,25,30,35,40,45,50,55,60,65,70,75,80,85}, 1), "20-24", "25-29", "30-34", "35-39", "40-44", "45-49", "50-54", "55-59", "60-64", "65-69", "70-74", "75-79", "80-84", "85+")</f>
        <v>60-64</v>
      </c>
      <c r="D660" t="s">
        <v>8</v>
      </c>
    </row>
    <row r="661" spans="1:4">
      <c r="A661" t="s">
        <v>6</v>
      </c>
      <c r="B661">
        <v>29</v>
      </c>
      <c r="C661" t="str">
        <f>CHOOSE(MATCH(B661, {20,25,30,35,40,45,50,55,60,65,70,75,80,85}, 1), "20-24", "25-29", "30-34", "35-39", "40-44", "45-49", "50-54", "55-59", "60-64", "65-69", "70-74", "75-79", "80-84", "85+")</f>
        <v>25-29</v>
      </c>
      <c r="D661" t="s">
        <v>8</v>
      </c>
    </row>
    <row r="662" spans="1:4">
      <c r="A662" t="s">
        <v>6</v>
      </c>
      <c r="B662">
        <v>26</v>
      </c>
      <c r="C662" t="str">
        <f>CHOOSE(MATCH(B662, {20,25,30,35,40,45,50,55,60,65,70,75,80,85}, 1), "20-24", "25-29", "30-34", "35-39", "40-44", "45-49", "50-54", "55-59", "60-64", "65-69", "70-74", "75-79", "80-84", "85+")</f>
        <v>25-29</v>
      </c>
      <c r="D662" t="s">
        <v>8</v>
      </c>
    </row>
    <row r="663" spans="1:4">
      <c r="A663" t="s">
        <v>6</v>
      </c>
      <c r="B663">
        <v>20</v>
      </c>
      <c r="C663" t="str">
        <f>CHOOSE(MATCH(B663, {20,25,30,35,40,45,50,55,60,65,70,75,80,85}, 1), "20-24", "25-29", "30-34", "35-39", "40-44", "45-49", "50-54", "55-59", "60-64", "65-69", "70-74", "75-79", "80-84", "85+")</f>
        <v>20-24</v>
      </c>
      <c r="D663" t="s">
        <v>7</v>
      </c>
    </row>
    <row r="664" spans="1:4">
      <c r="A664" t="s">
        <v>6</v>
      </c>
      <c r="B664">
        <v>25</v>
      </c>
      <c r="C664" t="str">
        <f>CHOOSE(MATCH(B664, {20,25,30,35,40,45,50,55,60,65,70,75,80,85}, 1), "20-24", "25-29", "30-34", "35-39", "40-44", "45-49", "50-54", "55-59", "60-64", "65-69", "70-74", "75-79", "80-84", "85+")</f>
        <v>25-29</v>
      </c>
      <c r="D664" t="s">
        <v>7</v>
      </c>
    </row>
    <row r="665" spans="1:4">
      <c r="A665" t="s">
        <v>6</v>
      </c>
      <c r="B665">
        <v>30</v>
      </c>
      <c r="C665" t="str">
        <f>CHOOSE(MATCH(B665, {20,25,30,35,40,45,50,55,60,65,70,75,80,85}, 1), "20-24", "25-29", "30-34", "35-39", "40-44", "45-49", "50-54", "55-59", "60-64", "65-69", "70-74", "75-79", "80-84", "85+")</f>
        <v>30-34</v>
      </c>
      <c r="D665" t="s">
        <v>7</v>
      </c>
    </row>
    <row r="666" spans="1:4">
      <c r="A666" t="s">
        <v>6</v>
      </c>
      <c r="B666">
        <v>38</v>
      </c>
      <c r="C666" t="str">
        <f>CHOOSE(MATCH(B666, {20,25,30,35,40,45,50,55,60,65,70,75,80,85}, 1), "20-24", "25-29", "30-34", "35-39", "40-44", "45-49", "50-54", "55-59", "60-64", "65-69", "70-74", "75-79", "80-84", "85+")</f>
        <v>35-39</v>
      </c>
      <c r="D666" t="s">
        <v>7</v>
      </c>
    </row>
    <row r="667" spans="1:4">
      <c r="A667" t="s">
        <v>6</v>
      </c>
      <c r="B667">
        <v>49</v>
      </c>
      <c r="C667" t="str">
        <f>CHOOSE(MATCH(B667, {20,25,30,35,40,45,50,55,60,65,70,75,80,85}, 1), "20-24", "25-29", "30-34", "35-39", "40-44", "45-49", "50-54", "55-59", "60-64", "65-69", "70-74", "75-79", "80-84", "85+")</f>
        <v>45-49</v>
      </c>
      <c r="D667" t="s">
        <v>7</v>
      </c>
    </row>
    <row r="668" spans="1:4">
      <c r="A668" t="s">
        <v>6</v>
      </c>
      <c r="B668">
        <v>48</v>
      </c>
      <c r="C668" t="str">
        <f>CHOOSE(MATCH(B668, {20,25,30,35,40,45,50,55,60,65,70,75,80,85}, 1), "20-24", "25-29", "30-34", "35-39", "40-44", "45-49", "50-54", "55-59", "60-64", "65-69", "70-74", "75-79", "80-84", "85+")</f>
        <v>45-49</v>
      </c>
      <c r="D668" t="s">
        <v>7</v>
      </c>
    </row>
    <row r="669" spans="1:4">
      <c r="A669" t="s">
        <v>6</v>
      </c>
      <c r="B669">
        <v>60</v>
      </c>
      <c r="C669" t="str">
        <f>CHOOSE(MATCH(B669, {20,25,30,35,40,45,50,55,60,65,70,75,80,85}, 1), "20-24", "25-29", "30-34", "35-39", "40-44", "45-49", "50-54", "55-59", "60-64", "65-69", "70-74", "75-79", "80-84", "85+")</f>
        <v>60-64</v>
      </c>
      <c r="D669" t="s">
        <v>7</v>
      </c>
    </row>
    <row r="670" spans="1:4">
      <c r="A670" t="s">
        <v>6</v>
      </c>
      <c r="B670">
        <v>79</v>
      </c>
      <c r="C670" t="str">
        <f>CHOOSE(MATCH(B670, {20,25,30,35,40,45,50,55,60,65,70,75,80,85}, 1), "20-24", "25-29", "30-34", "35-39", "40-44", "45-49", "50-54", "55-59", "60-64", "65-69", "70-74", "75-79", "80-84", "85+")</f>
        <v>75-79</v>
      </c>
      <c r="D670" t="s">
        <v>7</v>
      </c>
    </row>
    <row r="671" spans="1:4">
      <c r="A671" t="s">
        <v>6</v>
      </c>
      <c r="B671">
        <v>32</v>
      </c>
      <c r="C671" t="str">
        <f>CHOOSE(MATCH(B671, {20,25,30,35,40,45,50,55,60,65,70,75,80,85}, 1), "20-24", "25-29", "30-34", "35-39", "40-44", "45-49", "50-54", "55-59", "60-64", "65-69", "70-74", "75-79", "80-84", "85+")</f>
        <v>30-34</v>
      </c>
      <c r="D671" t="s">
        <v>8</v>
      </c>
    </row>
    <row r="672" spans="1:4">
      <c r="A672" t="s">
        <v>6</v>
      </c>
      <c r="B672">
        <v>28</v>
      </c>
      <c r="C672" t="str">
        <f>CHOOSE(MATCH(B672, {20,25,30,35,40,45,50,55,60,65,70,75,80,85}, 1), "20-24", "25-29", "30-34", "35-39", "40-44", "45-49", "50-54", "55-59", "60-64", "65-69", "70-74", "75-79", "80-84", "85+")</f>
        <v>25-29</v>
      </c>
      <c r="D672" t="s">
        <v>7</v>
      </c>
    </row>
    <row r="673" spans="1:4">
      <c r="A673" t="s">
        <v>6</v>
      </c>
      <c r="B673">
        <v>37</v>
      </c>
      <c r="C673" t="str">
        <f>CHOOSE(MATCH(B673, {20,25,30,35,40,45,50,55,60,65,70,75,80,85}, 1), "20-24", "25-29", "30-34", "35-39", "40-44", "45-49", "50-54", "55-59", "60-64", "65-69", "70-74", "75-79", "80-84", "85+")</f>
        <v>35-39</v>
      </c>
      <c r="D673" t="s">
        <v>7</v>
      </c>
    </row>
    <row r="674" spans="1:4">
      <c r="A674" t="s">
        <v>6</v>
      </c>
      <c r="B674">
        <v>39</v>
      </c>
      <c r="C674" t="str">
        <f>CHOOSE(MATCH(B674, {20,25,30,35,40,45,50,55,60,65,70,75,80,85}, 1), "20-24", "25-29", "30-34", "35-39", "40-44", "45-49", "50-54", "55-59", "60-64", "65-69", "70-74", "75-79", "80-84", "85+")</f>
        <v>35-39</v>
      </c>
      <c r="D674" t="s">
        <v>7</v>
      </c>
    </row>
    <row r="675" spans="1:4">
      <c r="A675" t="s">
        <v>6</v>
      </c>
      <c r="B675">
        <v>63</v>
      </c>
      <c r="C675" t="str">
        <f>CHOOSE(MATCH(B675, {20,25,30,35,40,45,50,55,60,65,70,75,80,85}, 1), "20-24", "25-29", "30-34", "35-39", "40-44", "45-49", "50-54", "55-59", "60-64", "65-69", "70-74", "75-79", "80-84", "85+")</f>
        <v>60-64</v>
      </c>
      <c r="D675" t="s">
        <v>8</v>
      </c>
    </row>
    <row r="676" spans="1:4">
      <c r="A676" t="s">
        <v>6</v>
      </c>
      <c r="B676">
        <v>35</v>
      </c>
      <c r="C676" t="str">
        <f>CHOOSE(MATCH(B676, {20,25,30,35,40,45,50,55,60,65,70,75,80,85}, 1), "20-24", "25-29", "30-34", "35-39", "40-44", "45-49", "50-54", "55-59", "60-64", "65-69", "70-74", "75-79", "80-84", "85+")</f>
        <v>35-39</v>
      </c>
      <c r="D676" t="s">
        <v>8</v>
      </c>
    </row>
    <row r="677" spans="1:4">
      <c r="A677" t="s">
        <v>6</v>
      </c>
      <c r="B677">
        <v>41</v>
      </c>
      <c r="C677" t="str">
        <f>CHOOSE(MATCH(B677, {20,25,30,35,40,45,50,55,60,65,70,75,80,85}, 1), "20-24", "25-29", "30-34", "35-39", "40-44", "45-49", "50-54", "55-59", "60-64", "65-69", "70-74", "75-79", "80-84", "85+")</f>
        <v>40-44</v>
      </c>
      <c r="D677" t="s">
        <v>8</v>
      </c>
    </row>
    <row r="678" spans="1:4">
      <c r="A678" t="s">
        <v>6</v>
      </c>
      <c r="B678">
        <v>28</v>
      </c>
      <c r="C678" t="str">
        <f>CHOOSE(MATCH(B678, {20,25,30,35,40,45,50,55,60,65,70,75,80,85}, 1), "20-24", "25-29", "30-34", "35-39", "40-44", "45-49", "50-54", "55-59", "60-64", "65-69", "70-74", "75-79", "80-84", "85+")</f>
        <v>25-29</v>
      </c>
      <c r="D678" t="s">
        <v>7</v>
      </c>
    </row>
    <row r="679" spans="1:4">
      <c r="A679" t="s">
        <v>6</v>
      </c>
      <c r="B679">
        <v>36</v>
      </c>
      <c r="C679" t="str">
        <f>CHOOSE(MATCH(B679, {20,25,30,35,40,45,50,55,60,65,70,75,80,85}, 1), "20-24", "25-29", "30-34", "35-39", "40-44", "45-49", "50-54", "55-59", "60-64", "65-69", "70-74", "75-79", "80-84", "85+")</f>
        <v>35-39</v>
      </c>
      <c r="D679" t="s">
        <v>7</v>
      </c>
    </row>
    <row r="680" spans="1:4">
      <c r="A680" t="s">
        <v>6</v>
      </c>
      <c r="B680">
        <v>23</v>
      </c>
      <c r="C680" t="str">
        <f>CHOOSE(MATCH(B680, {20,25,30,35,40,45,50,55,60,65,70,75,80,85}, 1), "20-24", "25-29", "30-34", "35-39", "40-44", "45-49", "50-54", "55-59", "60-64", "65-69", "70-74", "75-79", "80-84", "85+")</f>
        <v>20-24</v>
      </c>
      <c r="D680" t="s">
        <v>7</v>
      </c>
    </row>
    <row r="681" spans="1:4">
      <c r="A681" t="s">
        <v>6</v>
      </c>
      <c r="B681">
        <v>41</v>
      </c>
      <c r="C681" t="str">
        <f>CHOOSE(MATCH(B681, {20,25,30,35,40,45,50,55,60,65,70,75,80,85}, 1), "20-24", "25-29", "30-34", "35-39", "40-44", "45-49", "50-54", "55-59", "60-64", "65-69", "70-74", "75-79", "80-84", "85+")</f>
        <v>40-44</v>
      </c>
      <c r="D681" t="s">
        <v>7</v>
      </c>
    </row>
    <row r="682" spans="1:4">
      <c r="A682" t="s">
        <v>6</v>
      </c>
      <c r="B682">
        <v>32</v>
      </c>
      <c r="C682" t="str">
        <f>CHOOSE(MATCH(B682, {20,25,30,35,40,45,50,55,60,65,70,75,80,85}, 1), "20-24", "25-29", "30-34", "35-39", "40-44", "45-49", "50-54", "55-59", "60-64", "65-69", "70-74", "75-79", "80-84", "85+")</f>
        <v>30-34</v>
      </c>
      <c r="D682" t="s">
        <v>8</v>
      </c>
    </row>
    <row r="683" spans="1:4">
      <c r="A683" t="s">
        <v>6</v>
      </c>
      <c r="B683">
        <v>36</v>
      </c>
      <c r="C683" t="str">
        <f>CHOOSE(MATCH(B683, {20,25,30,35,40,45,50,55,60,65,70,75,80,85}, 1), "20-24", "25-29", "30-34", "35-39", "40-44", "45-49", "50-54", "55-59", "60-64", "65-69", "70-74", "75-79", "80-84", "85+")</f>
        <v>35-39</v>
      </c>
      <c r="D683" t="s">
        <v>8</v>
      </c>
    </row>
    <row r="684" spans="1:4">
      <c r="A684" t="s">
        <v>6</v>
      </c>
      <c r="B684">
        <v>26</v>
      </c>
      <c r="C684" t="str">
        <f>CHOOSE(MATCH(B684, {20,25,30,35,40,45,50,55,60,65,70,75,80,85}, 1), "20-24", "25-29", "30-34", "35-39", "40-44", "45-49", "50-54", "55-59", "60-64", "65-69", "70-74", "75-79", "80-84", "85+")</f>
        <v>25-29</v>
      </c>
      <c r="D684" t="s">
        <v>7</v>
      </c>
    </row>
    <row r="685" spans="1:4">
      <c r="A685" t="s">
        <v>6</v>
      </c>
      <c r="B685">
        <v>71</v>
      </c>
      <c r="C685" t="str">
        <f>CHOOSE(MATCH(B685, {20,25,30,35,40,45,50,55,60,65,70,75,80,85}, 1), "20-24", "25-29", "30-34", "35-39", "40-44", "45-49", "50-54", "55-59", "60-64", "65-69", "70-74", "75-79", "80-84", "85+")</f>
        <v>70-74</v>
      </c>
      <c r="D685" t="s">
        <v>7</v>
      </c>
    </row>
    <row r="686" spans="1:4">
      <c r="A686" t="s">
        <v>6</v>
      </c>
      <c r="B686">
        <v>61</v>
      </c>
      <c r="C686" t="str">
        <f>CHOOSE(MATCH(B686, {20,25,30,35,40,45,50,55,60,65,70,75,80,85}, 1), "20-24", "25-29", "30-34", "35-39", "40-44", "45-49", "50-54", "55-59", "60-64", "65-69", "70-74", "75-79", "80-84", "85+")</f>
        <v>60-64</v>
      </c>
      <c r="D686" t="s">
        <v>8</v>
      </c>
    </row>
    <row r="687" spans="1:4">
      <c r="A687" t="s">
        <v>6</v>
      </c>
      <c r="B687">
        <v>37</v>
      </c>
      <c r="C687" t="str">
        <f>CHOOSE(MATCH(B687, {20,25,30,35,40,45,50,55,60,65,70,75,80,85}, 1), "20-24", "25-29", "30-34", "35-39", "40-44", "45-49", "50-54", "55-59", "60-64", "65-69", "70-74", "75-79", "80-84", "85+")</f>
        <v>35-39</v>
      </c>
      <c r="D687" t="s">
        <v>7</v>
      </c>
    </row>
    <row r="688" spans="1:4">
      <c r="A688" t="s">
        <v>6</v>
      </c>
      <c r="B688">
        <v>27</v>
      </c>
      <c r="C688" t="str">
        <f>CHOOSE(MATCH(B688, {20,25,30,35,40,45,50,55,60,65,70,75,80,85}, 1), "20-24", "25-29", "30-34", "35-39", "40-44", "45-49", "50-54", "55-59", "60-64", "65-69", "70-74", "75-79", "80-84", "85+")</f>
        <v>25-29</v>
      </c>
      <c r="D688" t="s">
        <v>7</v>
      </c>
    </row>
    <row r="689" spans="1:4">
      <c r="A689" t="s">
        <v>6</v>
      </c>
      <c r="B689">
        <v>43</v>
      </c>
      <c r="C689" t="str">
        <f>CHOOSE(MATCH(B689, {20,25,30,35,40,45,50,55,60,65,70,75,80,85}, 1), "20-24", "25-29", "30-34", "35-39", "40-44", "45-49", "50-54", "55-59", "60-64", "65-69", "70-74", "75-79", "80-84", "85+")</f>
        <v>40-44</v>
      </c>
      <c r="D689" t="s">
        <v>7</v>
      </c>
    </row>
    <row r="690" spans="1:4">
      <c r="A690" t="s">
        <v>6</v>
      </c>
      <c r="B690">
        <v>48</v>
      </c>
      <c r="C690" t="str">
        <f>CHOOSE(MATCH(B690, {20,25,30,35,40,45,50,55,60,65,70,75,80,85}, 1), "20-24", "25-29", "30-34", "35-39", "40-44", "45-49", "50-54", "55-59", "60-64", "65-69", "70-74", "75-79", "80-84", "85+")</f>
        <v>45-49</v>
      </c>
      <c r="D690" t="s">
        <v>7</v>
      </c>
    </row>
    <row r="691" spans="1:4">
      <c r="A691" t="s">
        <v>6</v>
      </c>
      <c r="B691">
        <v>35</v>
      </c>
      <c r="C691" t="str">
        <f>CHOOSE(MATCH(B691, {20,25,30,35,40,45,50,55,60,65,70,75,80,85}, 1), "20-24", "25-29", "30-34", "35-39", "40-44", "45-49", "50-54", "55-59", "60-64", "65-69", "70-74", "75-79", "80-84", "85+")</f>
        <v>35-39</v>
      </c>
      <c r="D691" t="s">
        <v>7</v>
      </c>
    </row>
    <row r="692" spans="1:4">
      <c r="A692" t="s">
        <v>6</v>
      </c>
      <c r="B692">
        <v>55</v>
      </c>
      <c r="C692" t="str">
        <f>CHOOSE(MATCH(B692, {20,25,30,35,40,45,50,55,60,65,70,75,80,85}, 1), "20-24", "25-29", "30-34", "35-39", "40-44", "45-49", "50-54", "55-59", "60-64", "65-69", "70-74", "75-79", "80-84", "85+")</f>
        <v>55-59</v>
      </c>
      <c r="D692" t="s">
        <v>7</v>
      </c>
    </row>
    <row r="693" spans="1:4">
      <c r="A693" t="s">
        <v>6</v>
      </c>
      <c r="B693">
        <v>51</v>
      </c>
      <c r="C693" t="str">
        <f>CHOOSE(MATCH(B693, {20,25,30,35,40,45,50,55,60,65,70,75,80,85}, 1), "20-24", "25-29", "30-34", "35-39", "40-44", "45-49", "50-54", "55-59", "60-64", "65-69", "70-74", "75-79", "80-84", "85+")</f>
        <v>50-54</v>
      </c>
      <c r="D693" t="s">
        <v>8</v>
      </c>
    </row>
    <row r="694" spans="1:4">
      <c r="A694" t="s">
        <v>6</v>
      </c>
      <c r="B694">
        <v>37</v>
      </c>
      <c r="C694" t="str">
        <f>CHOOSE(MATCH(B694, {20,25,30,35,40,45,50,55,60,65,70,75,80,85}, 1), "20-24", "25-29", "30-34", "35-39", "40-44", "45-49", "50-54", "55-59", "60-64", "65-69", "70-74", "75-79", "80-84", "85+")</f>
        <v>35-39</v>
      </c>
      <c r="D694" t="s">
        <v>8</v>
      </c>
    </row>
    <row r="695" spans="1:4">
      <c r="A695" t="s">
        <v>6</v>
      </c>
      <c r="B695">
        <v>49</v>
      </c>
      <c r="C695" t="str">
        <f>CHOOSE(MATCH(B695, {20,25,30,35,40,45,50,55,60,65,70,75,80,85}, 1), "20-24", "25-29", "30-34", "35-39", "40-44", "45-49", "50-54", "55-59", "60-64", "65-69", "70-74", "75-79", "80-84", "85+")</f>
        <v>45-49</v>
      </c>
      <c r="D695" t="s">
        <v>7</v>
      </c>
    </row>
    <row r="696" spans="1:4">
      <c r="A696" t="s">
        <v>6</v>
      </c>
      <c r="B696">
        <v>25</v>
      </c>
      <c r="C696" t="str">
        <f>CHOOSE(MATCH(B696, {20,25,30,35,40,45,50,55,60,65,70,75,80,85}, 1), "20-24", "25-29", "30-34", "35-39", "40-44", "45-49", "50-54", "55-59", "60-64", "65-69", "70-74", "75-79", "80-84", "85+")</f>
        <v>25-29</v>
      </c>
      <c r="D696" t="s">
        <v>7</v>
      </c>
    </row>
    <row r="697" spans="1:4">
      <c r="A697" t="s">
        <v>6</v>
      </c>
      <c r="B697">
        <v>32</v>
      </c>
      <c r="C697" t="str">
        <f>CHOOSE(MATCH(B697, {20,25,30,35,40,45,50,55,60,65,70,75,80,85}, 1), "20-24", "25-29", "30-34", "35-39", "40-44", "45-49", "50-54", "55-59", "60-64", "65-69", "70-74", "75-79", "80-84", "85+")</f>
        <v>30-34</v>
      </c>
      <c r="D697" t="s">
        <v>8</v>
      </c>
    </row>
    <row r="698" spans="1:4">
      <c r="A698" t="s">
        <v>6</v>
      </c>
      <c r="B698">
        <v>24</v>
      </c>
      <c r="C698" t="str">
        <f>CHOOSE(MATCH(B698, {20,25,30,35,40,45,50,55,60,65,70,75,80,85}, 1), "20-24", "25-29", "30-34", "35-39", "40-44", "45-49", "50-54", "55-59", "60-64", "65-69", "70-74", "75-79", "80-84", "85+")</f>
        <v>20-24</v>
      </c>
      <c r="D698" t="s">
        <v>7</v>
      </c>
    </row>
    <row r="699" spans="1:4">
      <c r="A699" t="s">
        <v>6</v>
      </c>
      <c r="B699">
        <v>44</v>
      </c>
      <c r="C699" t="str">
        <f>CHOOSE(MATCH(B699, {20,25,30,35,40,45,50,55,60,65,70,75,80,85}, 1), "20-24", "25-29", "30-34", "35-39", "40-44", "45-49", "50-54", "55-59", "60-64", "65-69", "70-74", "75-79", "80-84", "85+")</f>
        <v>40-44</v>
      </c>
      <c r="D699" t="s">
        <v>7</v>
      </c>
    </row>
    <row r="700" spans="1:4">
      <c r="A700" t="s">
        <v>6</v>
      </c>
      <c r="B700">
        <v>30</v>
      </c>
      <c r="C700" t="str">
        <f>CHOOSE(MATCH(B700, {20,25,30,35,40,45,50,55,60,65,70,75,80,85}, 1), "20-24", "25-29", "30-34", "35-39", "40-44", "45-49", "50-54", "55-59", "60-64", "65-69", "70-74", "75-79", "80-84", "85+")</f>
        <v>30-34</v>
      </c>
      <c r="D700" t="s">
        <v>8</v>
      </c>
    </row>
    <row r="701" spans="1:4">
      <c r="A701" t="s">
        <v>6</v>
      </c>
      <c r="B701">
        <v>29</v>
      </c>
      <c r="C701" t="str">
        <f>CHOOSE(MATCH(B701, {20,25,30,35,40,45,50,55,60,65,70,75,80,85}, 1), "20-24", "25-29", "30-34", "35-39", "40-44", "45-49", "50-54", "55-59", "60-64", "65-69", "70-74", "75-79", "80-84", "85+")</f>
        <v>25-29</v>
      </c>
      <c r="D701" t="s">
        <v>7</v>
      </c>
    </row>
    <row r="702" spans="1:4">
      <c r="A702" t="s">
        <v>6</v>
      </c>
      <c r="B702">
        <v>47</v>
      </c>
      <c r="C702" t="str">
        <f>CHOOSE(MATCH(B702, {20,25,30,35,40,45,50,55,60,65,70,75,80,85}, 1), "20-24", "25-29", "30-34", "35-39", "40-44", "45-49", "50-54", "55-59", "60-64", "65-69", "70-74", "75-79", "80-84", "85+")</f>
        <v>45-49</v>
      </c>
      <c r="D702" t="s">
        <v>7</v>
      </c>
    </row>
    <row r="703" spans="1:4">
      <c r="A703" t="s">
        <v>6</v>
      </c>
      <c r="B703">
        <v>28</v>
      </c>
      <c r="C703" t="str">
        <f>CHOOSE(MATCH(B703, {20,25,30,35,40,45,50,55,60,65,70,75,80,85}, 1), "20-24", "25-29", "30-34", "35-39", "40-44", "45-49", "50-54", "55-59", "60-64", "65-69", "70-74", "75-79", "80-84", "85+")</f>
        <v>25-29</v>
      </c>
      <c r="D703" t="s">
        <v>8</v>
      </c>
    </row>
    <row r="704" spans="1:4">
      <c r="A704" t="s">
        <v>6</v>
      </c>
      <c r="B704">
        <v>27</v>
      </c>
      <c r="C704" t="str">
        <f>CHOOSE(MATCH(B704, {20,25,30,35,40,45,50,55,60,65,70,75,80,85}, 1), "20-24", "25-29", "30-34", "35-39", "40-44", "45-49", "50-54", "55-59", "60-64", "65-69", "70-74", "75-79", "80-84", "85+")</f>
        <v>25-29</v>
      </c>
      <c r="D704" t="s">
        <v>7</v>
      </c>
    </row>
    <row r="705" spans="1:4">
      <c r="A705" t="s">
        <v>6</v>
      </c>
      <c r="B705">
        <v>37</v>
      </c>
      <c r="C705" t="str">
        <f>CHOOSE(MATCH(B705, {20,25,30,35,40,45,50,55,60,65,70,75,80,85}, 1), "20-24", "25-29", "30-34", "35-39", "40-44", "45-49", "50-54", "55-59", "60-64", "65-69", "70-74", "75-79", "80-84", "85+")</f>
        <v>35-39</v>
      </c>
      <c r="D705" t="s">
        <v>7</v>
      </c>
    </row>
    <row r="706" spans="1:4">
      <c r="A706" t="s">
        <v>6</v>
      </c>
      <c r="B706">
        <v>53</v>
      </c>
      <c r="C706" t="str">
        <f>CHOOSE(MATCH(B706, {20,25,30,35,40,45,50,55,60,65,70,75,80,85}, 1), "20-24", "25-29", "30-34", "35-39", "40-44", "45-49", "50-54", "55-59", "60-64", "65-69", "70-74", "75-79", "80-84", "85+")</f>
        <v>50-54</v>
      </c>
      <c r="D706" t="s">
        <v>7</v>
      </c>
    </row>
    <row r="707" spans="1:4">
      <c r="A707" t="s">
        <v>6</v>
      </c>
      <c r="B707">
        <v>33</v>
      </c>
      <c r="C707" t="str">
        <f>CHOOSE(MATCH(B707, {20,25,30,35,40,45,50,55,60,65,70,75,80,85}, 1), "20-24", "25-29", "30-34", "35-39", "40-44", "45-49", "50-54", "55-59", "60-64", "65-69", "70-74", "75-79", "80-84", "85+")</f>
        <v>30-34</v>
      </c>
      <c r="D707" t="s">
        <v>8</v>
      </c>
    </row>
    <row r="708" spans="1:4">
      <c r="A708" t="s">
        <v>6</v>
      </c>
      <c r="B708">
        <v>45</v>
      </c>
      <c r="C708" t="str">
        <f>CHOOSE(MATCH(B708, {20,25,30,35,40,45,50,55,60,65,70,75,80,85}, 1), "20-24", "25-29", "30-34", "35-39", "40-44", "45-49", "50-54", "55-59", "60-64", "65-69", "70-74", "75-79", "80-84", "85+")</f>
        <v>45-49</v>
      </c>
      <c r="D708" t="s">
        <v>7</v>
      </c>
    </row>
    <row r="709" spans="1:4">
      <c r="A709" t="s">
        <v>6</v>
      </c>
      <c r="B709">
        <v>40</v>
      </c>
      <c r="C709" t="str">
        <f>CHOOSE(MATCH(B709, {20,25,30,35,40,45,50,55,60,65,70,75,80,85}, 1), "20-24", "25-29", "30-34", "35-39", "40-44", "45-49", "50-54", "55-59", "60-64", "65-69", "70-74", "75-79", "80-84", "85+")</f>
        <v>40-44</v>
      </c>
      <c r="D709" t="s">
        <v>8</v>
      </c>
    </row>
    <row r="710" spans="1:4">
      <c r="A710" t="s">
        <v>6</v>
      </c>
      <c r="B710">
        <v>49</v>
      </c>
      <c r="C710" t="str">
        <f>CHOOSE(MATCH(B710, {20,25,30,35,40,45,50,55,60,65,70,75,80,85}, 1), "20-24", "25-29", "30-34", "35-39", "40-44", "45-49", "50-54", "55-59", "60-64", "65-69", "70-74", "75-79", "80-84", "85+")</f>
        <v>45-49</v>
      </c>
      <c r="D710" t="s">
        <v>7</v>
      </c>
    </row>
    <row r="711" spans="1:4">
      <c r="A711" t="s">
        <v>6</v>
      </c>
      <c r="B711">
        <v>37</v>
      </c>
      <c r="C711" t="str">
        <f>CHOOSE(MATCH(B711, {20,25,30,35,40,45,50,55,60,65,70,75,80,85}, 1), "20-24", "25-29", "30-34", "35-39", "40-44", "45-49", "50-54", "55-59", "60-64", "65-69", "70-74", "75-79", "80-84", "85+")</f>
        <v>35-39</v>
      </c>
      <c r="D711" t="s">
        <v>8</v>
      </c>
    </row>
    <row r="712" spans="1:4">
      <c r="A712" t="s">
        <v>6</v>
      </c>
      <c r="B712">
        <v>73</v>
      </c>
      <c r="C712" t="str">
        <f>CHOOSE(MATCH(B712, {20,25,30,35,40,45,50,55,60,65,70,75,80,85}, 1), "20-24", "25-29", "30-34", "35-39", "40-44", "45-49", "50-54", "55-59", "60-64", "65-69", "70-74", "75-79", "80-84", "85+")</f>
        <v>70-74</v>
      </c>
      <c r="D712" t="s">
        <v>7</v>
      </c>
    </row>
    <row r="713" spans="1:4">
      <c r="A713" t="s">
        <v>6</v>
      </c>
      <c r="B713">
        <v>22</v>
      </c>
      <c r="C713" t="str">
        <f>CHOOSE(MATCH(B713, {20,25,30,35,40,45,50,55,60,65,70,75,80,85}, 1), "20-24", "25-29", "30-34", "35-39", "40-44", "45-49", "50-54", "55-59", "60-64", "65-69", "70-74", "75-79", "80-84", "85+")</f>
        <v>20-24</v>
      </c>
      <c r="D713" t="s">
        <v>7</v>
      </c>
    </row>
    <row r="714" spans="1:4">
      <c r="A714" t="s">
        <v>6</v>
      </c>
      <c r="B714">
        <v>44</v>
      </c>
      <c r="C714" t="str">
        <f>CHOOSE(MATCH(B714, {20,25,30,35,40,45,50,55,60,65,70,75,80,85}, 1), "20-24", "25-29", "30-34", "35-39", "40-44", "45-49", "50-54", "55-59", "60-64", "65-69", "70-74", "75-79", "80-84", "85+")</f>
        <v>40-44</v>
      </c>
      <c r="D714" t="s">
        <v>8</v>
      </c>
    </row>
    <row r="715" spans="1:4">
      <c r="A715" t="s">
        <v>6</v>
      </c>
      <c r="B715">
        <v>55</v>
      </c>
      <c r="C715" t="str">
        <f>CHOOSE(MATCH(B715, {20,25,30,35,40,45,50,55,60,65,70,75,80,85}, 1), "20-24", "25-29", "30-34", "35-39", "40-44", "45-49", "50-54", "55-59", "60-64", "65-69", "70-74", "75-79", "80-84", "85+")</f>
        <v>55-59</v>
      </c>
      <c r="D715" t="s">
        <v>8</v>
      </c>
    </row>
    <row r="716" spans="1:4">
      <c r="A716" t="s">
        <v>6</v>
      </c>
      <c r="B716">
        <v>21</v>
      </c>
      <c r="C716" t="str">
        <f>CHOOSE(MATCH(B716, {20,25,30,35,40,45,50,55,60,65,70,75,80,85}, 1), "20-24", "25-29", "30-34", "35-39", "40-44", "45-49", "50-54", "55-59", "60-64", "65-69", "70-74", "75-79", "80-84", "85+")</f>
        <v>20-24</v>
      </c>
      <c r="D716" t="s">
        <v>7</v>
      </c>
    </row>
    <row r="717" spans="1:4">
      <c r="A717" t="s">
        <v>6</v>
      </c>
      <c r="B717">
        <v>26</v>
      </c>
      <c r="C717" t="str">
        <f>CHOOSE(MATCH(B717, {20,25,30,35,40,45,50,55,60,65,70,75,80,85}, 1), "20-24", "25-29", "30-34", "35-39", "40-44", "45-49", "50-54", "55-59", "60-64", "65-69", "70-74", "75-79", "80-84", "85+")</f>
        <v>25-29</v>
      </c>
      <c r="D717" t="s">
        <v>7</v>
      </c>
    </row>
    <row r="718" spans="1:4">
      <c r="A718" t="s">
        <v>6</v>
      </c>
      <c r="B718">
        <v>71</v>
      </c>
      <c r="C718" t="str">
        <f>CHOOSE(MATCH(B718, {20,25,30,35,40,45,50,55,60,65,70,75,80,85}, 1), "20-24", "25-29", "30-34", "35-39", "40-44", "45-49", "50-54", "55-59", "60-64", "65-69", "70-74", "75-79", "80-84", "85+")</f>
        <v>70-74</v>
      </c>
      <c r="D718" t="s">
        <v>8</v>
      </c>
    </row>
    <row r="719" spans="1:4">
      <c r="A719" t="s">
        <v>6</v>
      </c>
      <c r="B719">
        <v>45</v>
      </c>
      <c r="C719" t="str">
        <f>CHOOSE(MATCH(B719, {20,25,30,35,40,45,50,55,60,65,70,75,80,85}, 1), "20-24", "25-29", "30-34", "35-39", "40-44", "45-49", "50-54", "55-59", "60-64", "65-69", "70-74", "75-79", "80-84", "85+")</f>
        <v>45-49</v>
      </c>
      <c r="D719" t="s">
        <v>7</v>
      </c>
    </row>
    <row r="720" spans="1:4">
      <c r="A720" t="s">
        <v>6</v>
      </c>
      <c r="B720">
        <v>34</v>
      </c>
      <c r="C720" t="str">
        <f>CHOOSE(MATCH(B720, {20,25,30,35,40,45,50,55,60,65,70,75,80,85}, 1), "20-24", "25-29", "30-34", "35-39", "40-44", "45-49", "50-54", "55-59", "60-64", "65-69", "70-74", "75-79", "80-84", "85+")</f>
        <v>30-34</v>
      </c>
      <c r="D720" t="s">
        <v>8</v>
      </c>
    </row>
    <row r="721" spans="1:4">
      <c r="A721" t="s">
        <v>6</v>
      </c>
      <c r="B721">
        <v>29</v>
      </c>
      <c r="C721" t="str">
        <f>CHOOSE(MATCH(B721, {20,25,30,35,40,45,50,55,60,65,70,75,80,85}, 1), "20-24", "25-29", "30-34", "35-39", "40-44", "45-49", "50-54", "55-59", "60-64", "65-69", "70-74", "75-79", "80-84", "85+")</f>
        <v>25-29</v>
      </c>
      <c r="D721" t="s">
        <v>7</v>
      </c>
    </row>
    <row r="722" spans="1:4">
      <c r="A722" t="s">
        <v>6</v>
      </c>
      <c r="B722">
        <v>29</v>
      </c>
      <c r="C722" t="str">
        <f>CHOOSE(MATCH(B722, {20,25,30,35,40,45,50,55,60,65,70,75,80,85}, 1), "20-24", "25-29", "30-34", "35-39", "40-44", "45-49", "50-54", "55-59", "60-64", "65-69", "70-74", "75-79", "80-84", "85+")</f>
        <v>25-29</v>
      </c>
      <c r="D722" t="s">
        <v>7</v>
      </c>
    </row>
    <row r="723" spans="1:4">
      <c r="A723" t="s">
        <v>6</v>
      </c>
      <c r="B723">
        <v>54</v>
      </c>
      <c r="C723" t="str">
        <f>CHOOSE(MATCH(B723, {20,25,30,35,40,45,50,55,60,65,70,75,80,85}, 1), "20-24", "25-29", "30-34", "35-39", "40-44", "45-49", "50-54", "55-59", "60-64", "65-69", "70-74", "75-79", "80-84", "85+")</f>
        <v>50-54</v>
      </c>
      <c r="D723" t="s">
        <v>8</v>
      </c>
    </row>
    <row r="724" spans="1:4">
      <c r="A724" t="s">
        <v>6</v>
      </c>
      <c r="B724">
        <v>49</v>
      </c>
      <c r="C724" t="str">
        <f>CHOOSE(MATCH(B724, {20,25,30,35,40,45,50,55,60,65,70,75,80,85}, 1), "20-24", "25-29", "30-34", "35-39", "40-44", "45-49", "50-54", "55-59", "60-64", "65-69", "70-74", "75-79", "80-84", "85+")</f>
        <v>45-49</v>
      </c>
      <c r="D724" t="s">
        <v>8</v>
      </c>
    </row>
    <row r="725" spans="1:4">
      <c r="A725" t="s">
        <v>6</v>
      </c>
      <c r="B725">
        <v>23</v>
      </c>
      <c r="C725" t="str">
        <f>CHOOSE(MATCH(B725, {20,25,30,35,40,45,50,55,60,65,70,75,80,85}, 1), "20-24", "25-29", "30-34", "35-39", "40-44", "45-49", "50-54", "55-59", "60-64", "65-69", "70-74", "75-79", "80-84", "85+")</f>
        <v>20-24</v>
      </c>
      <c r="D725" t="s">
        <v>7</v>
      </c>
    </row>
    <row r="726" spans="1:4">
      <c r="A726" t="s">
        <v>6</v>
      </c>
      <c r="B726">
        <v>40</v>
      </c>
      <c r="C726" t="str">
        <f>CHOOSE(MATCH(B726, {20,25,30,35,40,45,50,55,60,65,70,75,80,85}, 1), "20-24", "25-29", "30-34", "35-39", "40-44", "45-49", "50-54", "55-59", "60-64", "65-69", "70-74", "75-79", "80-84", "85+")</f>
        <v>40-44</v>
      </c>
      <c r="D726" t="s">
        <v>8</v>
      </c>
    </row>
    <row r="727" spans="1:4">
      <c r="A727" t="s">
        <v>6</v>
      </c>
      <c r="B727">
        <v>29</v>
      </c>
      <c r="C727" t="str">
        <f>CHOOSE(MATCH(B727, {20,25,30,35,40,45,50,55,60,65,70,75,80,85}, 1), "20-24", "25-29", "30-34", "35-39", "40-44", "45-49", "50-54", "55-59", "60-64", "65-69", "70-74", "75-79", "80-84", "85+")</f>
        <v>25-29</v>
      </c>
      <c r="D727" t="s">
        <v>7</v>
      </c>
    </row>
    <row r="728" spans="1:4">
      <c r="A728" t="s">
        <v>6</v>
      </c>
      <c r="B728">
        <v>32</v>
      </c>
      <c r="C728" t="str">
        <f>CHOOSE(MATCH(B728, {20,25,30,35,40,45,50,55,60,65,70,75,80,85}, 1), "20-24", "25-29", "30-34", "35-39", "40-44", "45-49", "50-54", "55-59", "60-64", "65-69", "70-74", "75-79", "80-84", "85+")</f>
        <v>30-34</v>
      </c>
      <c r="D728" t="s">
        <v>8</v>
      </c>
    </row>
    <row r="729" spans="1:4">
      <c r="A729" t="s">
        <v>6</v>
      </c>
      <c r="B729">
        <v>51</v>
      </c>
      <c r="C729" t="str">
        <f>CHOOSE(MATCH(B729, {20,25,30,35,40,45,50,55,60,65,70,75,80,85}, 1), "20-24", "25-29", "30-34", "35-39", "40-44", "45-49", "50-54", "55-59", "60-64", "65-69", "70-74", "75-79", "80-84", "85+")</f>
        <v>50-54</v>
      </c>
      <c r="D729" t="s">
        <v>7</v>
      </c>
    </row>
    <row r="730" spans="1:4">
      <c r="A730" t="s">
        <v>6</v>
      </c>
      <c r="B730">
        <v>39</v>
      </c>
      <c r="C730" t="str">
        <f>CHOOSE(MATCH(B730, {20,25,30,35,40,45,50,55,60,65,70,75,80,85}, 1), "20-24", "25-29", "30-34", "35-39", "40-44", "45-49", "50-54", "55-59", "60-64", "65-69", "70-74", "75-79", "80-84", "85+")</f>
        <v>35-39</v>
      </c>
      <c r="D730" t="s">
        <v>7</v>
      </c>
    </row>
    <row r="731" spans="1:4">
      <c r="A731" t="s">
        <v>6</v>
      </c>
      <c r="B731">
        <v>60</v>
      </c>
      <c r="C731" t="str">
        <f>CHOOSE(MATCH(B731, {20,25,30,35,40,45,50,55,60,65,70,75,80,85}, 1), "20-24", "25-29", "30-34", "35-39", "40-44", "45-49", "50-54", "55-59", "60-64", "65-69", "70-74", "75-79", "80-84", "85+")</f>
        <v>60-64</v>
      </c>
      <c r="D731" t="s">
        <v>8</v>
      </c>
    </row>
    <row r="732" spans="1:4">
      <c r="A732" t="s">
        <v>6</v>
      </c>
      <c r="B732">
        <v>20</v>
      </c>
      <c r="C732" t="str">
        <f>CHOOSE(MATCH(B732, {20,25,30,35,40,45,50,55,60,65,70,75,80,85}, 1), "20-24", "25-29", "30-34", "35-39", "40-44", "45-49", "50-54", "55-59", "60-64", "65-69", "70-74", "75-79", "80-84", "85+")</f>
        <v>20-24</v>
      </c>
      <c r="D732" t="s">
        <v>7</v>
      </c>
    </row>
    <row r="733" spans="1:4">
      <c r="A733" t="s">
        <v>6</v>
      </c>
      <c r="B733">
        <v>26</v>
      </c>
      <c r="C733" t="str">
        <f>CHOOSE(MATCH(B733, {20,25,30,35,40,45,50,55,60,65,70,75,80,85}, 1), "20-24", "25-29", "30-34", "35-39", "40-44", "45-49", "50-54", "55-59", "60-64", "65-69", "70-74", "75-79", "80-84", "85+")</f>
        <v>25-29</v>
      </c>
      <c r="D733" t="s">
        <v>8</v>
      </c>
    </row>
    <row r="734" spans="1:4">
      <c r="A734" t="s">
        <v>6</v>
      </c>
      <c r="B734">
        <v>59</v>
      </c>
      <c r="C734" t="str">
        <f>CHOOSE(MATCH(B734, {20,25,30,35,40,45,50,55,60,65,70,75,80,85}, 1), "20-24", "25-29", "30-34", "35-39", "40-44", "45-49", "50-54", "55-59", "60-64", "65-69", "70-74", "75-79", "80-84", "85+")</f>
        <v>55-59</v>
      </c>
      <c r="D734" t="s">
        <v>8</v>
      </c>
    </row>
    <row r="735" spans="1:4">
      <c r="A735" t="s">
        <v>6</v>
      </c>
      <c r="B735">
        <v>54</v>
      </c>
      <c r="C735" t="str">
        <f>CHOOSE(MATCH(B735, {20,25,30,35,40,45,50,55,60,65,70,75,80,85}, 1), "20-24", "25-29", "30-34", "35-39", "40-44", "45-49", "50-54", "55-59", "60-64", "65-69", "70-74", "75-79", "80-84", "85+")</f>
        <v>50-54</v>
      </c>
      <c r="D735" t="s">
        <v>8</v>
      </c>
    </row>
    <row r="736" spans="1:4">
      <c r="A736" t="s">
        <v>6</v>
      </c>
      <c r="B736">
        <v>29</v>
      </c>
      <c r="C736" t="str">
        <f>CHOOSE(MATCH(B736, {20,25,30,35,40,45,50,55,60,65,70,75,80,85}, 1), "20-24", "25-29", "30-34", "35-39", "40-44", "45-49", "50-54", "55-59", "60-64", "65-69", "70-74", "75-79", "80-84", "85+")</f>
        <v>25-29</v>
      </c>
      <c r="D736" t="s">
        <v>8</v>
      </c>
    </row>
    <row r="737" spans="1:4">
      <c r="A737" t="s">
        <v>6</v>
      </c>
      <c r="B737">
        <v>32</v>
      </c>
      <c r="C737" t="str">
        <f>CHOOSE(MATCH(B737, {20,25,30,35,40,45,50,55,60,65,70,75,80,85}, 1), "20-24", "25-29", "30-34", "35-39", "40-44", "45-49", "50-54", "55-59", "60-64", "65-69", "70-74", "75-79", "80-84", "85+")</f>
        <v>30-34</v>
      </c>
      <c r="D737" t="s">
        <v>7</v>
      </c>
    </row>
    <row r="738" spans="1:4">
      <c r="A738" t="s">
        <v>6</v>
      </c>
      <c r="B738">
        <v>33</v>
      </c>
      <c r="C738" t="str">
        <f>CHOOSE(MATCH(B738, {20,25,30,35,40,45,50,55,60,65,70,75,80,85}, 1), "20-24", "25-29", "30-34", "35-39", "40-44", "45-49", "50-54", "55-59", "60-64", "65-69", "70-74", "75-79", "80-84", "85+")</f>
        <v>30-34</v>
      </c>
      <c r="D738" t="s">
        <v>8</v>
      </c>
    </row>
    <row r="739" spans="1:4">
      <c r="A739" t="s">
        <v>6</v>
      </c>
      <c r="B739">
        <v>27</v>
      </c>
      <c r="C739" t="str">
        <f>CHOOSE(MATCH(B739, {20,25,30,35,40,45,50,55,60,65,70,75,80,85}, 1), "20-24", "25-29", "30-34", "35-39", "40-44", "45-49", "50-54", "55-59", "60-64", "65-69", "70-74", "75-79", "80-84", "85+")</f>
        <v>25-29</v>
      </c>
      <c r="D739" t="s">
        <v>7</v>
      </c>
    </row>
    <row r="740" spans="1:4">
      <c r="A740" t="s">
        <v>6</v>
      </c>
      <c r="B740">
        <v>35</v>
      </c>
      <c r="C740" t="str">
        <f>CHOOSE(MATCH(B740, {20,25,30,35,40,45,50,55,60,65,70,75,80,85}, 1), "20-24", "25-29", "30-34", "35-39", "40-44", "45-49", "50-54", "55-59", "60-64", "65-69", "70-74", "75-79", "80-84", "85+")</f>
        <v>35-39</v>
      </c>
      <c r="D740" t="s">
        <v>7</v>
      </c>
    </row>
    <row r="741" spans="1:4">
      <c r="A741" t="s">
        <v>6</v>
      </c>
      <c r="B741">
        <v>39</v>
      </c>
      <c r="C741" t="str">
        <f>CHOOSE(MATCH(B741, {20,25,30,35,40,45,50,55,60,65,70,75,80,85}, 1), "20-24", "25-29", "30-34", "35-39", "40-44", "45-49", "50-54", "55-59", "60-64", "65-69", "70-74", "75-79", "80-84", "85+")</f>
        <v>35-39</v>
      </c>
      <c r="D741" t="s">
        <v>7</v>
      </c>
    </row>
    <row r="742" spans="1:4">
      <c r="A742" t="s">
        <v>6</v>
      </c>
      <c r="B742">
        <v>38</v>
      </c>
      <c r="C742" t="str">
        <f>CHOOSE(MATCH(B742, {20,25,30,35,40,45,50,55,60,65,70,75,80,85}, 1), "20-24", "25-29", "30-34", "35-39", "40-44", "45-49", "50-54", "55-59", "60-64", "65-69", "70-74", "75-79", "80-84", "85+")</f>
        <v>35-39</v>
      </c>
      <c r="D742" t="s">
        <v>7</v>
      </c>
    </row>
    <row r="743" spans="1:4">
      <c r="A743" t="s">
        <v>6</v>
      </c>
      <c r="B743">
        <v>44</v>
      </c>
      <c r="C743" t="str">
        <f>CHOOSE(MATCH(B743, {20,25,30,35,40,45,50,55,60,65,70,75,80,85}, 1), "20-24", "25-29", "30-34", "35-39", "40-44", "45-49", "50-54", "55-59", "60-64", "65-69", "70-74", "75-79", "80-84", "85+")</f>
        <v>40-44</v>
      </c>
      <c r="D743" t="s">
        <v>8</v>
      </c>
    </row>
    <row r="744" spans="1:4">
      <c r="A744" t="s">
        <v>6</v>
      </c>
      <c r="B744">
        <v>67</v>
      </c>
      <c r="C744" t="str">
        <f>CHOOSE(MATCH(B744, {20,25,30,35,40,45,50,55,60,65,70,75,80,85}, 1), "20-24", "25-29", "30-34", "35-39", "40-44", "45-49", "50-54", "55-59", "60-64", "65-69", "70-74", "75-79", "80-84", "85+")</f>
        <v>65-69</v>
      </c>
      <c r="D744" t="s">
        <v>7</v>
      </c>
    </row>
    <row r="745" spans="1:4">
      <c r="A745" t="s">
        <v>6</v>
      </c>
      <c r="B745">
        <v>37</v>
      </c>
      <c r="C745" t="str">
        <f>CHOOSE(MATCH(B745, {20,25,30,35,40,45,50,55,60,65,70,75,80,85}, 1), "20-24", "25-29", "30-34", "35-39", "40-44", "45-49", "50-54", "55-59", "60-64", "65-69", "70-74", "75-79", "80-84", "85+")</f>
        <v>35-39</v>
      </c>
      <c r="D745" t="s">
        <v>7</v>
      </c>
    </row>
    <row r="746" spans="1:4">
      <c r="A746" t="s">
        <v>6</v>
      </c>
      <c r="B746">
        <v>39</v>
      </c>
      <c r="C746" t="str">
        <f>CHOOSE(MATCH(B746, {20,25,30,35,40,45,50,55,60,65,70,75,80,85}, 1), "20-24", "25-29", "30-34", "35-39", "40-44", "45-49", "50-54", "55-59", "60-64", "65-69", "70-74", "75-79", "80-84", "85+")</f>
        <v>35-39</v>
      </c>
      <c r="D746" t="s">
        <v>7</v>
      </c>
    </row>
    <row r="747" spans="1:4">
      <c r="A747" t="s">
        <v>6</v>
      </c>
      <c r="B747">
        <v>54</v>
      </c>
      <c r="C747" t="str">
        <f>CHOOSE(MATCH(B747, {20,25,30,35,40,45,50,55,60,65,70,75,80,85}, 1), "20-24", "25-29", "30-34", "35-39", "40-44", "45-49", "50-54", "55-59", "60-64", "65-69", "70-74", "75-79", "80-84", "85+")</f>
        <v>50-54</v>
      </c>
      <c r="D747" t="s">
        <v>7</v>
      </c>
    </row>
    <row r="748" spans="1:4">
      <c r="A748" t="s">
        <v>6</v>
      </c>
      <c r="B748">
        <v>57</v>
      </c>
      <c r="C748" t="str">
        <f>CHOOSE(MATCH(B748, {20,25,30,35,40,45,50,55,60,65,70,75,80,85}, 1), "20-24", "25-29", "30-34", "35-39", "40-44", "45-49", "50-54", "55-59", "60-64", "65-69", "70-74", "75-79", "80-84", "85+")</f>
        <v>55-59</v>
      </c>
      <c r="D748" t="s">
        <v>8</v>
      </c>
    </row>
    <row r="749" spans="1:4">
      <c r="A749" t="s">
        <v>6</v>
      </c>
      <c r="B749">
        <v>27</v>
      </c>
      <c r="C749" t="str">
        <f>CHOOSE(MATCH(B749, {20,25,30,35,40,45,50,55,60,65,70,75,80,85}, 1), "20-24", "25-29", "30-34", "35-39", "40-44", "45-49", "50-54", "55-59", "60-64", "65-69", "70-74", "75-79", "80-84", "85+")</f>
        <v>25-29</v>
      </c>
      <c r="D749" t="s">
        <v>7</v>
      </c>
    </row>
    <row r="750" spans="1:4">
      <c r="A750" t="s">
        <v>6</v>
      </c>
      <c r="B750">
        <v>26</v>
      </c>
      <c r="C750" t="str">
        <f>CHOOSE(MATCH(B750, {20,25,30,35,40,45,50,55,60,65,70,75,80,85}, 1), "20-24", "25-29", "30-34", "35-39", "40-44", "45-49", "50-54", "55-59", "60-64", "65-69", "70-74", "75-79", "80-84", "85+")</f>
        <v>25-29</v>
      </c>
      <c r="D750" t="s">
        <v>7</v>
      </c>
    </row>
    <row r="751" spans="1:4">
      <c r="A751" t="s">
        <v>6</v>
      </c>
      <c r="B751">
        <v>37</v>
      </c>
      <c r="C751" t="str">
        <f>CHOOSE(MATCH(B751, {20,25,30,35,40,45,50,55,60,65,70,75,80,85}, 1), "20-24", "25-29", "30-34", "35-39", "40-44", "45-49", "50-54", "55-59", "60-64", "65-69", "70-74", "75-79", "80-84", "85+")</f>
        <v>35-39</v>
      </c>
      <c r="D751" t="s">
        <v>8</v>
      </c>
    </row>
    <row r="752" spans="1:4">
      <c r="A752" t="s">
        <v>6</v>
      </c>
      <c r="B752">
        <v>36</v>
      </c>
      <c r="C752" t="str">
        <f>CHOOSE(MATCH(B752, {20,25,30,35,40,45,50,55,60,65,70,75,80,85}, 1), "20-24", "25-29", "30-34", "35-39", "40-44", "45-49", "50-54", "55-59", "60-64", "65-69", "70-74", "75-79", "80-84", "85+")</f>
        <v>35-39</v>
      </c>
      <c r="D752" t="s">
        <v>8</v>
      </c>
    </row>
    <row r="753" spans="1:4">
      <c r="A753" t="s">
        <v>6</v>
      </c>
      <c r="B753">
        <v>77</v>
      </c>
      <c r="C753" t="str">
        <f>CHOOSE(MATCH(B753, {20,25,30,35,40,45,50,55,60,65,70,75,80,85}, 1), "20-24", "25-29", "30-34", "35-39", "40-44", "45-49", "50-54", "55-59", "60-64", "65-69", "70-74", "75-79", "80-84", "85+")</f>
        <v>75-79</v>
      </c>
      <c r="D753" t="s">
        <v>8</v>
      </c>
    </row>
    <row r="754" spans="1:4">
      <c r="A754" t="s">
        <v>6</v>
      </c>
      <c r="B754">
        <v>33</v>
      </c>
      <c r="C754" t="str">
        <f>CHOOSE(MATCH(B754, {20,25,30,35,40,45,50,55,60,65,70,75,80,85}, 1), "20-24", "25-29", "30-34", "35-39", "40-44", "45-49", "50-54", "55-59", "60-64", "65-69", "70-74", "75-79", "80-84", "85+")</f>
        <v>30-34</v>
      </c>
      <c r="D754" t="s">
        <v>7</v>
      </c>
    </row>
    <row r="755" spans="1:4">
      <c r="A755" t="s">
        <v>6</v>
      </c>
      <c r="B755">
        <v>43</v>
      </c>
      <c r="C755" t="str">
        <f>CHOOSE(MATCH(B755, {20,25,30,35,40,45,50,55,60,65,70,75,80,85}, 1), "20-24", "25-29", "30-34", "35-39", "40-44", "45-49", "50-54", "55-59", "60-64", "65-69", "70-74", "75-79", "80-84", "85+")</f>
        <v>40-44</v>
      </c>
      <c r="D755" t="s">
        <v>7</v>
      </c>
    </row>
    <row r="756" spans="1:4">
      <c r="A756" t="s">
        <v>6</v>
      </c>
      <c r="B756">
        <v>33</v>
      </c>
      <c r="C756" t="str">
        <f>CHOOSE(MATCH(B756, {20,25,30,35,40,45,50,55,60,65,70,75,80,85}, 1), "20-24", "25-29", "30-34", "35-39", "40-44", "45-49", "50-54", "55-59", "60-64", "65-69", "70-74", "75-79", "80-84", "85+")</f>
        <v>30-34</v>
      </c>
      <c r="D756" t="s">
        <v>8</v>
      </c>
    </row>
    <row r="757" spans="1:4">
      <c r="A757" t="s">
        <v>6</v>
      </c>
      <c r="B757">
        <v>20</v>
      </c>
      <c r="C757" t="str">
        <f>CHOOSE(MATCH(B757, {20,25,30,35,40,45,50,55,60,65,70,75,80,85}, 1), "20-24", "25-29", "30-34", "35-39", "40-44", "45-49", "50-54", "55-59", "60-64", "65-69", "70-74", "75-79", "80-84", "85+")</f>
        <v>20-24</v>
      </c>
      <c r="D757" t="s">
        <v>8</v>
      </c>
    </row>
    <row r="758" spans="1:4">
      <c r="A758" t="s">
        <v>6</v>
      </c>
      <c r="B758">
        <v>28</v>
      </c>
      <c r="C758" t="str">
        <f>CHOOSE(MATCH(B758, {20,25,30,35,40,45,50,55,60,65,70,75,80,85}, 1), "20-24", "25-29", "30-34", "35-39", "40-44", "45-49", "50-54", "55-59", "60-64", "65-69", "70-74", "75-79", "80-84", "85+")</f>
        <v>25-29</v>
      </c>
      <c r="D758" t="s">
        <v>7</v>
      </c>
    </row>
    <row r="759" spans="1:4">
      <c r="A759" t="s">
        <v>6</v>
      </c>
      <c r="B759">
        <v>30</v>
      </c>
      <c r="C759" t="str">
        <f>CHOOSE(MATCH(B759, {20,25,30,35,40,45,50,55,60,65,70,75,80,85}, 1), "20-24", "25-29", "30-34", "35-39", "40-44", "45-49", "50-54", "55-59", "60-64", "65-69", "70-74", "75-79", "80-84", "85+")</f>
        <v>30-34</v>
      </c>
      <c r="D759" t="s">
        <v>7</v>
      </c>
    </row>
    <row r="760" spans="1:4">
      <c r="A760" t="s">
        <v>6</v>
      </c>
      <c r="B760">
        <v>61</v>
      </c>
      <c r="C760" t="str">
        <f>CHOOSE(MATCH(B760, {20,25,30,35,40,45,50,55,60,65,70,75,80,85}, 1), "20-24", "25-29", "30-34", "35-39", "40-44", "45-49", "50-54", "55-59", "60-64", "65-69", "70-74", "75-79", "80-84", "85+")</f>
        <v>60-64</v>
      </c>
      <c r="D760" t="s">
        <v>8</v>
      </c>
    </row>
    <row r="761" spans="1:4">
      <c r="A761" t="s">
        <v>6</v>
      </c>
      <c r="B761">
        <v>42</v>
      </c>
      <c r="C761" t="str">
        <f>CHOOSE(MATCH(B761, {20,25,30,35,40,45,50,55,60,65,70,75,80,85}, 1), "20-24", "25-29", "30-34", "35-39", "40-44", "45-49", "50-54", "55-59", "60-64", "65-69", "70-74", "75-79", "80-84", "85+")</f>
        <v>40-44</v>
      </c>
      <c r="D761" t="s">
        <v>8</v>
      </c>
    </row>
    <row r="762" spans="1:4">
      <c r="A762" t="s">
        <v>6</v>
      </c>
      <c r="B762">
        <v>34</v>
      </c>
      <c r="C762" t="str">
        <f>CHOOSE(MATCH(B762, {20,25,30,35,40,45,50,55,60,65,70,75,80,85}, 1), "20-24", "25-29", "30-34", "35-39", "40-44", "45-49", "50-54", "55-59", "60-64", "65-69", "70-74", "75-79", "80-84", "85+")</f>
        <v>30-34</v>
      </c>
      <c r="D762" t="s">
        <v>7</v>
      </c>
    </row>
    <row r="763" spans="1:4">
      <c r="A763" t="s">
        <v>6</v>
      </c>
      <c r="B763">
        <v>32</v>
      </c>
      <c r="C763" t="str">
        <f>CHOOSE(MATCH(B763, {20,25,30,35,40,45,50,55,60,65,70,75,80,85}, 1), "20-24", "25-29", "30-34", "35-39", "40-44", "45-49", "50-54", "55-59", "60-64", "65-69", "70-74", "75-79", "80-84", "85+")</f>
        <v>30-34</v>
      </c>
      <c r="D763" t="s">
        <v>7</v>
      </c>
    </row>
    <row r="764" spans="1:4">
      <c r="A764" t="s">
        <v>6</v>
      </c>
      <c r="B764">
        <v>36</v>
      </c>
      <c r="C764" t="str">
        <f>CHOOSE(MATCH(B764, {20,25,30,35,40,45,50,55,60,65,70,75,80,85}, 1), "20-24", "25-29", "30-34", "35-39", "40-44", "45-49", "50-54", "55-59", "60-64", "65-69", "70-74", "75-79", "80-84", "85+")</f>
        <v>35-39</v>
      </c>
      <c r="D764" t="s">
        <v>8</v>
      </c>
    </row>
    <row r="765" spans="1:4">
      <c r="A765" t="s">
        <v>6</v>
      </c>
      <c r="B765">
        <v>41</v>
      </c>
      <c r="C765" t="str">
        <f>CHOOSE(MATCH(B765, {20,25,30,35,40,45,50,55,60,65,70,75,80,85}, 1), "20-24", "25-29", "30-34", "35-39", "40-44", "45-49", "50-54", "55-59", "60-64", "65-69", "70-74", "75-79", "80-84", "85+")</f>
        <v>40-44</v>
      </c>
      <c r="D765" t="s">
        <v>7</v>
      </c>
    </row>
    <row r="766" spans="1:4">
      <c r="A766" t="s">
        <v>6</v>
      </c>
      <c r="B766">
        <v>68</v>
      </c>
      <c r="C766" t="str">
        <f>CHOOSE(MATCH(B766, {20,25,30,35,40,45,50,55,60,65,70,75,80,85}, 1), "20-24", "25-29", "30-34", "35-39", "40-44", "45-49", "50-54", "55-59", "60-64", "65-69", "70-74", "75-79", "80-84", "85+")</f>
        <v>65-69</v>
      </c>
      <c r="D766" t="s">
        <v>7</v>
      </c>
    </row>
    <row r="767" spans="1:4">
      <c r="A767" t="s">
        <v>6</v>
      </c>
      <c r="B767">
        <v>65</v>
      </c>
      <c r="C767" t="str">
        <f>CHOOSE(MATCH(B767, {20,25,30,35,40,45,50,55,60,65,70,75,80,85}, 1), "20-24", "25-29", "30-34", "35-39", "40-44", "45-49", "50-54", "55-59", "60-64", "65-69", "70-74", "75-79", "80-84", "85+")</f>
        <v>65-69</v>
      </c>
      <c r="D767" t="s">
        <v>8</v>
      </c>
    </row>
    <row r="768" spans="1:4">
      <c r="A768" t="s">
        <v>6</v>
      </c>
      <c r="B768">
        <v>30</v>
      </c>
      <c r="C768" t="str">
        <f>CHOOSE(MATCH(B768, {20,25,30,35,40,45,50,55,60,65,70,75,80,85}, 1), "20-24", "25-29", "30-34", "35-39", "40-44", "45-49", "50-54", "55-59", "60-64", "65-69", "70-74", "75-79", "80-84", "85+")</f>
        <v>30-34</v>
      </c>
      <c r="D768" t="s">
        <v>8</v>
      </c>
    </row>
    <row r="769" spans="1:4">
      <c r="A769" t="s">
        <v>6</v>
      </c>
      <c r="B769">
        <v>34</v>
      </c>
      <c r="C769" t="str">
        <f>CHOOSE(MATCH(B769, {20,25,30,35,40,45,50,55,60,65,70,75,80,85}, 1), "20-24", "25-29", "30-34", "35-39", "40-44", "45-49", "50-54", "55-59", "60-64", "65-69", "70-74", "75-79", "80-84", "85+")</f>
        <v>30-34</v>
      </c>
      <c r="D769" t="s">
        <v>7</v>
      </c>
    </row>
    <row r="770" spans="1:4">
      <c r="A770" t="s">
        <v>6</v>
      </c>
      <c r="B770">
        <v>76</v>
      </c>
      <c r="C770" t="str">
        <f>CHOOSE(MATCH(B770, {20,25,30,35,40,45,50,55,60,65,70,75,80,85}, 1), "20-24", "25-29", "30-34", "35-39", "40-44", "45-49", "50-54", "55-59", "60-64", "65-69", "70-74", "75-79", "80-84", "85+")</f>
        <v>75-79</v>
      </c>
      <c r="D770" t="s">
        <v>7</v>
      </c>
    </row>
    <row r="771" spans="1:4">
      <c r="A771" t="s">
        <v>6</v>
      </c>
      <c r="B771">
        <v>60</v>
      </c>
      <c r="C771" t="str">
        <f>CHOOSE(MATCH(B771, {20,25,30,35,40,45,50,55,60,65,70,75,80,85}, 1), "20-24", "25-29", "30-34", "35-39", "40-44", "45-49", "50-54", "55-59", "60-64", "65-69", "70-74", "75-79", "80-84", "85+")</f>
        <v>60-64</v>
      </c>
      <c r="D771" t="s">
        <v>8</v>
      </c>
    </row>
    <row r="772" spans="1:4">
      <c r="A772" t="s">
        <v>6</v>
      </c>
      <c r="B772">
        <v>52</v>
      </c>
      <c r="C772" t="str">
        <f>CHOOSE(MATCH(B772, {20,25,30,35,40,45,50,55,60,65,70,75,80,85}, 1), "20-24", "25-29", "30-34", "35-39", "40-44", "45-49", "50-54", "55-59", "60-64", "65-69", "70-74", "75-79", "80-84", "85+")</f>
        <v>50-54</v>
      </c>
      <c r="D772" t="s">
        <v>7</v>
      </c>
    </row>
    <row r="773" spans="1:4">
      <c r="A773" t="s">
        <v>6</v>
      </c>
      <c r="B773">
        <v>33</v>
      </c>
      <c r="C773" t="str">
        <f>CHOOSE(MATCH(B773, {20,25,30,35,40,45,50,55,60,65,70,75,80,85}, 1), "20-24", "25-29", "30-34", "35-39", "40-44", "45-49", "50-54", "55-59", "60-64", "65-69", "70-74", "75-79", "80-84", "85+")</f>
        <v>30-34</v>
      </c>
      <c r="D773" t="s">
        <v>7</v>
      </c>
    </row>
    <row r="774" spans="1:4">
      <c r="A774" t="s">
        <v>6</v>
      </c>
      <c r="B774">
        <v>21</v>
      </c>
      <c r="C774" t="str">
        <f>CHOOSE(MATCH(B774, {20,25,30,35,40,45,50,55,60,65,70,75,80,85}, 1), "20-24", "25-29", "30-34", "35-39", "40-44", "45-49", "50-54", "55-59", "60-64", "65-69", "70-74", "75-79", "80-84", "85+")</f>
        <v>20-24</v>
      </c>
      <c r="D774" t="s">
        <v>8</v>
      </c>
    </row>
    <row r="775" spans="1:4">
      <c r="A775" t="s">
        <v>6</v>
      </c>
      <c r="B775">
        <v>35</v>
      </c>
      <c r="C775" t="str">
        <f>CHOOSE(MATCH(B775, {20,25,30,35,40,45,50,55,60,65,70,75,80,85}, 1), "20-24", "25-29", "30-34", "35-39", "40-44", "45-49", "50-54", "55-59", "60-64", "65-69", "70-74", "75-79", "80-84", "85+")</f>
        <v>35-39</v>
      </c>
      <c r="D775" t="s">
        <v>7</v>
      </c>
    </row>
    <row r="776" spans="1:4">
      <c r="A776" t="s">
        <v>6</v>
      </c>
      <c r="B776">
        <v>31</v>
      </c>
      <c r="C776" t="str">
        <f>CHOOSE(MATCH(B776, {20,25,30,35,40,45,50,55,60,65,70,75,80,85}, 1), "20-24", "25-29", "30-34", "35-39", "40-44", "45-49", "50-54", "55-59", "60-64", "65-69", "70-74", "75-79", "80-84", "85+")</f>
        <v>30-34</v>
      </c>
      <c r="D776" t="s">
        <v>7</v>
      </c>
    </row>
    <row r="777" spans="1:4">
      <c r="A777" t="s">
        <v>6</v>
      </c>
      <c r="B777">
        <v>71</v>
      </c>
      <c r="C777" t="str">
        <f>CHOOSE(MATCH(B777, {20,25,30,35,40,45,50,55,60,65,70,75,80,85}, 1), "20-24", "25-29", "30-34", "35-39", "40-44", "45-49", "50-54", "55-59", "60-64", "65-69", "70-74", "75-79", "80-84", "85+")</f>
        <v>70-74</v>
      </c>
      <c r="D777" t="s">
        <v>8</v>
      </c>
    </row>
    <row r="778" spans="1:4">
      <c r="A778" t="s">
        <v>6</v>
      </c>
      <c r="B778">
        <v>48</v>
      </c>
      <c r="C778" t="str">
        <f>CHOOSE(MATCH(B778, {20,25,30,35,40,45,50,55,60,65,70,75,80,85}, 1), "20-24", "25-29", "30-34", "35-39", "40-44", "45-49", "50-54", "55-59", "60-64", "65-69", "70-74", "75-79", "80-84", "85+")</f>
        <v>45-49</v>
      </c>
      <c r="D778" t="s">
        <v>8</v>
      </c>
    </row>
    <row r="779" spans="1:4">
      <c r="A779" t="s">
        <v>6</v>
      </c>
      <c r="B779">
        <v>47</v>
      </c>
      <c r="C779" t="str">
        <f>CHOOSE(MATCH(B779, {20,25,30,35,40,45,50,55,60,65,70,75,80,85}, 1), "20-24", "25-29", "30-34", "35-39", "40-44", "45-49", "50-54", "55-59", "60-64", "65-69", "70-74", "75-79", "80-84", "85+")</f>
        <v>45-49</v>
      </c>
      <c r="D779" t="s">
        <v>7</v>
      </c>
    </row>
    <row r="780" spans="1:4">
      <c r="A780" t="s">
        <v>6</v>
      </c>
      <c r="B780">
        <v>64</v>
      </c>
      <c r="C780" t="str">
        <f>CHOOSE(MATCH(B780, {20,25,30,35,40,45,50,55,60,65,70,75,80,85}, 1), "20-24", "25-29", "30-34", "35-39", "40-44", "45-49", "50-54", "55-59", "60-64", "65-69", "70-74", "75-79", "80-84", "85+")</f>
        <v>60-64</v>
      </c>
      <c r="D780" t="s">
        <v>8</v>
      </c>
    </row>
    <row r="781" spans="1:4">
      <c r="A781" t="s">
        <v>6</v>
      </c>
      <c r="B781">
        <v>67</v>
      </c>
      <c r="C781" t="str">
        <f>CHOOSE(MATCH(B781, {20,25,30,35,40,45,50,55,60,65,70,75,80,85}, 1), "20-24", "25-29", "30-34", "35-39", "40-44", "45-49", "50-54", "55-59", "60-64", "65-69", "70-74", "75-79", "80-84", "85+")</f>
        <v>65-69</v>
      </c>
      <c r="D781" t="s">
        <v>7</v>
      </c>
    </row>
    <row r="782" spans="1:4">
      <c r="A782" t="s">
        <v>6</v>
      </c>
      <c r="B782">
        <v>76</v>
      </c>
      <c r="C782" t="str">
        <f>CHOOSE(MATCH(B782, {20,25,30,35,40,45,50,55,60,65,70,75,80,85}, 1), "20-24", "25-29", "30-34", "35-39", "40-44", "45-49", "50-54", "55-59", "60-64", "65-69", "70-74", "75-79", "80-84", "85+")</f>
        <v>75-79</v>
      </c>
      <c r="D782" t="s">
        <v>7</v>
      </c>
    </row>
    <row r="783" spans="1:4">
      <c r="A783" t="s">
        <v>6</v>
      </c>
      <c r="B783">
        <v>72</v>
      </c>
      <c r="C783" t="str">
        <f>CHOOSE(MATCH(B783, {20,25,30,35,40,45,50,55,60,65,70,75,80,85}, 1), "20-24", "25-29", "30-34", "35-39", "40-44", "45-49", "50-54", "55-59", "60-64", "65-69", "70-74", "75-79", "80-84", "85+")</f>
        <v>70-74</v>
      </c>
      <c r="D783" t="s">
        <v>7</v>
      </c>
    </row>
    <row r="784" spans="1:4">
      <c r="A784" t="s">
        <v>6</v>
      </c>
      <c r="B784">
        <v>30</v>
      </c>
      <c r="C784" t="str">
        <f>CHOOSE(MATCH(B784, {20,25,30,35,40,45,50,55,60,65,70,75,80,85}, 1), "20-24", "25-29", "30-34", "35-39", "40-44", "45-49", "50-54", "55-59", "60-64", "65-69", "70-74", "75-79", "80-84", "85+")</f>
        <v>30-34</v>
      </c>
      <c r="D784" t="s">
        <v>8</v>
      </c>
    </row>
    <row r="785" spans="1:4">
      <c r="A785" t="s">
        <v>6</v>
      </c>
      <c r="B785">
        <v>47</v>
      </c>
      <c r="C785" t="str">
        <f>CHOOSE(MATCH(B785, {20,25,30,35,40,45,50,55,60,65,70,75,80,85}, 1), "20-24", "25-29", "30-34", "35-39", "40-44", "45-49", "50-54", "55-59", "60-64", "65-69", "70-74", "75-79", "80-84", "85+")</f>
        <v>45-49</v>
      </c>
      <c r="D785" t="s">
        <v>8</v>
      </c>
    </row>
    <row r="786" spans="1:4">
      <c r="A786" t="s">
        <v>6</v>
      </c>
      <c r="B786">
        <v>30</v>
      </c>
      <c r="C786" t="str">
        <f>CHOOSE(MATCH(B786, {20,25,30,35,40,45,50,55,60,65,70,75,80,85}, 1), "20-24", "25-29", "30-34", "35-39", "40-44", "45-49", "50-54", "55-59", "60-64", "65-69", "70-74", "75-79", "80-84", "85+")</f>
        <v>30-34</v>
      </c>
      <c r="D786" t="s">
        <v>7</v>
      </c>
    </row>
    <row r="787" spans="1:4">
      <c r="A787" t="s">
        <v>6</v>
      </c>
      <c r="B787">
        <v>75</v>
      </c>
      <c r="C787" t="str">
        <f>CHOOSE(MATCH(B787, {20,25,30,35,40,45,50,55,60,65,70,75,80,85}, 1), "20-24", "25-29", "30-34", "35-39", "40-44", "45-49", "50-54", "55-59", "60-64", "65-69", "70-74", "75-79", "80-84", "85+")</f>
        <v>75-79</v>
      </c>
      <c r="D787" t="s">
        <v>7</v>
      </c>
    </row>
    <row r="788" spans="1:4">
      <c r="A788" t="s">
        <v>6</v>
      </c>
      <c r="B788">
        <v>29</v>
      </c>
      <c r="C788" t="str">
        <f>CHOOSE(MATCH(B788, {20,25,30,35,40,45,50,55,60,65,70,75,80,85}, 1), "20-24", "25-29", "30-34", "35-39", "40-44", "45-49", "50-54", "55-59", "60-64", "65-69", "70-74", "75-79", "80-84", "85+")</f>
        <v>25-29</v>
      </c>
      <c r="D788" t="s">
        <v>7</v>
      </c>
    </row>
    <row r="789" spans="1:4">
      <c r="A789" t="s">
        <v>6</v>
      </c>
      <c r="B789">
        <v>38</v>
      </c>
      <c r="C789" t="str">
        <f>CHOOSE(MATCH(B789, {20,25,30,35,40,45,50,55,60,65,70,75,80,85}, 1), "20-24", "25-29", "30-34", "35-39", "40-44", "45-49", "50-54", "55-59", "60-64", "65-69", "70-74", "75-79", "80-84", "85+")</f>
        <v>35-39</v>
      </c>
      <c r="D789" t="s">
        <v>7</v>
      </c>
    </row>
    <row r="790" spans="1:4">
      <c r="A790" t="s">
        <v>6</v>
      </c>
      <c r="B790">
        <v>31</v>
      </c>
      <c r="C790" t="str">
        <f>CHOOSE(MATCH(B790, {20,25,30,35,40,45,50,55,60,65,70,75,80,85}, 1), "20-24", "25-29", "30-34", "35-39", "40-44", "45-49", "50-54", "55-59", "60-64", "65-69", "70-74", "75-79", "80-84", "85+")</f>
        <v>30-34</v>
      </c>
      <c r="D790" t="s">
        <v>7</v>
      </c>
    </row>
    <row r="791" spans="1:4">
      <c r="A791" t="s">
        <v>6</v>
      </c>
      <c r="B791">
        <v>36</v>
      </c>
      <c r="C791" t="str">
        <f>CHOOSE(MATCH(B791, {20,25,30,35,40,45,50,55,60,65,70,75,80,85}, 1), "20-24", "25-29", "30-34", "35-39", "40-44", "45-49", "50-54", "55-59", "60-64", "65-69", "70-74", "75-79", "80-84", "85+")</f>
        <v>35-39</v>
      </c>
      <c r="D791" t="s">
        <v>7</v>
      </c>
    </row>
    <row r="792" spans="1:4">
      <c r="A792" t="s">
        <v>6</v>
      </c>
      <c r="B792">
        <v>28</v>
      </c>
      <c r="C792" t="str">
        <f>CHOOSE(MATCH(B792, {20,25,30,35,40,45,50,55,60,65,70,75,80,85}, 1), "20-24", "25-29", "30-34", "35-39", "40-44", "45-49", "50-54", "55-59", "60-64", "65-69", "70-74", "75-79", "80-84", "85+")</f>
        <v>25-29</v>
      </c>
      <c r="D792" t="s">
        <v>8</v>
      </c>
    </row>
    <row r="793" spans="1:4">
      <c r="A793" t="s">
        <v>6</v>
      </c>
      <c r="B793">
        <v>66</v>
      </c>
      <c r="C793" t="str">
        <f>CHOOSE(MATCH(B793, {20,25,30,35,40,45,50,55,60,65,70,75,80,85}, 1), "20-24", "25-29", "30-34", "35-39", "40-44", "45-49", "50-54", "55-59", "60-64", "65-69", "70-74", "75-79", "80-84", "85+")</f>
        <v>65-69</v>
      </c>
      <c r="D793" t="s">
        <v>8</v>
      </c>
    </row>
    <row r="794" spans="1:4">
      <c r="A794" t="s">
        <v>6</v>
      </c>
      <c r="B794">
        <v>51</v>
      </c>
      <c r="C794" t="str">
        <f>CHOOSE(MATCH(B794, {20,25,30,35,40,45,50,55,60,65,70,75,80,85}, 1), "20-24", "25-29", "30-34", "35-39", "40-44", "45-49", "50-54", "55-59", "60-64", "65-69", "70-74", "75-79", "80-84", "85+")</f>
        <v>50-54</v>
      </c>
      <c r="D794" t="s">
        <v>7</v>
      </c>
    </row>
    <row r="795" spans="1:4">
      <c r="A795" t="s">
        <v>6</v>
      </c>
      <c r="B795">
        <v>38</v>
      </c>
      <c r="C795" t="str">
        <f>CHOOSE(MATCH(B795, {20,25,30,35,40,45,50,55,60,65,70,75,80,85}, 1), "20-24", "25-29", "30-34", "35-39", "40-44", "45-49", "50-54", "55-59", "60-64", "65-69", "70-74", "75-79", "80-84", "85+")</f>
        <v>35-39</v>
      </c>
      <c r="D795" t="s">
        <v>7</v>
      </c>
    </row>
    <row r="796" spans="1:4">
      <c r="A796" t="s">
        <v>6</v>
      </c>
      <c r="B796">
        <v>31</v>
      </c>
      <c r="C796" t="str">
        <f>CHOOSE(MATCH(B796, {20,25,30,35,40,45,50,55,60,65,70,75,80,85}, 1), "20-24", "25-29", "30-34", "35-39", "40-44", "45-49", "50-54", "55-59", "60-64", "65-69", "70-74", "75-79", "80-84", "85+")</f>
        <v>30-34</v>
      </c>
      <c r="D796" t="s">
        <v>7</v>
      </c>
    </row>
    <row r="797" spans="1:4">
      <c r="A797" t="s">
        <v>6</v>
      </c>
      <c r="B797">
        <v>33</v>
      </c>
      <c r="C797" t="str">
        <f>CHOOSE(MATCH(B797, {20,25,30,35,40,45,50,55,60,65,70,75,80,85}, 1), "20-24", "25-29", "30-34", "35-39", "40-44", "45-49", "50-54", "55-59", "60-64", "65-69", "70-74", "75-79", "80-84", "85+")</f>
        <v>30-34</v>
      </c>
      <c r="D797" t="s">
        <v>8</v>
      </c>
    </row>
    <row r="798" spans="1:4">
      <c r="A798" t="s">
        <v>6</v>
      </c>
      <c r="B798">
        <v>75</v>
      </c>
      <c r="C798" t="str">
        <f>CHOOSE(MATCH(B798, {20,25,30,35,40,45,50,55,60,65,70,75,80,85}, 1), "20-24", "25-29", "30-34", "35-39", "40-44", "45-49", "50-54", "55-59", "60-64", "65-69", "70-74", "75-79", "80-84", "85+")</f>
        <v>75-79</v>
      </c>
      <c r="D798" t="s">
        <v>7</v>
      </c>
    </row>
    <row r="799" spans="1:4">
      <c r="A799" t="s">
        <v>6</v>
      </c>
      <c r="B799">
        <v>48</v>
      </c>
      <c r="C799" t="str">
        <f>CHOOSE(MATCH(B799, {20,25,30,35,40,45,50,55,60,65,70,75,80,85}, 1), "20-24", "25-29", "30-34", "35-39", "40-44", "45-49", "50-54", "55-59", "60-64", "65-69", "70-74", "75-79", "80-84", "85+")</f>
        <v>45-49</v>
      </c>
      <c r="D799" t="s">
        <v>8</v>
      </c>
    </row>
    <row r="800" spans="1:4">
      <c r="A800" t="s">
        <v>6</v>
      </c>
      <c r="B800">
        <v>26</v>
      </c>
      <c r="C800" t="str">
        <f>CHOOSE(MATCH(B800, {20,25,30,35,40,45,50,55,60,65,70,75,80,85}, 1), "20-24", "25-29", "30-34", "35-39", "40-44", "45-49", "50-54", "55-59", "60-64", "65-69", "70-74", "75-79", "80-84", "85+")</f>
        <v>25-29</v>
      </c>
      <c r="D800" t="s">
        <v>8</v>
      </c>
    </row>
    <row r="801" spans="1:4">
      <c r="A801" t="s">
        <v>6</v>
      </c>
      <c r="B801">
        <v>59</v>
      </c>
      <c r="C801" t="str">
        <f>CHOOSE(MATCH(B801, {20,25,30,35,40,45,50,55,60,65,70,75,80,85}, 1), "20-24", "25-29", "30-34", "35-39", "40-44", "45-49", "50-54", "55-59", "60-64", "65-69", "70-74", "75-79", "80-84", "85+")</f>
        <v>55-59</v>
      </c>
      <c r="D801" t="s">
        <v>8</v>
      </c>
    </row>
    <row r="802" spans="1:4">
      <c r="A802" t="s">
        <v>6</v>
      </c>
      <c r="B802">
        <v>66</v>
      </c>
      <c r="C802" t="str">
        <f>CHOOSE(MATCH(B802, {20,25,30,35,40,45,50,55,60,65,70,75,80,85}, 1), "20-24", "25-29", "30-34", "35-39", "40-44", "45-49", "50-54", "55-59", "60-64", "65-69", "70-74", "75-79", "80-84", "85+")</f>
        <v>65-69</v>
      </c>
      <c r="D802" t="s">
        <v>8</v>
      </c>
    </row>
    <row r="803" spans="1:4">
      <c r="A803" t="s">
        <v>6</v>
      </c>
      <c r="B803">
        <v>38</v>
      </c>
      <c r="C803" t="str">
        <f>CHOOSE(MATCH(B803, {20,25,30,35,40,45,50,55,60,65,70,75,80,85}, 1), "20-24", "25-29", "30-34", "35-39", "40-44", "45-49", "50-54", "55-59", "60-64", "65-69", "70-74", "75-79", "80-84", "85+")</f>
        <v>35-39</v>
      </c>
      <c r="D803" t="s">
        <v>7</v>
      </c>
    </row>
    <row r="804" spans="1:4">
      <c r="A804" t="s">
        <v>6</v>
      </c>
      <c r="B804">
        <v>24</v>
      </c>
      <c r="C804" t="str">
        <f>CHOOSE(MATCH(B804, {20,25,30,35,40,45,50,55,60,65,70,75,80,85}, 1), "20-24", "25-29", "30-34", "35-39", "40-44", "45-49", "50-54", "55-59", "60-64", "65-69", "70-74", "75-79", "80-84", "85+")</f>
        <v>20-24</v>
      </c>
      <c r="D804" t="s">
        <v>8</v>
      </c>
    </row>
    <row r="805" spans="1:4">
      <c r="A805" t="s">
        <v>6</v>
      </c>
      <c r="B805">
        <v>36</v>
      </c>
      <c r="C805" t="str">
        <f>CHOOSE(MATCH(B805, {20,25,30,35,40,45,50,55,60,65,70,75,80,85}, 1), "20-24", "25-29", "30-34", "35-39", "40-44", "45-49", "50-54", "55-59", "60-64", "65-69", "70-74", "75-79", "80-84", "85+")</f>
        <v>35-39</v>
      </c>
      <c r="D805" t="s">
        <v>8</v>
      </c>
    </row>
    <row r="806" spans="1:4">
      <c r="A806" t="s">
        <v>6</v>
      </c>
      <c r="B806">
        <v>58</v>
      </c>
      <c r="C806" t="str">
        <f>CHOOSE(MATCH(B806, {20,25,30,35,40,45,50,55,60,65,70,75,80,85}, 1), "20-24", "25-29", "30-34", "35-39", "40-44", "45-49", "50-54", "55-59", "60-64", "65-69", "70-74", "75-79", "80-84", "85+")</f>
        <v>55-59</v>
      </c>
      <c r="D806" t="s">
        <v>8</v>
      </c>
    </row>
    <row r="807" spans="1:4">
      <c r="A807" t="s">
        <v>6</v>
      </c>
      <c r="B807">
        <v>41</v>
      </c>
      <c r="C807" t="str">
        <f>CHOOSE(MATCH(B807, {20,25,30,35,40,45,50,55,60,65,70,75,80,85}, 1), "20-24", "25-29", "30-34", "35-39", "40-44", "45-49", "50-54", "55-59", "60-64", "65-69", "70-74", "75-79", "80-84", "85+")</f>
        <v>40-44</v>
      </c>
      <c r="D807" t="s">
        <v>8</v>
      </c>
    </row>
    <row r="808" spans="1:4">
      <c r="A808" t="s">
        <v>6</v>
      </c>
      <c r="B808">
        <v>70</v>
      </c>
      <c r="C808" t="str">
        <f>CHOOSE(MATCH(B808, {20,25,30,35,40,45,50,55,60,65,70,75,80,85}, 1), "20-24", "25-29", "30-34", "35-39", "40-44", "45-49", "50-54", "55-59", "60-64", "65-69", "70-74", "75-79", "80-84", "85+")</f>
        <v>70-74</v>
      </c>
      <c r="D808" t="s">
        <v>7</v>
      </c>
    </row>
    <row r="809" spans="1:4">
      <c r="A809" t="s">
        <v>6</v>
      </c>
      <c r="B809">
        <v>46</v>
      </c>
      <c r="C809" t="str">
        <f>CHOOSE(MATCH(B809, {20,25,30,35,40,45,50,55,60,65,70,75,80,85}, 1), "20-24", "25-29", "30-34", "35-39", "40-44", "45-49", "50-54", "55-59", "60-64", "65-69", "70-74", "75-79", "80-84", "85+")</f>
        <v>45-49</v>
      </c>
      <c r="D809" t="s">
        <v>7</v>
      </c>
    </row>
    <row r="810" spans="1:4">
      <c r="A810" t="s">
        <v>6</v>
      </c>
      <c r="B810">
        <v>55</v>
      </c>
      <c r="C810" t="str">
        <f>CHOOSE(MATCH(B810, {20,25,30,35,40,45,50,55,60,65,70,75,80,85}, 1), "20-24", "25-29", "30-34", "35-39", "40-44", "45-49", "50-54", "55-59", "60-64", "65-69", "70-74", "75-79", "80-84", "85+")</f>
        <v>55-59</v>
      </c>
      <c r="D810" t="s">
        <v>8</v>
      </c>
    </row>
    <row r="811" spans="1:4">
      <c r="A811" t="s">
        <v>6</v>
      </c>
      <c r="B811">
        <v>58</v>
      </c>
      <c r="C811" t="str">
        <f>CHOOSE(MATCH(B811, {20,25,30,35,40,45,50,55,60,65,70,75,80,85}, 1), "20-24", "25-29", "30-34", "35-39", "40-44", "45-49", "50-54", "55-59", "60-64", "65-69", "70-74", "75-79", "80-84", "85+")</f>
        <v>55-59</v>
      </c>
      <c r="D811" t="s">
        <v>7</v>
      </c>
    </row>
    <row r="812" spans="1:4">
      <c r="A812" t="s">
        <v>6</v>
      </c>
      <c r="B812">
        <v>40</v>
      </c>
      <c r="C812" t="str">
        <f>CHOOSE(MATCH(B812, {20,25,30,35,40,45,50,55,60,65,70,75,80,85}, 1), "20-24", "25-29", "30-34", "35-39", "40-44", "45-49", "50-54", "55-59", "60-64", "65-69", "70-74", "75-79", "80-84", "85+")</f>
        <v>40-44</v>
      </c>
      <c r="D812" t="s">
        <v>8</v>
      </c>
    </row>
    <row r="813" spans="1:4">
      <c r="A813" t="s">
        <v>6</v>
      </c>
      <c r="B813">
        <v>54</v>
      </c>
      <c r="C813" t="str">
        <f>CHOOSE(MATCH(B813, {20,25,30,35,40,45,50,55,60,65,70,75,80,85}, 1), "20-24", "25-29", "30-34", "35-39", "40-44", "45-49", "50-54", "55-59", "60-64", "65-69", "70-74", "75-79", "80-84", "85+")</f>
        <v>50-54</v>
      </c>
      <c r="D813" t="s">
        <v>7</v>
      </c>
    </row>
    <row r="814" spans="1:4">
      <c r="A814" t="s">
        <v>6</v>
      </c>
      <c r="B814">
        <v>23</v>
      </c>
      <c r="C814" t="str">
        <f>CHOOSE(MATCH(B814, {20,25,30,35,40,45,50,55,60,65,70,75,80,85}, 1), "20-24", "25-29", "30-34", "35-39", "40-44", "45-49", "50-54", "55-59", "60-64", "65-69", "70-74", "75-79", "80-84", "85+")</f>
        <v>20-24</v>
      </c>
      <c r="D814" t="s">
        <v>7</v>
      </c>
    </row>
    <row r="815" spans="1:4">
      <c r="A815" t="s">
        <v>6</v>
      </c>
      <c r="B815">
        <v>35</v>
      </c>
      <c r="C815" t="str">
        <f>CHOOSE(MATCH(B815, {20,25,30,35,40,45,50,55,60,65,70,75,80,85}, 1), "20-24", "25-29", "30-34", "35-39", "40-44", "45-49", "50-54", "55-59", "60-64", "65-69", "70-74", "75-79", "80-84", "85+")</f>
        <v>35-39</v>
      </c>
      <c r="D815" t="s">
        <v>7</v>
      </c>
    </row>
    <row r="816" spans="1:4">
      <c r="A816" t="s">
        <v>6</v>
      </c>
      <c r="B816">
        <v>57</v>
      </c>
      <c r="C816" t="str">
        <f>CHOOSE(MATCH(B816, {20,25,30,35,40,45,50,55,60,65,70,75,80,85}, 1), "20-24", "25-29", "30-34", "35-39", "40-44", "45-49", "50-54", "55-59", "60-64", "65-69", "70-74", "75-79", "80-84", "85+")</f>
        <v>55-59</v>
      </c>
      <c r="D816" t="s">
        <v>7</v>
      </c>
    </row>
    <row r="817" spans="1:4">
      <c r="A817" t="s">
        <v>6</v>
      </c>
      <c r="B817">
        <v>31</v>
      </c>
      <c r="C817" t="str">
        <f>CHOOSE(MATCH(B817, {20,25,30,35,40,45,50,55,60,65,70,75,80,85}, 1), "20-24", "25-29", "30-34", "35-39", "40-44", "45-49", "50-54", "55-59", "60-64", "65-69", "70-74", "75-79", "80-84", "85+")</f>
        <v>30-34</v>
      </c>
      <c r="D817" t="s">
        <v>7</v>
      </c>
    </row>
    <row r="818" spans="1:4">
      <c r="A818" t="s">
        <v>6</v>
      </c>
      <c r="B818">
        <v>49</v>
      </c>
      <c r="C818" t="str">
        <f>CHOOSE(MATCH(B818, {20,25,30,35,40,45,50,55,60,65,70,75,80,85}, 1), "20-24", "25-29", "30-34", "35-39", "40-44", "45-49", "50-54", "55-59", "60-64", "65-69", "70-74", "75-79", "80-84", "85+")</f>
        <v>45-49</v>
      </c>
      <c r="D818" t="s">
        <v>8</v>
      </c>
    </row>
    <row r="819" spans="1:4">
      <c r="A819" t="s">
        <v>6</v>
      </c>
      <c r="B819">
        <v>59</v>
      </c>
      <c r="C819" t="str">
        <f>CHOOSE(MATCH(B819, {20,25,30,35,40,45,50,55,60,65,70,75,80,85}, 1), "20-24", "25-29", "30-34", "35-39", "40-44", "45-49", "50-54", "55-59", "60-64", "65-69", "70-74", "75-79", "80-84", "85+")</f>
        <v>55-59</v>
      </c>
      <c r="D819" t="s">
        <v>7</v>
      </c>
    </row>
    <row r="820" spans="1:4">
      <c r="A820" t="s">
        <v>6</v>
      </c>
      <c r="B820">
        <v>28</v>
      </c>
      <c r="C820" t="str">
        <f>CHOOSE(MATCH(B820, {20,25,30,35,40,45,50,55,60,65,70,75,80,85}, 1), "20-24", "25-29", "30-34", "35-39", "40-44", "45-49", "50-54", "55-59", "60-64", "65-69", "70-74", "75-79", "80-84", "85+")</f>
        <v>25-29</v>
      </c>
      <c r="D820" t="s">
        <v>7</v>
      </c>
    </row>
    <row r="821" spans="1:4">
      <c r="A821" t="s">
        <v>6</v>
      </c>
      <c r="B821">
        <v>26</v>
      </c>
      <c r="C821" t="str">
        <f>CHOOSE(MATCH(B821, {20,25,30,35,40,45,50,55,60,65,70,75,80,85}, 1), "20-24", "25-29", "30-34", "35-39", "40-44", "45-49", "50-54", "55-59", "60-64", "65-69", "70-74", "75-79", "80-84", "85+")</f>
        <v>25-29</v>
      </c>
      <c r="D821" t="s">
        <v>8</v>
      </c>
    </row>
    <row r="822" spans="1:4">
      <c r="A822" t="s">
        <v>6</v>
      </c>
      <c r="B822">
        <v>58</v>
      </c>
      <c r="C822" t="str">
        <f>CHOOSE(MATCH(B822, {20,25,30,35,40,45,50,55,60,65,70,75,80,85}, 1), "20-24", "25-29", "30-34", "35-39", "40-44", "45-49", "50-54", "55-59", "60-64", "65-69", "70-74", "75-79", "80-84", "85+")</f>
        <v>55-59</v>
      </c>
      <c r="D822" t="s">
        <v>8</v>
      </c>
    </row>
    <row r="823" spans="1:4">
      <c r="A823" t="s">
        <v>6</v>
      </c>
      <c r="B823">
        <v>25</v>
      </c>
      <c r="C823" t="str">
        <f>CHOOSE(MATCH(B823, {20,25,30,35,40,45,50,55,60,65,70,75,80,85}, 1), "20-24", "25-29", "30-34", "35-39", "40-44", "45-49", "50-54", "55-59", "60-64", "65-69", "70-74", "75-79", "80-84", "85+")</f>
        <v>25-29</v>
      </c>
      <c r="D823" t="s">
        <v>7</v>
      </c>
    </row>
    <row r="824" spans="1:4">
      <c r="A824" t="s">
        <v>6</v>
      </c>
      <c r="B824">
        <v>29</v>
      </c>
      <c r="C824" t="str">
        <f>CHOOSE(MATCH(B824, {20,25,30,35,40,45,50,55,60,65,70,75,80,85}, 1), "20-24", "25-29", "30-34", "35-39", "40-44", "45-49", "50-54", "55-59", "60-64", "65-69", "70-74", "75-79", "80-84", "85+")</f>
        <v>25-29</v>
      </c>
      <c r="D824" t="s">
        <v>7</v>
      </c>
    </row>
    <row r="825" spans="1:4">
      <c r="A825" t="s">
        <v>6</v>
      </c>
      <c r="B825">
        <v>26</v>
      </c>
      <c r="C825" t="str">
        <f>CHOOSE(MATCH(B825, {20,25,30,35,40,45,50,55,60,65,70,75,80,85}, 1), "20-24", "25-29", "30-34", "35-39", "40-44", "45-49", "50-54", "55-59", "60-64", "65-69", "70-74", "75-79", "80-84", "85+")</f>
        <v>25-29</v>
      </c>
      <c r="D825" t="s">
        <v>8</v>
      </c>
    </row>
    <row r="826" spans="1:4">
      <c r="A826" t="s">
        <v>6</v>
      </c>
      <c r="B826">
        <v>51</v>
      </c>
      <c r="C826" t="str">
        <f>CHOOSE(MATCH(B826, {20,25,30,35,40,45,50,55,60,65,70,75,80,85}, 1), "20-24", "25-29", "30-34", "35-39", "40-44", "45-49", "50-54", "55-59", "60-64", "65-69", "70-74", "75-79", "80-84", "85+")</f>
        <v>50-54</v>
      </c>
      <c r="D826" t="s">
        <v>8</v>
      </c>
    </row>
    <row r="827" spans="1:4">
      <c r="A827" t="s">
        <v>6</v>
      </c>
      <c r="B827">
        <v>31</v>
      </c>
      <c r="C827" t="str">
        <f>CHOOSE(MATCH(B827, {20,25,30,35,40,45,50,55,60,65,70,75,80,85}, 1), "20-24", "25-29", "30-34", "35-39", "40-44", "45-49", "50-54", "55-59", "60-64", "65-69", "70-74", "75-79", "80-84", "85+")</f>
        <v>30-34</v>
      </c>
      <c r="D827" t="s">
        <v>8</v>
      </c>
    </row>
    <row r="828" spans="1:4">
      <c r="A828" t="s">
        <v>6</v>
      </c>
      <c r="B828">
        <v>63</v>
      </c>
      <c r="C828" t="str">
        <f>CHOOSE(MATCH(B828, {20,25,30,35,40,45,50,55,60,65,70,75,80,85}, 1), "20-24", "25-29", "30-34", "35-39", "40-44", "45-49", "50-54", "55-59", "60-64", "65-69", "70-74", "75-79", "80-84", "85+")</f>
        <v>60-64</v>
      </c>
      <c r="D828" t="s">
        <v>7</v>
      </c>
    </row>
    <row r="829" spans="1:4">
      <c r="A829" t="s">
        <v>6</v>
      </c>
      <c r="B829">
        <v>22</v>
      </c>
      <c r="C829" t="str">
        <f>CHOOSE(MATCH(B829, {20,25,30,35,40,45,50,55,60,65,70,75,80,85}, 1), "20-24", "25-29", "30-34", "35-39", "40-44", "45-49", "50-54", "55-59", "60-64", "65-69", "70-74", "75-79", "80-84", "85+")</f>
        <v>20-24</v>
      </c>
      <c r="D829" t="s">
        <v>7</v>
      </c>
    </row>
    <row r="830" spans="1:4">
      <c r="A830" t="s">
        <v>6</v>
      </c>
      <c r="B830">
        <v>31</v>
      </c>
      <c r="C830" t="str">
        <f>CHOOSE(MATCH(B830, {20,25,30,35,40,45,50,55,60,65,70,75,80,85}, 1), "20-24", "25-29", "30-34", "35-39", "40-44", "45-49", "50-54", "55-59", "60-64", "65-69", "70-74", "75-79", "80-84", "85+")</f>
        <v>30-34</v>
      </c>
      <c r="D830" t="s">
        <v>8</v>
      </c>
    </row>
    <row r="831" spans="1:4">
      <c r="A831" t="s">
        <v>6</v>
      </c>
      <c r="B831">
        <v>29</v>
      </c>
      <c r="C831" t="str">
        <f>CHOOSE(MATCH(B831, {20,25,30,35,40,45,50,55,60,65,70,75,80,85}, 1), "20-24", "25-29", "30-34", "35-39", "40-44", "45-49", "50-54", "55-59", "60-64", "65-69", "70-74", "75-79", "80-84", "85+")</f>
        <v>25-29</v>
      </c>
      <c r="D831" t="s">
        <v>8</v>
      </c>
    </row>
    <row r="832" spans="1:4">
      <c r="A832" t="s">
        <v>6</v>
      </c>
      <c r="B832">
        <v>50</v>
      </c>
      <c r="C832" t="str">
        <f>CHOOSE(MATCH(B832, {20,25,30,35,40,45,50,55,60,65,70,75,80,85}, 1), "20-24", "25-29", "30-34", "35-39", "40-44", "45-49", "50-54", "55-59", "60-64", "65-69", "70-74", "75-79", "80-84", "85+")</f>
        <v>50-54</v>
      </c>
      <c r="D832" t="s">
        <v>7</v>
      </c>
    </row>
    <row r="833" spans="1:4">
      <c r="A833" t="s">
        <v>6</v>
      </c>
      <c r="B833">
        <v>39</v>
      </c>
      <c r="C833" t="str">
        <f>CHOOSE(MATCH(B833, {20,25,30,35,40,45,50,55,60,65,70,75,80,85}, 1), "20-24", "25-29", "30-34", "35-39", "40-44", "45-49", "50-54", "55-59", "60-64", "65-69", "70-74", "75-79", "80-84", "85+")</f>
        <v>35-39</v>
      </c>
      <c r="D833" t="s">
        <v>8</v>
      </c>
    </row>
    <row r="834" spans="1:4">
      <c r="A834" t="s">
        <v>6</v>
      </c>
      <c r="B834">
        <v>32</v>
      </c>
      <c r="C834" t="str">
        <f>CHOOSE(MATCH(B834, {20,25,30,35,40,45,50,55,60,65,70,75,80,85}, 1), "20-24", "25-29", "30-34", "35-39", "40-44", "45-49", "50-54", "55-59", "60-64", "65-69", "70-74", "75-79", "80-84", "85+")</f>
        <v>30-34</v>
      </c>
      <c r="D834" t="s">
        <v>7</v>
      </c>
    </row>
    <row r="835" spans="1:4">
      <c r="A835" t="s">
        <v>6</v>
      </c>
      <c r="B835">
        <v>24</v>
      </c>
      <c r="C835" t="str">
        <f>CHOOSE(MATCH(B835, {20,25,30,35,40,45,50,55,60,65,70,75,80,85}, 1), "20-24", "25-29", "30-34", "35-39", "40-44", "45-49", "50-54", "55-59", "60-64", "65-69", "70-74", "75-79", "80-84", "85+")</f>
        <v>20-24</v>
      </c>
      <c r="D835" t="s">
        <v>7</v>
      </c>
    </row>
    <row r="836" spans="1:4">
      <c r="A836" t="s">
        <v>6</v>
      </c>
      <c r="B836">
        <v>53</v>
      </c>
      <c r="C836" t="str">
        <f>CHOOSE(MATCH(B836, {20,25,30,35,40,45,50,55,60,65,70,75,80,85}, 1), "20-24", "25-29", "30-34", "35-39", "40-44", "45-49", "50-54", "55-59", "60-64", "65-69", "70-74", "75-79", "80-84", "85+")</f>
        <v>50-54</v>
      </c>
      <c r="D836" t="s">
        <v>7</v>
      </c>
    </row>
    <row r="837" spans="1:4">
      <c r="A837" t="s">
        <v>6</v>
      </c>
      <c r="B837">
        <v>51</v>
      </c>
      <c r="C837" t="str">
        <f>CHOOSE(MATCH(B837, {20,25,30,35,40,45,50,55,60,65,70,75,80,85}, 1), "20-24", "25-29", "30-34", "35-39", "40-44", "45-49", "50-54", "55-59", "60-64", "65-69", "70-74", "75-79", "80-84", "85+")</f>
        <v>50-54</v>
      </c>
      <c r="D837" t="s">
        <v>7</v>
      </c>
    </row>
    <row r="838" spans="1:4">
      <c r="A838" t="s">
        <v>6</v>
      </c>
      <c r="B838">
        <v>44</v>
      </c>
      <c r="C838" t="str">
        <f>CHOOSE(MATCH(B838, {20,25,30,35,40,45,50,55,60,65,70,75,80,85}, 1), "20-24", "25-29", "30-34", "35-39", "40-44", "45-49", "50-54", "55-59", "60-64", "65-69", "70-74", "75-79", "80-84", "85+")</f>
        <v>40-44</v>
      </c>
      <c r="D838" t="s">
        <v>8</v>
      </c>
    </row>
    <row r="839" spans="1:4">
      <c r="A839" t="s">
        <v>6</v>
      </c>
      <c r="B839">
        <v>80</v>
      </c>
      <c r="C839" t="str">
        <f>CHOOSE(MATCH(B839, {20,25,30,35,40,45,50,55,60,65,70,75,80,85}, 1), "20-24", "25-29", "30-34", "35-39", "40-44", "45-49", "50-54", "55-59", "60-64", "65-69", "70-74", "75-79", "80-84", "85+")</f>
        <v>80-84</v>
      </c>
      <c r="D839" t="s">
        <v>7</v>
      </c>
    </row>
    <row r="840" spans="1:4">
      <c r="A840" t="s">
        <v>6</v>
      </c>
      <c r="B840">
        <v>55</v>
      </c>
      <c r="C840" t="str">
        <f>CHOOSE(MATCH(B840, {20,25,30,35,40,45,50,55,60,65,70,75,80,85}, 1), "20-24", "25-29", "30-34", "35-39", "40-44", "45-49", "50-54", "55-59", "60-64", "65-69", "70-74", "75-79", "80-84", "85+")</f>
        <v>55-59</v>
      </c>
      <c r="D840" t="s">
        <v>7</v>
      </c>
    </row>
    <row r="841" spans="1:4">
      <c r="A841" t="s">
        <v>6</v>
      </c>
      <c r="B841">
        <v>54</v>
      </c>
      <c r="C841" t="str">
        <f>CHOOSE(MATCH(B841, {20,25,30,35,40,45,50,55,60,65,70,75,80,85}, 1), "20-24", "25-29", "30-34", "35-39", "40-44", "45-49", "50-54", "55-59", "60-64", "65-69", "70-74", "75-79", "80-84", "85+")</f>
        <v>50-54</v>
      </c>
      <c r="D841" t="s">
        <v>8</v>
      </c>
    </row>
    <row r="842" spans="1:4">
      <c r="A842" t="s">
        <v>6</v>
      </c>
      <c r="B842">
        <v>30</v>
      </c>
      <c r="C842" t="str">
        <f>CHOOSE(MATCH(B842, {20,25,30,35,40,45,50,55,60,65,70,75,80,85}, 1), "20-24", "25-29", "30-34", "35-39", "40-44", "45-49", "50-54", "55-59", "60-64", "65-69", "70-74", "75-79", "80-84", "85+")</f>
        <v>30-34</v>
      </c>
      <c r="D842" t="s">
        <v>7</v>
      </c>
    </row>
    <row r="843" spans="1:4">
      <c r="A843" t="s">
        <v>6</v>
      </c>
      <c r="B843">
        <v>54</v>
      </c>
      <c r="C843" t="str">
        <f>CHOOSE(MATCH(B843, {20,25,30,35,40,45,50,55,60,65,70,75,80,85}, 1), "20-24", "25-29", "30-34", "35-39", "40-44", "45-49", "50-54", "55-59", "60-64", "65-69", "70-74", "75-79", "80-84", "85+")</f>
        <v>50-54</v>
      </c>
      <c r="D843" t="s">
        <v>8</v>
      </c>
    </row>
    <row r="844" spans="1:4">
      <c r="A844" t="s">
        <v>6</v>
      </c>
      <c r="B844">
        <v>77</v>
      </c>
      <c r="C844" t="str">
        <f>CHOOSE(MATCH(B844, {20,25,30,35,40,45,50,55,60,65,70,75,80,85}, 1), "20-24", "25-29", "30-34", "35-39", "40-44", "45-49", "50-54", "55-59", "60-64", "65-69", "70-74", "75-79", "80-84", "85+")</f>
        <v>75-79</v>
      </c>
      <c r="D844" t="s">
        <v>8</v>
      </c>
    </row>
    <row r="845" spans="1:4">
      <c r="A845" t="s">
        <v>6</v>
      </c>
      <c r="B845">
        <v>59</v>
      </c>
      <c r="C845" t="str">
        <f>CHOOSE(MATCH(B845, {20,25,30,35,40,45,50,55,60,65,70,75,80,85}, 1), "20-24", "25-29", "30-34", "35-39", "40-44", "45-49", "50-54", "55-59", "60-64", "65-69", "70-74", "75-79", "80-84", "85+")</f>
        <v>55-59</v>
      </c>
      <c r="D845" t="s">
        <v>7</v>
      </c>
    </row>
    <row r="846" spans="1:4">
      <c r="A846" t="s">
        <v>6</v>
      </c>
      <c r="B846">
        <v>62</v>
      </c>
      <c r="C846" t="str">
        <f>CHOOSE(MATCH(B846, {20,25,30,35,40,45,50,55,60,65,70,75,80,85}, 1), "20-24", "25-29", "30-34", "35-39", "40-44", "45-49", "50-54", "55-59", "60-64", "65-69", "70-74", "75-79", "80-84", "85+")</f>
        <v>60-64</v>
      </c>
      <c r="D846" t="s">
        <v>7</v>
      </c>
    </row>
    <row r="847" spans="1:4">
      <c r="A847" t="s">
        <v>6</v>
      </c>
      <c r="B847">
        <v>32</v>
      </c>
      <c r="C847" t="str">
        <f>CHOOSE(MATCH(B847, {20,25,30,35,40,45,50,55,60,65,70,75,80,85}, 1), "20-24", "25-29", "30-34", "35-39", "40-44", "45-49", "50-54", "55-59", "60-64", "65-69", "70-74", "75-79", "80-84", "85+")</f>
        <v>30-34</v>
      </c>
      <c r="D847" t="s">
        <v>8</v>
      </c>
    </row>
    <row r="848" spans="1:4">
      <c r="A848" t="s">
        <v>6</v>
      </c>
      <c r="B848">
        <v>36</v>
      </c>
      <c r="C848" t="str">
        <f>CHOOSE(MATCH(B848, {20,25,30,35,40,45,50,55,60,65,70,75,80,85}, 1), "20-24", "25-29", "30-34", "35-39", "40-44", "45-49", "50-54", "55-59", "60-64", "65-69", "70-74", "75-79", "80-84", "85+")</f>
        <v>35-39</v>
      </c>
      <c r="D848" t="s">
        <v>8</v>
      </c>
    </row>
    <row r="849" spans="1:4">
      <c r="A849" t="s">
        <v>6</v>
      </c>
      <c r="B849">
        <v>35</v>
      </c>
      <c r="C849" t="str">
        <f>CHOOSE(MATCH(B849, {20,25,30,35,40,45,50,55,60,65,70,75,80,85}, 1), "20-24", "25-29", "30-34", "35-39", "40-44", "45-49", "50-54", "55-59", "60-64", "65-69", "70-74", "75-79", "80-84", "85+")</f>
        <v>35-39</v>
      </c>
      <c r="D849" t="s">
        <v>8</v>
      </c>
    </row>
    <row r="850" spans="1:4">
      <c r="A850" t="s">
        <v>6</v>
      </c>
      <c r="B850">
        <v>38</v>
      </c>
      <c r="C850" t="str">
        <f>CHOOSE(MATCH(B850, {20,25,30,35,40,45,50,55,60,65,70,75,80,85}, 1), "20-24", "25-29", "30-34", "35-39", "40-44", "45-49", "50-54", "55-59", "60-64", "65-69", "70-74", "75-79", "80-84", "85+")</f>
        <v>35-39</v>
      </c>
      <c r="D850" t="s">
        <v>7</v>
      </c>
    </row>
    <row r="851" spans="1:4">
      <c r="A851" t="s">
        <v>6</v>
      </c>
      <c r="B851">
        <v>75</v>
      </c>
      <c r="C851" t="str">
        <f>CHOOSE(MATCH(B851, {20,25,30,35,40,45,50,55,60,65,70,75,80,85}, 1), "20-24", "25-29", "30-34", "35-39", "40-44", "45-49", "50-54", "55-59", "60-64", "65-69", "70-74", "75-79", "80-84", "85+")</f>
        <v>75-79</v>
      </c>
      <c r="D851" t="s">
        <v>8</v>
      </c>
    </row>
    <row r="852" spans="1:4">
      <c r="A852" t="s">
        <v>6</v>
      </c>
      <c r="B852">
        <v>67</v>
      </c>
      <c r="C852" t="str">
        <f>CHOOSE(MATCH(B852, {20,25,30,35,40,45,50,55,60,65,70,75,80,85}, 1), "20-24", "25-29", "30-34", "35-39", "40-44", "45-49", "50-54", "55-59", "60-64", "65-69", "70-74", "75-79", "80-84", "85+")</f>
        <v>65-69</v>
      </c>
      <c r="D852" t="s">
        <v>8</v>
      </c>
    </row>
    <row r="853" spans="1:4">
      <c r="A853" t="s">
        <v>6</v>
      </c>
      <c r="B853">
        <v>51</v>
      </c>
      <c r="C853" t="str">
        <f>CHOOSE(MATCH(B853, {20,25,30,35,40,45,50,55,60,65,70,75,80,85}, 1), "20-24", "25-29", "30-34", "35-39", "40-44", "45-49", "50-54", "55-59", "60-64", "65-69", "70-74", "75-79", "80-84", "85+")</f>
        <v>50-54</v>
      </c>
      <c r="D853" t="s">
        <v>7</v>
      </c>
    </row>
    <row r="854" spans="1:4">
      <c r="A854" t="s">
        <v>6</v>
      </c>
      <c r="B854">
        <v>51</v>
      </c>
      <c r="C854" t="str">
        <f>CHOOSE(MATCH(B854, {20,25,30,35,40,45,50,55,60,65,70,75,80,85}, 1), "20-24", "25-29", "30-34", "35-39", "40-44", "45-49", "50-54", "55-59", "60-64", "65-69", "70-74", "75-79", "80-84", "85+")</f>
        <v>50-54</v>
      </c>
      <c r="D854" t="s">
        <v>8</v>
      </c>
    </row>
    <row r="855" spans="1:4">
      <c r="A855" t="s">
        <v>6</v>
      </c>
      <c r="B855">
        <v>41</v>
      </c>
      <c r="C855" t="str">
        <f>CHOOSE(MATCH(B855, {20,25,30,35,40,45,50,55,60,65,70,75,80,85}, 1), "20-24", "25-29", "30-34", "35-39", "40-44", "45-49", "50-54", "55-59", "60-64", "65-69", "70-74", "75-79", "80-84", "85+")</f>
        <v>40-44</v>
      </c>
      <c r="D855" t="s">
        <v>7</v>
      </c>
    </row>
    <row r="856" spans="1:4">
      <c r="A856" t="s">
        <v>6</v>
      </c>
      <c r="B856">
        <v>65</v>
      </c>
      <c r="C856" t="str">
        <f>CHOOSE(MATCH(B856, {20,25,30,35,40,45,50,55,60,65,70,75,80,85}, 1), "20-24", "25-29", "30-34", "35-39", "40-44", "45-49", "50-54", "55-59", "60-64", "65-69", "70-74", "75-79", "80-84", "85+")</f>
        <v>65-69</v>
      </c>
      <c r="D856" t="s">
        <v>7</v>
      </c>
    </row>
    <row r="857" spans="1:4">
      <c r="A857" t="s">
        <v>6</v>
      </c>
      <c r="B857">
        <v>36</v>
      </c>
      <c r="C857" t="str">
        <f>CHOOSE(MATCH(B857, {20,25,30,35,40,45,50,55,60,65,70,75,80,85}, 1), "20-24", "25-29", "30-34", "35-39", "40-44", "45-49", "50-54", "55-59", "60-64", "65-69", "70-74", "75-79", "80-84", "85+")</f>
        <v>35-39</v>
      </c>
      <c r="D857" t="s">
        <v>7</v>
      </c>
    </row>
    <row r="858" spans="1:4">
      <c r="A858" t="s">
        <v>6</v>
      </c>
      <c r="B858">
        <v>39</v>
      </c>
      <c r="C858" t="str">
        <f>CHOOSE(MATCH(B858, {20,25,30,35,40,45,50,55,60,65,70,75,80,85}, 1), "20-24", "25-29", "30-34", "35-39", "40-44", "45-49", "50-54", "55-59", "60-64", "65-69", "70-74", "75-79", "80-84", "85+")</f>
        <v>35-39</v>
      </c>
      <c r="D858" t="s">
        <v>8</v>
      </c>
    </row>
    <row r="859" spans="1:4">
      <c r="A859" t="s">
        <v>6</v>
      </c>
      <c r="B859">
        <v>32</v>
      </c>
      <c r="C859" t="str">
        <f>CHOOSE(MATCH(B859, {20,25,30,35,40,45,50,55,60,65,70,75,80,85}, 1), "20-24", "25-29", "30-34", "35-39", "40-44", "45-49", "50-54", "55-59", "60-64", "65-69", "70-74", "75-79", "80-84", "85+")</f>
        <v>30-34</v>
      </c>
      <c r="D859" t="s">
        <v>8</v>
      </c>
    </row>
    <row r="860" spans="1:4">
      <c r="A860" t="s">
        <v>6</v>
      </c>
      <c r="B860">
        <v>28</v>
      </c>
      <c r="C860" t="str">
        <f>CHOOSE(MATCH(B860, {20,25,30,35,40,45,50,55,60,65,70,75,80,85}, 1), "20-24", "25-29", "30-34", "35-39", "40-44", "45-49", "50-54", "55-59", "60-64", "65-69", "70-74", "75-79", "80-84", "85+")</f>
        <v>25-29</v>
      </c>
      <c r="D860" t="s">
        <v>7</v>
      </c>
    </row>
    <row r="861" spans="1:4">
      <c r="A861" t="s">
        <v>6</v>
      </c>
      <c r="B861">
        <v>32</v>
      </c>
      <c r="C861" t="str">
        <f>CHOOSE(MATCH(B861, {20,25,30,35,40,45,50,55,60,65,70,75,80,85}, 1), "20-24", "25-29", "30-34", "35-39", "40-44", "45-49", "50-54", "55-59", "60-64", "65-69", "70-74", "75-79", "80-84", "85+")</f>
        <v>30-34</v>
      </c>
      <c r="D861" t="s">
        <v>7</v>
      </c>
    </row>
    <row r="862" spans="1:4">
      <c r="A862" t="s">
        <v>6</v>
      </c>
      <c r="B862">
        <v>34</v>
      </c>
      <c r="C862" t="str">
        <f>CHOOSE(MATCH(B862, {20,25,30,35,40,45,50,55,60,65,70,75,80,85}, 1), "20-24", "25-29", "30-34", "35-39", "40-44", "45-49", "50-54", "55-59", "60-64", "65-69", "70-74", "75-79", "80-84", "85+")</f>
        <v>30-34</v>
      </c>
      <c r="D862" t="s">
        <v>7</v>
      </c>
    </row>
    <row r="863" spans="1:4">
      <c r="A863" t="s">
        <v>6</v>
      </c>
      <c r="B863">
        <v>40</v>
      </c>
      <c r="C863" t="str">
        <f>CHOOSE(MATCH(B863, {20,25,30,35,40,45,50,55,60,65,70,75,80,85}, 1), "20-24", "25-29", "30-34", "35-39", "40-44", "45-49", "50-54", "55-59", "60-64", "65-69", "70-74", "75-79", "80-84", "85+")</f>
        <v>40-44</v>
      </c>
      <c r="D863" t="s">
        <v>7</v>
      </c>
    </row>
    <row r="864" spans="1:4">
      <c r="A864" t="s">
        <v>6</v>
      </c>
      <c r="B864">
        <v>41</v>
      </c>
      <c r="C864" t="str">
        <f>CHOOSE(MATCH(B864, {20,25,30,35,40,45,50,55,60,65,70,75,80,85}, 1), "20-24", "25-29", "30-34", "35-39", "40-44", "45-49", "50-54", "55-59", "60-64", "65-69", "70-74", "75-79", "80-84", "85+")</f>
        <v>40-44</v>
      </c>
      <c r="D864" t="s">
        <v>8</v>
      </c>
    </row>
    <row r="865" spans="1:4">
      <c r="A865" t="s">
        <v>6</v>
      </c>
      <c r="B865">
        <v>25</v>
      </c>
      <c r="C865" t="str">
        <f>CHOOSE(MATCH(B865, {20,25,30,35,40,45,50,55,60,65,70,75,80,85}, 1), "20-24", "25-29", "30-34", "35-39", "40-44", "45-49", "50-54", "55-59", "60-64", "65-69", "70-74", "75-79", "80-84", "85+")</f>
        <v>25-29</v>
      </c>
      <c r="D865" t="s">
        <v>7</v>
      </c>
    </row>
    <row r="866" spans="1:4">
      <c r="A866" t="s">
        <v>6</v>
      </c>
      <c r="B866">
        <v>48</v>
      </c>
      <c r="C866" t="str">
        <f>CHOOSE(MATCH(B866, {20,25,30,35,40,45,50,55,60,65,70,75,80,85}, 1), "20-24", "25-29", "30-34", "35-39", "40-44", "45-49", "50-54", "55-59", "60-64", "65-69", "70-74", "75-79", "80-84", "85+")</f>
        <v>45-49</v>
      </c>
      <c r="D866" t="s">
        <v>7</v>
      </c>
    </row>
    <row r="867" spans="1:4">
      <c r="A867" t="s">
        <v>6</v>
      </c>
      <c r="B867">
        <v>24</v>
      </c>
      <c r="C867" t="str">
        <f>CHOOSE(MATCH(B867, {20,25,30,35,40,45,50,55,60,65,70,75,80,85}, 1), "20-24", "25-29", "30-34", "35-39", "40-44", "45-49", "50-54", "55-59", "60-64", "65-69", "70-74", "75-79", "80-84", "85+")</f>
        <v>20-24</v>
      </c>
      <c r="D867" t="s">
        <v>7</v>
      </c>
    </row>
    <row r="868" spans="1:4">
      <c r="A868" t="s">
        <v>6</v>
      </c>
      <c r="B868">
        <v>41</v>
      </c>
      <c r="C868" t="str">
        <f>CHOOSE(MATCH(B868, {20,25,30,35,40,45,50,55,60,65,70,75,80,85}, 1), "20-24", "25-29", "30-34", "35-39", "40-44", "45-49", "50-54", "55-59", "60-64", "65-69", "70-74", "75-79", "80-84", "85+")</f>
        <v>40-44</v>
      </c>
      <c r="D868" t="s">
        <v>8</v>
      </c>
    </row>
    <row r="869" spans="1:4">
      <c r="A869" t="s">
        <v>6</v>
      </c>
      <c r="B869">
        <v>41</v>
      </c>
      <c r="C869" t="str">
        <f>CHOOSE(MATCH(B869, {20,25,30,35,40,45,50,55,60,65,70,75,80,85}, 1), "20-24", "25-29", "30-34", "35-39", "40-44", "45-49", "50-54", "55-59", "60-64", "65-69", "70-74", "75-79", "80-84", "85+")</f>
        <v>40-44</v>
      </c>
      <c r="D869" t="s">
        <v>7</v>
      </c>
    </row>
    <row r="870" spans="1:4">
      <c r="A870" t="s">
        <v>6</v>
      </c>
      <c r="B870">
        <v>68</v>
      </c>
      <c r="C870" t="str">
        <f>CHOOSE(MATCH(B870, {20,25,30,35,40,45,50,55,60,65,70,75,80,85}, 1), "20-24", "25-29", "30-34", "35-39", "40-44", "45-49", "50-54", "55-59", "60-64", "65-69", "70-74", "75-79", "80-84", "85+")</f>
        <v>65-69</v>
      </c>
      <c r="D870" t="s">
        <v>7</v>
      </c>
    </row>
    <row r="871" spans="1:4">
      <c r="A871" t="s">
        <v>6</v>
      </c>
      <c r="B871">
        <v>21</v>
      </c>
      <c r="C871" t="str">
        <f>CHOOSE(MATCH(B871, {20,25,30,35,40,45,50,55,60,65,70,75,80,85}, 1), "20-24", "25-29", "30-34", "35-39", "40-44", "45-49", "50-54", "55-59", "60-64", "65-69", "70-74", "75-79", "80-84", "85+")</f>
        <v>20-24</v>
      </c>
      <c r="D871" t="s">
        <v>7</v>
      </c>
    </row>
    <row r="872" spans="1:4">
      <c r="A872" t="s">
        <v>6</v>
      </c>
      <c r="B872">
        <v>25</v>
      </c>
      <c r="C872" t="str">
        <f>CHOOSE(MATCH(B872, {20,25,30,35,40,45,50,55,60,65,70,75,80,85}, 1), "20-24", "25-29", "30-34", "35-39", "40-44", "45-49", "50-54", "55-59", "60-64", "65-69", "70-74", "75-79", "80-84", "85+")</f>
        <v>25-29</v>
      </c>
      <c r="D872" t="s">
        <v>7</v>
      </c>
    </row>
    <row r="873" spans="1:4">
      <c r="A873" t="s">
        <v>6</v>
      </c>
      <c r="B873">
        <v>24</v>
      </c>
      <c r="C873" t="str">
        <f>CHOOSE(MATCH(B873, {20,25,30,35,40,45,50,55,60,65,70,75,80,85}, 1), "20-24", "25-29", "30-34", "35-39", "40-44", "45-49", "50-54", "55-59", "60-64", "65-69", "70-74", "75-79", "80-84", "85+")</f>
        <v>20-24</v>
      </c>
      <c r="D873" t="s">
        <v>7</v>
      </c>
    </row>
    <row r="874" spans="1:4">
      <c r="A874" t="s">
        <v>6</v>
      </c>
      <c r="B874">
        <v>39</v>
      </c>
      <c r="C874" t="str">
        <f>CHOOSE(MATCH(B874, {20,25,30,35,40,45,50,55,60,65,70,75,80,85}, 1), "20-24", "25-29", "30-34", "35-39", "40-44", "45-49", "50-54", "55-59", "60-64", "65-69", "70-74", "75-79", "80-84", "85+")</f>
        <v>35-39</v>
      </c>
      <c r="D874" t="s">
        <v>8</v>
      </c>
    </row>
    <row r="875" spans="1:4">
      <c r="A875" t="s">
        <v>6</v>
      </c>
      <c r="B875">
        <v>40</v>
      </c>
      <c r="C875" t="str">
        <f>CHOOSE(MATCH(B875, {20,25,30,35,40,45,50,55,60,65,70,75,80,85}, 1), "20-24", "25-29", "30-34", "35-39", "40-44", "45-49", "50-54", "55-59", "60-64", "65-69", "70-74", "75-79", "80-84", "85+")</f>
        <v>40-44</v>
      </c>
      <c r="D875" t="s">
        <v>8</v>
      </c>
    </row>
    <row r="876" spans="1:4">
      <c r="A876" t="s">
        <v>6</v>
      </c>
      <c r="B876">
        <v>53</v>
      </c>
      <c r="C876" t="str">
        <f>CHOOSE(MATCH(B876, {20,25,30,35,40,45,50,55,60,65,70,75,80,85}, 1), "20-24", "25-29", "30-34", "35-39", "40-44", "45-49", "50-54", "55-59", "60-64", "65-69", "70-74", "75-79", "80-84", "85+")</f>
        <v>50-54</v>
      </c>
      <c r="D876" t="s">
        <v>7</v>
      </c>
    </row>
    <row r="877" spans="1:4">
      <c r="A877" t="s">
        <v>6</v>
      </c>
      <c r="B877">
        <v>26</v>
      </c>
      <c r="C877" t="str">
        <f>CHOOSE(MATCH(B877, {20,25,30,35,40,45,50,55,60,65,70,75,80,85}, 1), "20-24", "25-29", "30-34", "35-39", "40-44", "45-49", "50-54", "55-59", "60-64", "65-69", "70-74", "75-79", "80-84", "85+")</f>
        <v>25-29</v>
      </c>
      <c r="D877" t="s">
        <v>7</v>
      </c>
    </row>
    <row r="878" spans="1:4">
      <c r="A878" t="s">
        <v>6</v>
      </c>
      <c r="B878">
        <v>25</v>
      </c>
      <c r="C878" t="str">
        <f>CHOOSE(MATCH(B878, {20,25,30,35,40,45,50,55,60,65,70,75,80,85}, 1), "20-24", "25-29", "30-34", "35-39", "40-44", "45-49", "50-54", "55-59", "60-64", "65-69", "70-74", "75-79", "80-84", "85+")</f>
        <v>25-29</v>
      </c>
      <c r="D878" t="s">
        <v>8</v>
      </c>
    </row>
    <row r="879" spans="1:4">
      <c r="A879" t="s">
        <v>6</v>
      </c>
      <c r="B879">
        <v>52</v>
      </c>
      <c r="C879" t="str">
        <f>CHOOSE(MATCH(B879, {20,25,30,35,40,45,50,55,60,65,70,75,80,85}, 1), "20-24", "25-29", "30-34", "35-39", "40-44", "45-49", "50-54", "55-59", "60-64", "65-69", "70-74", "75-79", "80-84", "85+")</f>
        <v>50-54</v>
      </c>
      <c r="D879" t="s">
        <v>7</v>
      </c>
    </row>
    <row r="880" spans="1:4">
      <c r="A880" t="s">
        <v>6</v>
      </c>
      <c r="B880">
        <v>43</v>
      </c>
      <c r="C880" t="str">
        <f>CHOOSE(MATCH(B880, {20,25,30,35,40,45,50,55,60,65,70,75,80,85}, 1), "20-24", "25-29", "30-34", "35-39", "40-44", "45-49", "50-54", "55-59", "60-64", "65-69", "70-74", "75-79", "80-84", "85+")</f>
        <v>40-44</v>
      </c>
      <c r="D880" t="s">
        <v>7</v>
      </c>
    </row>
    <row r="881" spans="1:4">
      <c r="A881" t="s">
        <v>6</v>
      </c>
      <c r="B881">
        <v>41</v>
      </c>
      <c r="C881" t="str">
        <f>CHOOSE(MATCH(B881, {20,25,30,35,40,45,50,55,60,65,70,75,80,85}, 1), "20-24", "25-29", "30-34", "35-39", "40-44", "45-49", "50-54", "55-59", "60-64", "65-69", "70-74", "75-79", "80-84", "85+")</f>
        <v>40-44</v>
      </c>
      <c r="D881" t="s">
        <v>7</v>
      </c>
    </row>
    <row r="882" spans="1:4">
      <c r="A882" t="s">
        <v>6</v>
      </c>
      <c r="B882">
        <v>46</v>
      </c>
      <c r="C882" t="str">
        <f>CHOOSE(MATCH(B882, {20,25,30,35,40,45,50,55,60,65,70,75,80,85}, 1), "20-24", "25-29", "30-34", "35-39", "40-44", "45-49", "50-54", "55-59", "60-64", "65-69", "70-74", "75-79", "80-84", "85+")</f>
        <v>45-49</v>
      </c>
      <c r="D882" t="s">
        <v>8</v>
      </c>
    </row>
    <row r="883" spans="1:4">
      <c r="A883" t="s">
        <v>6</v>
      </c>
      <c r="B883">
        <v>38</v>
      </c>
      <c r="C883" t="str">
        <f>CHOOSE(MATCH(B883, {20,25,30,35,40,45,50,55,60,65,70,75,80,85}, 1), "20-24", "25-29", "30-34", "35-39", "40-44", "45-49", "50-54", "55-59", "60-64", "65-69", "70-74", "75-79", "80-84", "85+")</f>
        <v>35-39</v>
      </c>
      <c r="D883" t="s">
        <v>8</v>
      </c>
    </row>
    <row r="884" spans="1:4">
      <c r="A884" t="s">
        <v>6</v>
      </c>
      <c r="B884">
        <v>22</v>
      </c>
      <c r="C884" t="str">
        <f>CHOOSE(MATCH(B884, {20,25,30,35,40,45,50,55,60,65,70,75,80,85}, 1), "20-24", "25-29", "30-34", "35-39", "40-44", "45-49", "50-54", "55-59", "60-64", "65-69", "70-74", "75-79", "80-84", "85+")</f>
        <v>20-24</v>
      </c>
      <c r="D884" t="s">
        <v>7</v>
      </c>
    </row>
    <row r="885" spans="1:4">
      <c r="A885" t="s">
        <v>6</v>
      </c>
      <c r="B885">
        <v>63</v>
      </c>
      <c r="C885" t="str">
        <f>CHOOSE(MATCH(B885, {20,25,30,35,40,45,50,55,60,65,70,75,80,85}, 1), "20-24", "25-29", "30-34", "35-39", "40-44", "45-49", "50-54", "55-59", "60-64", "65-69", "70-74", "75-79", "80-84", "85+")</f>
        <v>60-64</v>
      </c>
      <c r="D885" t="s">
        <v>7</v>
      </c>
    </row>
    <row r="886" spans="1:4">
      <c r="A886" t="s">
        <v>6</v>
      </c>
      <c r="B886">
        <v>36</v>
      </c>
      <c r="C886" t="str">
        <f>CHOOSE(MATCH(B886, {20,25,30,35,40,45,50,55,60,65,70,75,80,85}, 1), "20-24", "25-29", "30-34", "35-39", "40-44", "45-49", "50-54", "55-59", "60-64", "65-69", "70-74", "75-79", "80-84", "85+")</f>
        <v>35-39</v>
      </c>
      <c r="D886" t="s">
        <v>7</v>
      </c>
    </row>
    <row r="887" spans="1:4">
      <c r="A887" t="s">
        <v>6</v>
      </c>
      <c r="B887">
        <v>28</v>
      </c>
      <c r="C887" t="str">
        <f>CHOOSE(MATCH(B887, {20,25,30,35,40,45,50,55,60,65,70,75,80,85}, 1), "20-24", "25-29", "30-34", "35-39", "40-44", "45-49", "50-54", "55-59", "60-64", "65-69", "70-74", "75-79", "80-84", "85+")</f>
        <v>25-29</v>
      </c>
      <c r="D887" t="s">
        <v>7</v>
      </c>
    </row>
    <row r="888" spans="1:4">
      <c r="A888" t="s">
        <v>6</v>
      </c>
      <c r="B888">
        <v>45</v>
      </c>
      <c r="C888" t="str">
        <f>CHOOSE(MATCH(B888, {20,25,30,35,40,45,50,55,60,65,70,75,80,85}, 1), "20-24", "25-29", "30-34", "35-39", "40-44", "45-49", "50-54", "55-59", "60-64", "65-69", "70-74", "75-79", "80-84", "85+")</f>
        <v>45-49</v>
      </c>
      <c r="D888" t="s">
        <v>8</v>
      </c>
    </row>
    <row r="889" spans="1:4">
      <c r="A889" t="s">
        <v>6</v>
      </c>
      <c r="B889">
        <v>52</v>
      </c>
      <c r="C889" t="str">
        <f>CHOOSE(MATCH(B889, {20,25,30,35,40,45,50,55,60,65,70,75,80,85}, 1), "20-24", "25-29", "30-34", "35-39", "40-44", "45-49", "50-54", "55-59", "60-64", "65-69", "70-74", "75-79", "80-84", "85+")</f>
        <v>50-54</v>
      </c>
      <c r="D889" t="s">
        <v>8</v>
      </c>
    </row>
    <row r="890" spans="1:4">
      <c r="A890" t="s">
        <v>6</v>
      </c>
      <c r="B890">
        <v>34</v>
      </c>
      <c r="C890" t="str">
        <f>CHOOSE(MATCH(B890, {20,25,30,35,40,45,50,55,60,65,70,75,80,85}, 1), "20-24", "25-29", "30-34", "35-39", "40-44", "45-49", "50-54", "55-59", "60-64", "65-69", "70-74", "75-79", "80-84", "85+")</f>
        <v>30-34</v>
      </c>
      <c r="D890" t="s">
        <v>7</v>
      </c>
    </row>
    <row r="891" spans="1:4">
      <c r="A891" t="s">
        <v>6</v>
      </c>
      <c r="B891">
        <v>32</v>
      </c>
      <c r="C891" t="str">
        <f>CHOOSE(MATCH(B891, {20,25,30,35,40,45,50,55,60,65,70,75,80,85}, 1), "20-24", "25-29", "30-34", "35-39", "40-44", "45-49", "50-54", "55-59", "60-64", "65-69", "70-74", "75-79", "80-84", "85+")</f>
        <v>30-34</v>
      </c>
      <c r="D891" t="s">
        <v>7</v>
      </c>
    </row>
    <row r="892" spans="1:4">
      <c r="A892" t="s">
        <v>6</v>
      </c>
      <c r="B892">
        <v>84</v>
      </c>
      <c r="C892" t="str">
        <f>CHOOSE(MATCH(B892, {20,25,30,35,40,45,50,55,60,65,70,75,80,85}, 1), "20-24", "25-29", "30-34", "35-39", "40-44", "45-49", "50-54", "55-59", "60-64", "65-69", "70-74", "75-79", "80-84", "85+")</f>
        <v>80-84</v>
      </c>
      <c r="D892" t="s">
        <v>7</v>
      </c>
    </row>
    <row r="893" spans="1:4">
      <c r="A893" t="s">
        <v>6</v>
      </c>
      <c r="B893">
        <v>48</v>
      </c>
      <c r="C893" t="str">
        <f>CHOOSE(MATCH(B893, {20,25,30,35,40,45,50,55,60,65,70,75,80,85}, 1), "20-24", "25-29", "30-34", "35-39", "40-44", "45-49", "50-54", "55-59", "60-64", "65-69", "70-74", "75-79", "80-84", "85+")</f>
        <v>45-49</v>
      </c>
      <c r="D893" t="s">
        <v>8</v>
      </c>
    </row>
    <row r="894" spans="1:4">
      <c r="A894" t="s">
        <v>6</v>
      </c>
      <c r="B894">
        <v>46</v>
      </c>
      <c r="C894" t="str">
        <f>CHOOSE(MATCH(B894, {20,25,30,35,40,45,50,55,60,65,70,75,80,85}, 1), "20-24", "25-29", "30-34", "35-39", "40-44", "45-49", "50-54", "55-59", "60-64", "65-69", "70-74", "75-79", "80-84", "85+")</f>
        <v>45-49</v>
      </c>
      <c r="D894" t="s">
        <v>7</v>
      </c>
    </row>
    <row r="895" spans="1:4">
      <c r="A895" t="s">
        <v>6</v>
      </c>
      <c r="B895">
        <v>32</v>
      </c>
      <c r="C895" t="str">
        <f>CHOOSE(MATCH(B895, {20,25,30,35,40,45,50,55,60,65,70,75,80,85}, 1), "20-24", "25-29", "30-34", "35-39", "40-44", "45-49", "50-54", "55-59", "60-64", "65-69", "70-74", "75-79", "80-84", "85+")</f>
        <v>30-34</v>
      </c>
      <c r="D895" t="s">
        <v>7</v>
      </c>
    </row>
    <row r="896" spans="1:4">
      <c r="A896" t="s">
        <v>6</v>
      </c>
      <c r="B896">
        <v>58</v>
      </c>
      <c r="C896" t="str">
        <f>CHOOSE(MATCH(B896, {20,25,30,35,40,45,50,55,60,65,70,75,80,85}, 1), "20-24", "25-29", "30-34", "35-39", "40-44", "45-49", "50-54", "55-59", "60-64", "65-69", "70-74", "75-79", "80-84", "85+")</f>
        <v>55-59</v>
      </c>
      <c r="D896" t="s">
        <v>7</v>
      </c>
    </row>
    <row r="897" spans="1:4">
      <c r="A897" t="s">
        <v>6</v>
      </c>
      <c r="B897">
        <v>31</v>
      </c>
      <c r="C897" t="str">
        <f>CHOOSE(MATCH(B897, {20,25,30,35,40,45,50,55,60,65,70,75,80,85}, 1), "20-24", "25-29", "30-34", "35-39", "40-44", "45-49", "50-54", "55-59", "60-64", "65-69", "70-74", "75-79", "80-84", "85+")</f>
        <v>30-34</v>
      </c>
      <c r="D897" t="s">
        <v>8</v>
      </c>
    </row>
    <row r="898" spans="1:4">
      <c r="A898" t="s">
        <v>6</v>
      </c>
      <c r="B898">
        <v>47</v>
      </c>
      <c r="C898" t="str">
        <f>CHOOSE(MATCH(B898, {20,25,30,35,40,45,50,55,60,65,70,75,80,85}, 1), "20-24", "25-29", "30-34", "35-39", "40-44", "45-49", "50-54", "55-59", "60-64", "65-69", "70-74", "75-79", "80-84", "85+")</f>
        <v>45-49</v>
      </c>
      <c r="D898" t="s">
        <v>8</v>
      </c>
    </row>
    <row r="899" spans="1:4">
      <c r="A899" t="s">
        <v>6</v>
      </c>
      <c r="B899">
        <v>30</v>
      </c>
      <c r="C899" t="str">
        <f>CHOOSE(MATCH(B899, {20,25,30,35,40,45,50,55,60,65,70,75,80,85}, 1), "20-24", "25-29", "30-34", "35-39", "40-44", "45-49", "50-54", "55-59", "60-64", "65-69", "70-74", "75-79", "80-84", "85+")</f>
        <v>30-34</v>
      </c>
      <c r="D899" t="s">
        <v>7</v>
      </c>
    </row>
    <row r="900" spans="1:4">
      <c r="A900" t="s">
        <v>6</v>
      </c>
      <c r="B900">
        <v>34</v>
      </c>
      <c r="C900" t="str">
        <f>CHOOSE(MATCH(B900, {20,25,30,35,40,45,50,55,60,65,70,75,80,85}, 1), "20-24", "25-29", "30-34", "35-39", "40-44", "45-49", "50-54", "55-59", "60-64", "65-69", "70-74", "75-79", "80-84", "85+")</f>
        <v>30-34</v>
      </c>
      <c r="D900" t="s">
        <v>8</v>
      </c>
    </row>
    <row r="901" spans="1:4">
      <c r="A901" t="s">
        <v>6</v>
      </c>
      <c r="B901">
        <v>35</v>
      </c>
      <c r="C901" t="str">
        <f>CHOOSE(MATCH(B901, {20,25,30,35,40,45,50,55,60,65,70,75,80,85}, 1), "20-24", "25-29", "30-34", "35-39", "40-44", "45-49", "50-54", "55-59", "60-64", "65-69", "70-74", "75-79", "80-84", "85+")</f>
        <v>35-39</v>
      </c>
      <c r="D901" t="s">
        <v>7</v>
      </c>
    </row>
    <row r="902" spans="1:4">
      <c r="A902" t="s">
        <v>6</v>
      </c>
      <c r="B902">
        <v>37</v>
      </c>
      <c r="C902" t="str">
        <f>CHOOSE(MATCH(B902, {20,25,30,35,40,45,50,55,60,65,70,75,80,85}, 1), "20-24", "25-29", "30-34", "35-39", "40-44", "45-49", "50-54", "55-59", "60-64", "65-69", "70-74", "75-79", "80-84", "85+")</f>
        <v>35-39</v>
      </c>
      <c r="D902" t="s">
        <v>7</v>
      </c>
    </row>
    <row r="903" spans="1:4">
      <c r="A903" t="s">
        <v>6</v>
      </c>
      <c r="B903">
        <v>45</v>
      </c>
      <c r="C903" t="str">
        <f>CHOOSE(MATCH(B903, {20,25,30,35,40,45,50,55,60,65,70,75,80,85}, 1), "20-24", "25-29", "30-34", "35-39", "40-44", "45-49", "50-54", "55-59", "60-64", "65-69", "70-74", "75-79", "80-84", "85+")</f>
        <v>45-49</v>
      </c>
      <c r="D903" t="s">
        <v>8</v>
      </c>
    </row>
    <row r="904" spans="1:4">
      <c r="A904" t="s">
        <v>6</v>
      </c>
      <c r="B904">
        <v>30</v>
      </c>
      <c r="C904" t="str">
        <f>CHOOSE(MATCH(B904, {20,25,30,35,40,45,50,55,60,65,70,75,80,85}, 1), "20-24", "25-29", "30-34", "35-39", "40-44", "45-49", "50-54", "55-59", "60-64", "65-69", "70-74", "75-79", "80-84", "85+")</f>
        <v>30-34</v>
      </c>
      <c r="D904" t="s">
        <v>7</v>
      </c>
    </row>
    <row r="905" spans="1:4">
      <c r="A905" t="s">
        <v>6</v>
      </c>
      <c r="B905">
        <v>75</v>
      </c>
      <c r="C905" t="str">
        <f>CHOOSE(MATCH(B905, {20,25,30,35,40,45,50,55,60,65,70,75,80,85}, 1), "20-24", "25-29", "30-34", "35-39", "40-44", "45-49", "50-54", "55-59", "60-64", "65-69", "70-74", "75-79", "80-84", "85+")</f>
        <v>75-79</v>
      </c>
      <c r="D905" t="s">
        <v>7</v>
      </c>
    </row>
    <row r="906" spans="1:4">
      <c r="A906" t="s">
        <v>6</v>
      </c>
      <c r="B906">
        <v>70</v>
      </c>
      <c r="C906" t="str">
        <f>CHOOSE(MATCH(B906, {20,25,30,35,40,45,50,55,60,65,70,75,80,85}, 1), "20-24", "25-29", "30-34", "35-39", "40-44", "45-49", "50-54", "55-59", "60-64", "65-69", "70-74", "75-79", "80-84", "85+")</f>
        <v>70-74</v>
      </c>
      <c r="D906" t="s">
        <v>8</v>
      </c>
    </row>
    <row r="907" spans="1:4">
      <c r="A907" t="s">
        <v>6</v>
      </c>
      <c r="B907">
        <v>30</v>
      </c>
      <c r="C907" t="str">
        <f>CHOOSE(MATCH(B907, {20,25,30,35,40,45,50,55,60,65,70,75,80,85}, 1), "20-24", "25-29", "30-34", "35-39", "40-44", "45-49", "50-54", "55-59", "60-64", "65-69", "70-74", "75-79", "80-84", "85+")</f>
        <v>30-34</v>
      </c>
      <c r="D907" t="s">
        <v>8</v>
      </c>
    </row>
    <row r="908" spans="1:4">
      <c r="A908" t="s">
        <v>6</v>
      </c>
      <c r="B908">
        <v>47</v>
      </c>
      <c r="C908" t="str">
        <f>CHOOSE(MATCH(B908, {20,25,30,35,40,45,50,55,60,65,70,75,80,85}, 1), "20-24", "25-29", "30-34", "35-39", "40-44", "45-49", "50-54", "55-59", "60-64", "65-69", "70-74", "75-79", "80-84", "85+")</f>
        <v>45-49</v>
      </c>
      <c r="D908" t="s">
        <v>8</v>
      </c>
    </row>
    <row r="909" spans="1:4">
      <c r="A909" t="s">
        <v>6</v>
      </c>
      <c r="B909">
        <v>29</v>
      </c>
      <c r="C909" t="str">
        <f>CHOOSE(MATCH(B909, {20,25,30,35,40,45,50,55,60,65,70,75,80,85}, 1), "20-24", "25-29", "30-34", "35-39", "40-44", "45-49", "50-54", "55-59", "60-64", "65-69", "70-74", "75-79", "80-84", "85+")</f>
        <v>25-29</v>
      </c>
      <c r="D909" t="s">
        <v>7</v>
      </c>
    </row>
    <row r="910" spans="1:4">
      <c r="A910" t="s">
        <v>6</v>
      </c>
      <c r="B910">
        <v>48</v>
      </c>
      <c r="C910" t="str">
        <f>CHOOSE(MATCH(B910, {20,25,30,35,40,45,50,55,60,65,70,75,80,85}, 1), "20-24", "25-29", "30-34", "35-39", "40-44", "45-49", "50-54", "55-59", "60-64", "65-69", "70-74", "75-79", "80-84", "85+")</f>
        <v>45-49</v>
      </c>
      <c r="D910" t="s">
        <v>8</v>
      </c>
    </row>
    <row r="911" spans="1:4">
      <c r="A911" t="s">
        <v>6</v>
      </c>
      <c r="B911">
        <v>48</v>
      </c>
      <c r="C911" t="str">
        <f>CHOOSE(MATCH(B911, {20,25,30,35,40,45,50,55,60,65,70,75,80,85}, 1), "20-24", "25-29", "30-34", "35-39", "40-44", "45-49", "50-54", "55-59", "60-64", "65-69", "70-74", "75-79", "80-84", "85+")</f>
        <v>45-49</v>
      </c>
      <c r="D911" t="s">
        <v>7</v>
      </c>
    </row>
    <row r="912" spans="1:4">
      <c r="A912" t="s">
        <v>6</v>
      </c>
      <c r="B912">
        <v>71</v>
      </c>
      <c r="C912" t="str">
        <f>CHOOSE(MATCH(B912, {20,25,30,35,40,45,50,55,60,65,70,75,80,85}, 1), "20-24", "25-29", "30-34", "35-39", "40-44", "45-49", "50-54", "55-59", "60-64", "65-69", "70-74", "75-79", "80-84", "85+")</f>
        <v>70-74</v>
      </c>
      <c r="D912" t="s">
        <v>8</v>
      </c>
    </row>
    <row r="913" spans="1:4">
      <c r="A913" t="s">
        <v>6</v>
      </c>
      <c r="B913">
        <v>56</v>
      </c>
      <c r="C913" t="str">
        <f>CHOOSE(MATCH(B913, {20,25,30,35,40,45,50,55,60,65,70,75,80,85}, 1), "20-24", "25-29", "30-34", "35-39", "40-44", "45-49", "50-54", "55-59", "60-64", "65-69", "70-74", "75-79", "80-84", "85+")</f>
        <v>55-59</v>
      </c>
      <c r="D913" t="s">
        <v>7</v>
      </c>
    </row>
    <row r="914" spans="1:4">
      <c r="A914" t="s">
        <v>6</v>
      </c>
      <c r="B914">
        <v>27</v>
      </c>
      <c r="C914" t="str">
        <f>CHOOSE(MATCH(B914, {20,25,30,35,40,45,50,55,60,65,70,75,80,85}, 1), "20-24", "25-29", "30-34", "35-39", "40-44", "45-49", "50-54", "55-59", "60-64", "65-69", "70-74", "75-79", "80-84", "85+")</f>
        <v>25-29</v>
      </c>
      <c r="D914" t="s">
        <v>7</v>
      </c>
    </row>
    <row r="915" spans="1:4">
      <c r="A915" t="s">
        <v>6</v>
      </c>
      <c r="B915">
        <v>30</v>
      </c>
      <c r="C915" t="str">
        <f>CHOOSE(MATCH(B915, {20,25,30,35,40,45,50,55,60,65,70,75,80,85}, 1), "20-24", "25-29", "30-34", "35-39", "40-44", "45-49", "50-54", "55-59", "60-64", "65-69", "70-74", "75-79", "80-84", "85+")</f>
        <v>30-34</v>
      </c>
      <c r="D915" t="s">
        <v>7</v>
      </c>
    </row>
    <row r="916" spans="1:4">
      <c r="A916" t="s">
        <v>6</v>
      </c>
      <c r="B916">
        <v>25</v>
      </c>
      <c r="C916" t="str">
        <f>CHOOSE(MATCH(B916, {20,25,30,35,40,45,50,55,60,65,70,75,80,85}, 1), "20-24", "25-29", "30-34", "35-39", "40-44", "45-49", "50-54", "55-59", "60-64", "65-69", "70-74", "75-79", "80-84", "85+")</f>
        <v>25-29</v>
      </c>
      <c r="D916" t="s">
        <v>7</v>
      </c>
    </row>
    <row r="917" spans="1:4">
      <c r="A917" t="s">
        <v>6</v>
      </c>
      <c r="B917">
        <v>44</v>
      </c>
      <c r="C917" t="str">
        <f>CHOOSE(MATCH(B917, {20,25,30,35,40,45,50,55,60,65,70,75,80,85}, 1), "20-24", "25-29", "30-34", "35-39", "40-44", "45-49", "50-54", "55-59", "60-64", "65-69", "70-74", "75-79", "80-84", "85+")</f>
        <v>40-44</v>
      </c>
      <c r="D917" t="s">
        <v>8</v>
      </c>
    </row>
    <row r="918" spans="1:4">
      <c r="A918" t="s">
        <v>6</v>
      </c>
      <c r="B918">
        <v>33</v>
      </c>
      <c r="C918" t="str">
        <f>CHOOSE(MATCH(B918, {20,25,30,35,40,45,50,55,60,65,70,75,80,85}, 1), "20-24", "25-29", "30-34", "35-39", "40-44", "45-49", "50-54", "55-59", "60-64", "65-69", "70-74", "75-79", "80-84", "85+")</f>
        <v>30-34</v>
      </c>
      <c r="D918" t="s">
        <v>8</v>
      </c>
    </row>
    <row r="919" spans="1:4">
      <c r="A919" t="s">
        <v>6</v>
      </c>
      <c r="B919">
        <v>60</v>
      </c>
      <c r="C919" t="str">
        <f>CHOOSE(MATCH(B919, {20,25,30,35,40,45,50,55,60,65,70,75,80,85}, 1), "20-24", "25-29", "30-34", "35-39", "40-44", "45-49", "50-54", "55-59", "60-64", "65-69", "70-74", "75-79", "80-84", "85+")</f>
        <v>60-64</v>
      </c>
      <c r="D919" t="s">
        <v>7</v>
      </c>
    </row>
    <row r="920" spans="1:4">
      <c r="A920" t="s">
        <v>6</v>
      </c>
      <c r="B920">
        <v>33</v>
      </c>
      <c r="C920" t="str">
        <f>CHOOSE(MATCH(B920, {20,25,30,35,40,45,50,55,60,65,70,75,80,85}, 1), "20-24", "25-29", "30-34", "35-39", "40-44", "45-49", "50-54", "55-59", "60-64", "65-69", "70-74", "75-79", "80-84", "85+")</f>
        <v>30-34</v>
      </c>
      <c r="D920" t="s">
        <v>7</v>
      </c>
    </row>
    <row r="921" spans="1:4">
      <c r="A921" t="s">
        <v>6</v>
      </c>
      <c r="B921">
        <v>28</v>
      </c>
      <c r="C921" t="str">
        <f>CHOOSE(MATCH(B921, {20,25,30,35,40,45,50,55,60,65,70,75,80,85}, 1), "20-24", "25-29", "30-34", "35-39", "40-44", "45-49", "50-54", "55-59", "60-64", "65-69", "70-74", "75-79", "80-84", "85+")</f>
        <v>25-29</v>
      </c>
      <c r="D921" t="s">
        <v>8</v>
      </c>
    </row>
    <row r="922" spans="1:4">
      <c r="A922" t="s">
        <v>6</v>
      </c>
      <c r="B922">
        <v>44</v>
      </c>
      <c r="C922" t="str">
        <f>CHOOSE(MATCH(B922, {20,25,30,35,40,45,50,55,60,65,70,75,80,85}, 1), "20-24", "25-29", "30-34", "35-39", "40-44", "45-49", "50-54", "55-59", "60-64", "65-69", "70-74", "75-79", "80-84", "85+")</f>
        <v>40-44</v>
      </c>
      <c r="D922" t="s">
        <v>7</v>
      </c>
    </row>
    <row r="923" spans="1:4">
      <c r="A923" t="s">
        <v>6</v>
      </c>
      <c r="B923">
        <v>40</v>
      </c>
      <c r="C923" t="str">
        <f>CHOOSE(MATCH(B923, {20,25,30,35,40,45,50,55,60,65,70,75,80,85}, 1), "20-24", "25-29", "30-34", "35-39", "40-44", "45-49", "50-54", "55-59", "60-64", "65-69", "70-74", "75-79", "80-84", "85+")</f>
        <v>40-44</v>
      </c>
      <c r="D923" t="s">
        <v>7</v>
      </c>
    </row>
    <row r="924" spans="1:4">
      <c r="A924" t="s">
        <v>6</v>
      </c>
      <c r="B924">
        <v>29</v>
      </c>
      <c r="C924" t="str">
        <f>CHOOSE(MATCH(B924, {20,25,30,35,40,45,50,55,60,65,70,75,80,85}, 1), "20-24", "25-29", "30-34", "35-39", "40-44", "45-49", "50-54", "55-59", "60-64", "65-69", "70-74", "75-79", "80-84", "85+")</f>
        <v>25-29</v>
      </c>
      <c r="D924" t="s">
        <v>7</v>
      </c>
    </row>
    <row r="925" spans="1:4">
      <c r="A925" t="s">
        <v>6</v>
      </c>
      <c r="B925">
        <v>46</v>
      </c>
      <c r="C925" t="str">
        <f>CHOOSE(MATCH(B925, {20,25,30,35,40,45,50,55,60,65,70,75,80,85}, 1), "20-24", "25-29", "30-34", "35-39", "40-44", "45-49", "50-54", "55-59", "60-64", "65-69", "70-74", "75-79", "80-84", "85+")</f>
        <v>45-49</v>
      </c>
      <c r="D925" t="s">
        <v>7</v>
      </c>
    </row>
    <row r="926" spans="1:4">
      <c r="A926" t="s">
        <v>6</v>
      </c>
      <c r="B926">
        <v>39</v>
      </c>
      <c r="C926" t="str">
        <f>CHOOSE(MATCH(B926, {20,25,30,35,40,45,50,55,60,65,70,75,80,85}, 1), "20-24", "25-29", "30-34", "35-39", "40-44", "45-49", "50-54", "55-59", "60-64", "65-69", "70-74", "75-79", "80-84", "85+")</f>
        <v>35-39</v>
      </c>
      <c r="D926" t="s">
        <v>7</v>
      </c>
    </row>
    <row r="927" spans="1:4">
      <c r="A927" t="s">
        <v>6</v>
      </c>
      <c r="B927">
        <v>39</v>
      </c>
      <c r="C927" t="str">
        <f>CHOOSE(MATCH(B927, {20,25,30,35,40,45,50,55,60,65,70,75,80,85}, 1), "20-24", "25-29", "30-34", "35-39", "40-44", "45-49", "50-54", "55-59", "60-64", "65-69", "70-74", "75-79", "80-84", "85+")</f>
        <v>35-39</v>
      </c>
      <c r="D927" t="s">
        <v>7</v>
      </c>
    </row>
    <row r="928" spans="1:4">
      <c r="A928" t="s">
        <v>6</v>
      </c>
      <c r="B928">
        <v>38</v>
      </c>
      <c r="C928" t="str">
        <f>CHOOSE(MATCH(B928, {20,25,30,35,40,45,50,55,60,65,70,75,80,85}, 1), "20-24", "25-29", "30-34", "35-39", "40-44", "45-49", "50-54", "55-59", "60-64", "65-69", "70-74", "75-79", "80-84", "85+")</f>
        <v>35-39</v>
      </c>
      <c r="D928" t="s">
        <v>7</v>
      </c>
    </row>
    <row r="929" spans="1:4">
      <c r="A929" t="s">
        <v>6</v>
      </c>
      <c r="B929">
        <v>24</v>
      </c>
      <c r="C929" t="str">
        <f>CHOOSE(MATCH(B929, {20,25,30,35,40,45,50,55,60,65,70,75,80,85}, 1), "20-24", "25-29", "30-34", "35-39", "40-44", "45-49", "50-54", "55-59", "60-64", "65-69", "70-74", "75-79", "80-84", "85+")</f>
        <v>20-24</v>
      </c>
      <c r="D929" t="s">
        <v>7</v>
      </c>
    </row>
    <row r="930" spans="1:4">
      <c r="A930" t="s">
        <v>6</v>
      </c>
      <c r="B930">
        <v>37</v>
      </c>
      <c r="C930" t="str">
        <f>CHOOSE(MATCH(B930, {20,25,30,35,40,45,50,55,60,65,70,75,80,85}, 1), "20-24", "25-29", "30-34", "35-39", "40-44", "45-49", "50-54", "55-59", "60-64", "65-69", "70-74", "75-79", "80-84", "85+")</f>
        <v>35-39</v>
      </c>
      <c r="D930" t="s">
        <v>8</v>
      </c>
    </row>
    <row r="931" spans="1:4">
      <c r="A931" t="s">
        <v>6</v>
      </c>
      <c r="B931">
        <v>35</v>
      </c>
      <c r="C931" t="str">
        <f>CHOOSE(MATCH(B931, {20,25,30,35,40,45,50,55,60,65,70,75,80,85}, 1), "20-24", "25-29", "30-34", "35-39", "40-44", "45-49", "50-54", "55-59", "60-64", "65-69", "70-74", "75-79", "80-84", "85+")</f>
        <v>35-39</v>
      </c>
      <c r="D931" t="s">
        <v>8</v>
      </c>
    </row>
    <row r="932" spans="1:4">
      <c r="A932" t="s">
        <v>6</v>
      </c>
      <c r="B932">
        <v>73</v>
      </c>
      <c r="C932" t="str">
        <f>CHOOSE(MATCH(B932, {20,25,30,35,40,45,50,55,60,65,70,75,80,85}, 1), "20-24", "25-29", "30-34", "35-39", "40-44", "45-49", "50-54", "55-59", "60-64", "65-69", "70-74", "75-79", "80-84", "85+")</f>
        <v>70-74</v>
      </c>
      <c r="D932" t="s">
        <v>7</v>
      </c>
    </row>
    <row r="933" spans="1:4">
      <c r="A933" t="s">
        <v>6</v>
      </c>
      <c r="B933">
        <v>40</v>
      </c>
      <c r="C933" t="str">
        <f>CHOOSE(MATCH(B933, {20,25,30,35,40,45,50,55,60,65,70,75,80,85}, 1), "20-24", "25-29", "30-34", "35-39", "40-44", "45-49", "50-54", "55-59", "60-64", "65-69", "70-74", "75-79", "80-84", "85+")</f>
        <v>40-44</v>
      </c>
      <c r="D933" t="s">
        <v>7</v>
      </c>
    </row>
    <row r="934" spans="1:4">
      <c r="A934" t="s">
        <v>6</v>
      </c>
      <c r="B934">
        <v>64</v>
      </c>
      <c r="C934" t="str">
        <f>CHOOSE(MATCH(B934, {20,25,30,35,40,45,50,55,60,65,70,75,80,85}, 1), "20-24", "25-29", "30-34", "35-39", "40-44", "45-49", "50-54", "55-59", "60-64", "65-69", "70-74", "75-79", "80-84", "85+")</f>
        <v>60-64</v>
      </c>
      <c r="D934" t="s">
        <v>8</v>
      </c>
    </row>
    <row r="935" spans="1:4">
      <c r="A935" t="s">
        <v>6</v>
      </c>
      <c r="B935">
        <v>51</v>
      </c>
      <c r="C935" t="str">
        <f>CHOOSE(MATCH(B935, {20,25,30,35,40,45,50,55,60,65,70,75,80,85}, 1), "20-24", "25-29", "30-34", "35-39", "40-44", "45-49", "50-54", "55-59", "60-64", "65-69", "70-74", "75-79", "80-84", "85+")</f>
        <v>50-54</v>
      </c>
      <c r="D935" t="s">
        <v>8</v>
      </c>
    </row>
    <row r="936" spans="1:4">
      <c r="A936" t="s">
        <v>6</v>
      </c>
      <c r="B936">
        <v>67</v>
      </c>
      <c r="C936" t="str">
        <f>CHOOSE(MATCH(B936, {20,25,30,35,40,45,50,55,60,65,70,75,80,85}, 1), "20-24", "25-29", "30-34", "35-39", "40-44", "45-49", "50-54", "55-59", "60-64", "65-69", "70-74", "75-79", "80-84", "85+")</f>
        <v>65-69</v>
      </c>
      <c r="D936" t="s">
        <v>7</v>
      </c>
    </row>
    <row r="937" spans="1:4">
      <c r="A937" t="s">
        <v>6</v>
      </c>
      <c r="B937">
        <v>43</v>
      </c>
      <c r="C937" t="str">
        <f>CHOOSE(MATCH(B937, {20,25,30,35,40,45,50,55,60,65,70,75,80,85}, 1), "20-24", "25-29", "30-34", "35-39", "40-44", "45-49", "50-54", "55-59", "60-64", "65-69", "70-74", "75-79", "80-84", "85+")</f>
        <v>40-44</v>
      </c>
      <c r="D937" t="s">
        <v>7</v>
      </c>
    </row>
    <row r="938" spans="1:4">
      <c r="A938" t="s">
        <v>6</v>
      </c>
      <c r="B938">
        <v>35</v>
      </c>
      <c r="C938" t="str">
        <f>CHOOSE(MATCH(B938, {20,25,30,35,40,45,50,55,60,65,70,75,80,85}, 1), "20-24", "25-29", "30-34", "35-39", "40-44", "45-49", "50-54", "55-59", "60-64", "65-69", "70-74", "75-79", "80-84", "85+")</f>
        <v>35-39</v>
      </c>
      <c r="D938" t="s">
        <v>8</v>
      </c>
    </row>
    <row r="939" spans="1:4">
      <c r="A939" t="s">
        <v>6</v>
      </c>
      <c r="B939">
        <v>36</v>
      </c>
      <c r="C939" t="str">
        <f>CHOOSE(MATCH(B939, {20,25,30,35,40,45,50,55,60,65,70,75,80,85}, 1), "20-24", "25-29", "30-34", "35-39", "40-44", "45-49", "50-54", "55-59", "60-64", "65-69", "70-74", "75-79", "80-84", "85+")</f>
        <v>35-39</v>
      </c>
      <c r="D939" t="s">
        <v>7</v>
      </c>
    </row>
    <row r="940" spans="1:4">
      <c r="A940" t="s">
        <v>6</v>
      </c>
      <c r="B940">
        <v>76</v>
      </c>
      <c r="C940" t="str">
        <f>CHOOSE(MATCH(B940, {20,25,30,35,40,45,50,55,60,65,70,75,80,85}, 1), "20-24", "25-29", "30-34", "35-39", "40-44", "45-49", "50-54", "55-59", "60-64", "65-69", "70-74", "75-79", "80-84", "85+")</f>
        <v>75-79</v>
      </c>
      <c r="D940" t="s">
        <v>7</v>
      </c>
    </row>
    <row r="941" spans="1:4">
      <c r="A941" t="s">
        <v>6</v>
      </c>
      <c r="B941">
        <v>38</v>
      </c>
      <c r="C941" t="str">
        <f>CHOOSE(MATCH(B941, {20,25,30,35,40,45,50,55,60,65,70,75,80,85}, 1), "20-24", "25-29", "30-34", "35-39", "40-44", "45-49", "50-54", "55-59", "60-64", "65-69", "70-74", "75-79", "80-84", "85+")</f>
        <v>35-39</v>
      </c>
      <c r="D941" t="s">
        <v>8</v>
      </c>
    </row>
    <row r="942" spans="1:4">
      <c r="A942" t="s">
        <v>6</v>
      </c>
      <c r="B942">
        <v>23</v>
      </c>
      <c r="C942" t="str">
        <f>CHOOSE(MATCH(B942, {20,25,30,35,40,45,50,55,60,65,70,75,80,85}, 1), "20-24", "25-29", "30-34", "35-39", "40-44", "45-49", "50-54", "55-59", "60-64", "65-69", "70-74", "75-79", "80-84", "85+")</f>
        <v>20-24</v>
      </c>
      <c r="D942" t="s">
        <v>7</v>
      </c>
    </row>
    <row r="943" spans="1:4">
      <c r="A943" t="s">
        <v>6</v>
      </c>
      <c r="B943">
        <v>26</v>
      </c>
      <c r="C943" t="str">
        <f>CHOOSE(MATCH(B943, {20,25,30,35,40,45,50,55,60,65,70,75,80,85}, 1), "20-24", "25-29", "30-34", "35-39", "40-44", "45-49", "50-54", "55-59", "60-64", "65-69", "70-74", "75-79", "80-84", "85+")</f>
        <v>25-29</v>
      </c>
      <c r="D943" t="s">
        <v>7</v>
      </c>
    </row>
    <row r="944" spans="1:4">
      <c r="A944" t="s">
        <v>6</v>
      </c>
      <c r="B944">
        <v>29</v>
      </c>
      <c r="C944" t="str">
        <f>CHOOSE(MATCH(B944, {20,25,30,35,40,45,50,55,60,65,70,75,80,85}, 1), "20-24", "25-29", "30-34", "35-39", "40-44", "45-49", "50-54", "55-59", "60-64", "65-69", "70-74", "75-79", "80-84", "85+")</f>
        <v>25-29</v>
      </c>
      <c r="D944" t="s">
        <v>7</v>
      </c>
    </row>
    <row r="945" spans="1:4">
      <c r="A945" t="s">
        <v>6</v>
      </c>
      <c r="B945">
        <v>54</v>
      </c>
      <c r="C945" t="str">
        <f>CHOOSE(MATCH(B945, {20,25,30,35,40,45,50,55,60,65,70,75,80,85}, 1), "20-24", "25-29", "30-34", "35-39", "40-44", "45-49", "50-54", "55-59", "60-64", "65-69", "70-74", "75-79", "80-84", "85+")</f>
        <v>50-54</v>
      </c>
      <c r="D945" t="s">
        <v>7</v>
      </c>
    </row>
    <row r="946" spans="1:4">
      <c r="A946" t="s">
        <v>6</v>
      </c>
      <c r="B946">
        <v>44</v>
      </c>
      <c r="C946" t="str">
        <f>CHOOSE(MATCH(B946, {20,25,30,35,40,45,50,55,60,65,70,75,80,85}, 1), "20-24", "25-29", "30-34", "35-39", "40-44", "45-49", "50-54", "55-59", "60-64", "65-69", "70-74", "75-79", "80-84", "85+")</f>
        <v>40-44</v>
      </c>
      <c r="D946" t="s">
        <v>7</v>
      </c>
    </row>
    <row r="947" spans="1:4">
      <c r="A947" t="s">
        <v>6</v>
      </c>
      <c r="B947">
        <v>57</v>
      </c>
      <c r="C947" t="str">
        <f>CHOOSE(MATCH(B947, {20,25,30,35,40,45,50,55,60,65,70,75,80,85}, 1), "20-24", "25-29", "30-34", "35-39", "40-44", "45-49", "50-54", "55-59", "60-64", "65-69", "70-74", "75-79", "80-84", "85+")</f>
        <v>55-59</v>
      </c>
      <c r="D947" t="s">
        <v>8</v>
      </c>
    </row>
    <row r="948" spans="1:4">
      <c r="A948" t="s">
        <v>6</v>
      </c>
      <c r="B948">
        <v>31</v>
      </c>
      <c r="C948" t="str">
        <f>CHOOSE(MATCH(B948, {20,25,30,35,40,45,50,55,60,65,70,75,80,85}, 1), "20-24", "25-29", "30-34", "35-39", "40-44", "45-49", "50-54", "55-59", "60-64", "65-69", "70-74", "75-79", "80-84", "85+")</f>
        <v>30-34</v>
      </c>
      <c r="D948" t="s">
        <v>7</v>
      </c>
    </row>
    <row r="949" spans="1:4">
      <c r="A949" t="s">
        <v>6</v>
      </c>
      <c r="B949">
        <v>30</v>
      </c>
      <c r="C949" t="str">
        <f>CHOOSE(MATCH(B949, {20,25,30,35,40,45,50,55,60,65,70,75,80,85}, 1), "20-24", "25-29", "30-34", "35-39", "40-44", "45-49", "50-54", "55-59", "60-64", "65-69", "70-74", "75-79", "80-84", "85+")</f>
        <v>30-34</v>
      </c>
      <c r="D949" t="s">
        <v>7</v>
      </c>
    </row>
    <row r="950" spans="1:4">
      <c r="A950" t="s">
        <v>6</v>
      </c>
      <c r="B950">
        <v>32</v>
      </c>
      <c r="C950" t="str">
        <f>CHOOSE(MATCH(B950, {20,25,30,35,40,45,50,55,60,65,70,75,80,85}, 1), "20-24", "25-29", "30-34", "35-39", "40-44", "45-49", "50-54", "55-59", "60-64", "65-69", "70-74", "75-79", "80-84", "85+")</f>
        <v>30-34</v>
      </c>
      <c r="D950" t="s">
        <v>8</v>
      </c>
    </row>
    <row r="951" spans="1:4">
      <c r="A951" t="s">
        <v>6</v>
      </c>
      <c r="B951">
        <v>38</v>
      </c>
      <c r="C951" t="str">
        <f>CHOOSE(MATCH(B951, {20,25,30,35,40,45,50,55,60,65,70,75,80,85}, 1), "20-24", "25-29", "30-34", "35-39", "40-44", "45-49", "50-54", "55-59", "60-64", "65-69", "70-74", "75-79", "80-84", "85+")</f>
        <v>35-39</v>
      </c>
      <c r="D951" t="s">
        <v>7</v>
      </c>
    </row>
    <row r="952" spans="1:4">
      <c r="A952" t="s">
        <v>6</v>
      </c>
      <c r="B952">
        <v>51</v>
      </c>
      <c r="C952" t="str">
        <f>CHOOSE(MATCH(B952, {20,25,30,35,40,45,50,55,60,65,70,75,80,85}, 1), "20-24", "25-29", "30-34", "35-39", "40-44", "45-49", "50-54", "55-59", "60-64", "65-69", "70-74", "75-79", "80-84", "85+")</f>
        <v>50-54</v>
      </c>
      <c r="D952" t="s">
        <v>8</v>
      </c>
    </row>
    <row r="953" spans="1:4">
      <c r="A953" t="s">
        <v>6</v>
      </c>
      <c r="B953">
        <v>63</v>
      </c>
      <c r="C953" t="str">
        <f>CHOOSE(MATCH(B953, {20,25,30,35,40,45,50,55,60,65,70,75,80,85}, 1), "20-24", "25-29", "30-34", "35-39", "40-44", "45-49", "50-54", "55-59", "60-64", "65-69", "70-74", "75-79", "80-84", "85+")</f>
        <v>60-64</v>
      </c>
      <c r="D953" t="s">
        <v>8</v>
      </c>
    </row>
    <row r="954" spans="1:4">
      <c r="A954" t="s">
        <v>6</v>
      </c>
      <c r="B954">
        <v>31</v>
      </c>
      <c r="C954" t="str">
        <f>CHOOSE(MATCH(B954, {20,25,30,35,40,45,50,55,60,65,70,75,80,85}, 1), "20-24", "25-29", "30-34", "35-39", "40-44", "45-49", "50-54", "55-59", "60-64", "65-69", "70-74", "75-79", "80-84", "85+")</f>
        <v>30-34</v>
      </c>
      <c r="D954" t="s">
        <v>8</v>
      </c>
    </row>
    <row r="955" spans="1:4">
      <c r="A955" t="s">
        <v>6</v>
      </c>
      <c r="B955">
        <v>70</v>
      </c>
      <c r="C955" t="str">
        <f>CHOOSE(MATCH(B955, {20,25,30,35,40,45,50,55,60,65,70,75,80,85}, 1), "20-24", "25-29", "30-34", "35-39", "40-44", "45-49", "50-54", "55-59", "60-64", "65-69", "70-74", "75-79", "80-84", "85+")</f>
        <v>70-74</v>
      </c>
      <c r="D955" t="s">
        <v>8</v>
      </c>
    </row>
    <row r="956" spans="1:4">
      <c r="A956" t="s">
        <v>6</v>
      </c>
      <c r="B956">
        <v>52</v>
      </c>
      <c r="C956" t="str">
        <f>CHOOSE(MATCH(B956, {20,25,30,35,40,45,50,55,60,65,70,75,80,85}, 1), "20-24", "25-29", "30-34", "35-39", "40-44", "45-49", "50-54", "55-59", "60-64", "65-69", "70-74", "75-79", "80-84", "85+")</f>
        <v>50-54</v>
      </c>
      <c r="D956" t="s">
        <v>7</v>
      </c>
    </row>
    <row r="957" spans="1:4">
      <c r="A957" t="s">
        <v>6</v>
      </c>
      <c r="B957">
        <v>50</v>
      </c>
      <c r="C957" t="str">
        <f>CHOOSE(MATCH(B957, {20,25,30,35,40,45,50,55,60,65,70,75,80,85}, 1), "20-24", "25-29", "30-34", "35-39", "40-44", "45-49", "50-54", "55-59", "60-64", "65-69", "70-74", "75-79", "80-84", "85+")</f>
        <v>50-54</v>
      </c>
      <c r="D957" t="s">
        <v>7</v>
      </c>
    </row>
    <row r="958" spans="1:4">
      <c r="A958" t="s">
        <v>6</v>
      </c>
      <c r="B958">
        <v>31</v>
      </c>
      <c r="C958" t="str">
        <f>CHOOSE(MATCH(B958, {20,25,30,35,40,45,50,55,60,65,70,75,80,85}, 1), "20-24", "25-29", "30-34", "35-39", "40-44", "45-49", "50-54", "55-59", "60-64", "65-69", "70-74", "75-79", "80-84", "85+")</f>
        <v>30-34</v>
      </c>
      <c r="D958" t="s">
        <v>7</v>
      </c>
    </row>
    <row r="959" spans="1:4">
      <c r="A959" t="s">
        <v>6</v>
      </c>
      <c r="B959">
        <v>46</v>
      </c>
      <c r="C959" t="str">
        <f>CHOOSE(MATCH(B959, {20,25,30,35,40,45,50,55,60,65,70,75,80,85}, 1), "20-24", "25-29", "30-34", "35-39", "40-44", "45-49", "50-54", "55-59", "60-64", "65-69", "70-74", "75-79", "80-84", "85+")</f>
        <v>45-49</v>
      </c>
      <c r="D959" t="s">
        <v>7</v>
      </c>
    </row>
    <row r="960" spans="1:4">
      <c r="A960" t="s">
        <v>6</v>
      </c>
      <c r="B960">
        <v>25</v>
      </c>
      <c r="C960" t="str">
        <f>CHOOSE(MATCH(B960, {20,25,30,35,40,45,50,55,60,65,70,75,80,85}, 1), "20-24", "25-29", "30-34", "35-39", "40-44", "45-49", "50-54", "55-59", "60-64", "65-69", "70-74", "75-79", "80-84", "85+")</f>
        <v>25-29</v>
      </c>
      <c r="D960" t="s">
        <v>8</v>
      </c>
    </row>
    <row r="961" spans="1:4">
      <c r="A961" t="s">
        <v>6</v>
      </c>
      <c r="B961">
        <v>36</v>
      </c>
      <c r="C961" t="str">
        <f>CHOOSE(MATCH(B961, {20,25,30,35,40,45,50,55,60,65,70,75,80,85}, 1), "20-24", "25-29", "30-34", "35-39", "40-44", "45-49", "50-54", "55-59", "60-64", "65-69", "70-74", "75-79", "80-84", "85+")</f>
        <v>35-39</v>
      </c>
      <c r="D961" t="s">
        <v>7</v>
      </c>
    </row>
    <row r="962" spans="1:4">
      <c r="A962" t="s">
        <v>6</v>
      </c>
      <c r="B962">
        <v>56</v>
      </c>
      <c r="C962" t="str">
        <f>CHOOSE(MATCH(B962, {20,25,30,35,40,45,50,55,60,65,70,75,80,85}, 1), "20-24", "25-29", "30-34", "35-39", "40-44", "45-49", "50-54", "55-59", "60-64", "65-69", "70-74", "75-79", "80-84", "85+")</f>
        <v>55-59</v>
      </c>
      <c r="D962" t="s">
        <v>7</v>
      </c>
    </row>
    <row r="963" spans="1:4">
      <c r="A963" t="s">
        <v>6</v>
      </c>
      <c r="B963">
        <v>63</v>
      </c>
      <c r="C963" t="str">
        <f>CHOOSE(MATCH(B963, {20,25,30,35,40,45,50,55,60,65,70,75,80,85}, 1), "20-24", "25-29", "30-34", "35-39", "40-44", "45-49", "50-54", "55-59", "60-64", "65-69", "70-74", "75-79", "80-84", "85+")</f>
        <v>60-64</v>
      </c>
      <c r="D963" t="s">
        <v>8</v>
      </c>
    </row>
    <row r="964" spans="1:4">
      <c r="A964" t="s">
        <v>6</v>
      </c>
      <c r="B964">
        <v>41</v>
      </c>
      <c r="C964" t="str">
        <f>CHOOSE(MATCH(B964, {20,25,30,35,40,45,50,55,60,65,70,75,80,85}, 1), "20-24", "25-29", "30-34", "35-39", "40-44", "45-49", "50-54", "55-59", "60-64", "65-69", "70-74", "75-79", "80-84", "85+")</f>
        <v>40-44</v>
      </c>
      <c r="D964" t="s">
        <v>7</v>
      </c>
    </row>
    <row r="965" spans="1:4">
      <c r="A965" t="s">
        <v>6</v>
      </c>
      <c r="B965">
        <v>39</v>
      </c>
      <c r="C965" t="str">
        <f>CHOOSE(MATCH(B965, {20,25,30,35,40,45,50,55,60,65,70,75,80,85}, 1), "20-24", "25-29", "30-34", "35-39", "40-44", "45-49", "50-54", "55-59", "60-64", "65-69", "70-74", "75-79", "80-84", "85+")</f>
        <v>35-39</v>
      </c>
      <c r="D965" t="s">
        <v>7</v>
      </c>
    </row>
    <row r="966" spans="1:4">
      <c r="A966" t="s">
        <v>6</v>
      </c>
      <c r="B966">
        <v>69</v>
      </c>
      <c r="C966" t="str">
        <f>CHOOSE(MATCH(B966, {20,25,30,35,40,45,50,55,60,65,70,75,80,85}, 1), "20-24", "25-29", "30-34", "35-39", "40-44", "45-49", "50-54", "55-59", "60-64", "65-69", "70-74", "75-79", "80-84", "85+")</f>
        <v>65-69</v>
      </c>
      <c r="D966" t="s">
        <v>8</v>
      </c>
    </row>
    <row r="967" spans="1:4">
      <c r="A967" t="s">
        <v>6</v>
      </c>
      <c r="B967">
        <v>30</v>
      </c>
      <c r="C967" t="str">
        <f>CHOOSE(MATCH(B967, {20,25,30,35,40,45,50,55,60,65,70,75,80,85}, 1), "20-24", "25-29", "30-34", "35-39", "40-44", "45-49", "50-54", "55-59", "60-64", "65-69", "70-74", "75-79", "80-84", "85+")</f>
        <v>30-34</v>
      </c>
      <c r="D967" t="s">
        <v>8</v>
      </c>
    </row>
    <row r="968" spans="1:4">
      <c r="A968" t="s">
        <v>6</v>
      </c>
      <c r="B968">
        <v>53</v>
      </c>
      <c r="C968" t="str">
        <f>CHOOSE(MATCH(B968, {20,25,30,35,40,45,50,55,60,65,70,75,80,85}, 1), "20-24", "25-29", "30-34", "35-39", "40-44", "45-49", "50-54", "55-59", "60-64", "65-69", "70-74", "75-79", "80-84", "85+")</f>
        <v>50-54</v>
      </c>
      <c r="D968" t="s">
        <v>7</v>
      </c>
    </row>
    <row r="969" spans="1:4">
      <c r="A969" t="s">
        <v>6</v>
      </c>
      <c r="B969">
        <v>67</v>
      </c>
      <c r="C969" t="str">
        <f>CHOOSE(MATCH(B969, {20,25,30,35,40,45,50,55,60,65,70,75,80,85}, 1), "20-24", "25-29", "30-34", "35-39", "40-44", "45-49", "50-54", "55-59", "60-64", "65-69", "70-74", "75-79", "80-84", "85+")</f>
        <v>65-69</v>
      </c>
      <c r="D969" t="s">
        <v>8</v>
      </c>
    </row>
    <row r="970" spans="1:4">
      <c r="A970" t="s">
        <v>6</v>
      </c>
      <c r="B970">
        <v>40</v>
      </c>
      <c r="C970" t="str">
        <f>CHOOSE(MATCH(B970, {20,25,30,35,40,45,50,55,60,65,70,75,80,85}, 1), "20-24", "25-29", "30-34", "35-39", "40-44", "45-49", "50-54", "55-59", "60-64", "65-69", "70-74", "75-79", "80-84", "85+")</f>
        <v>40-44</v>
      </c>
      <c r="D970" t="s">
        <v>7</v>
      </c>
    </row>
    <row r="971" spans="1:4">
      <c r="A971" t="s">
        <v>6</v>
      </c>
      <c r="B971">
        <v>42</v>
      </c>
      <c r="C971" t="str">
        <f>CHOOSE(MATCH(B971, {20,25,30,35,40,45,50,55,60,65,70,75,80,85}, 1), "20-24", "25-29", "30-34", "35-39", "40-44", "45-49", "50-54", "55-59", "60-64", "65-69", "70-74", "75-79", "80-84", "85+")</f>
        <v>40-44</v>
      </c>
      <c r="D971" t="s">
        <v>7</v>
      </c>
    </row>
    <row r="972" spans="1:4">
      <c r="A972" t="s">
        <v>6</v>
      </c>
      <c r="B972">
        <v>32</v>
      </c>
      <c r="C972" t="str">
        <f>CHOOSE(MATCH(B972, {20,25,30,35,40,45,50,55,60,65,70,75,80,85}, 1), "20-24", "25-29", "30-34", "35-39", "40-44", "45-49", "50-54", "55-59", "60-64", "65-69", "70-74", "75-79", "80-84", "85+")</f>
        <v>30-34</v>
      </c>
      <c r="D972" t="s">
        <v>7</v>
      </c>
    </row>
    <row r="973" spans="1:4">
      <c r="A973" t="s">
        <v>6</v>
      </c>
      <c r="B973">
        <v>68</v>
      </c>
      <c r="C973" t="str">
        <f>CHOOSE(MATCH(B973, {20,25,30,35,40,45,50,55,60,65,70,75,80,85}, 1), "20-24", "25-29", "30-34", "35-39", "40-44", "45-49", "50-54", "55-59", "60-64", "65-69", "70-74", "75-79", "80-84", "85+")</f>
        <v>65-69</v>
      </c>
      <c r="D973" t="s">
        <v>8</v>
      </c>
    </row>
    <row r="974" spans="1:4">
      <c r="A974" t="s">
        <v>6</v>
      </c>
      <c r="B974">
        <v>35</v>
      </c>
      <c r="C974" t="str">
        <f>CHOOSE(MATCH(B974, {20,25,30,35,40,45,50,55,60,65,70,75,80,85}, 1), "20-24", "25-29", "30-34", "35-39", "40-44", "45-49", "50-54", "55-59", "60-64", "65-69", "70-74", "75-79", "80-84", "85+")</f>
        <v>35-39</v>
      </c>
      <c r="D974" t="s">
        <v>7</v>
      </c>
    </row>
    <row r="975" spans="1:4">
      <c r="A975" t="s">
        <v>6</v>
      </c>
      <c r="B975">
        <v>30</v>
      </c>
      <c r="C975" t="str">
        <f>CHOOSE(MATCH(B975, {20,25,30,35,40,45,50,55,60,65,70,75,80,85}, 1), "20-24", "25-29", "30-34", "35-39", "40-44", "45-49", "50-54", "55-59", "60-64", "65-69", "70-74", "75-79", "80-84", "85+")</f>
        <v>30-34</v>
      </c>
      <c r="D975" t="s">
        <v>8</v>
      </c>
    </row>
    <row r="976" spans="1:4">
      <c r="A976" t="s">
        <v>6</v>
      </c>
      <c r="B976">
        <v>64</v>
      </c>
      <c r="C976" t="str">
        <f>CHOOSE(MATCH(B976, {20,25,30,35,40,45,50,55,60,65,70,75,80,85}, 1), "20-24", "25-29", "30-34", "35-39", "40-44", "45-49", "50-54", "55-59", "60-64", "65-69", "70-74", "75-79", "80-84", "85+")</f>
        <v>60-64</v>
      </c>
      <c r="D976" t="s">
        <v>8</v>
      </c>
    </row>
    <row r="977" spans="1:4">
      <c r="A977" t="s">
        <v>6</v>
      </c>
      <c r="B977">
        <v>39</v>
      </c>
      <c r="C977" t="str">
        <f>CHOOSE(MATCH(B977, {20,25,30,35,40,45,50,55,60,65,70,75,80,85}, 1), "20-24", "25-29", "30-34", "35-39", "40-44", "45-49", "50-54", "55-59", "60-64", "65-69", "70-74", "75-79", "80-84", "85+")</f>
        <v>35-39</v>
      </c>
      <c r="D977" t="s">
        <v>7</v>
      </c>
    </row>
    <row r="978" spans="1:4">
      <c r="A978" t="s">
        <v>6</v>
      </c>
      <c r="B978">
        <v>42</v>
      </c>
      <c r="C978" t="str">
        <f>CHOOSE(MATCH(B978, {20,25,30,35,40,45,50,55,60,65,70,75,80,85}, 1), "20-24", "25-29", "30-34", "35-39", "40-44", "45-49", "50-54", "55-59", "60-64", "65-69", "70-74", "75-79", "80-84", "85+")</f>
        <v>40-44</v>
      </c>
      <c r="D978" t="s">
        <v>8</v>
      </c>
    </row>
    <row r="979" spans="1:4">
      <c r="A979" t="s">
        <v>6</v>
      </c>
      <c r="B979">
        <v>30</v>
      </c>
      <c r="C979" t="str">
        <f>CHOOSE(MATCH(B979, {20,25,30,35,40,45,50,55,60,65,70,75,80,85}, 1), "20-24", "25-29", "30-34", "35-39", "40-44", "45-49", "50-54", "55-59", "60-64", "65-69", "70-74", "75-79", "80-84", "85+")</f>
        <v>30-34</v>
      </c>
      <c r="D979" t="s">
        <v>7</v>
      </c>
    </row>
    <row r="980" spans="1:4">
      <c r="A980" t="s">
        <v>6</v>
      </c>
      <c r="B980">
        <v>57</v>
      </c>
      <c r="C980" t="str">
        <f>CHOOSE(MATCH(B980, {20,25,30,35,40,45,50,55,60,65,70,75,80,85}, 1), "20-24", "25-29", "30-34", "35-39", "40-44", "45-49", "50-54", "55-59", "60-64", "65-69", "70-74", "75-79", "80-84", "85+")</f>
        <v>55-59</v>
      </c>
      <c r="D980" t="s">
        <v>8</v>
      </c>
    </row>
    <row r="981" spans="1:4">
      <c r="A981" t="s">
        <v>6</v>
      </c>
      <c r="B981">
        <v>55</v>
      </c>
      <c r="C981" t="str">
        <f>CHOOSE(MATCH(B981, {20,25,30,35,40,45,50,55,60,65,70,75,80,85}, 1), "20-24", "25-29", "30-34", "35-39", "40-44", "45-49", "50-54", "55-59", "60-64", "65-69", "70-74", "75-79", "80-84", "85+")</f>
        <v>55-59</v>
      </c>
      <c r="D981" t="s">
        <v>8</v>
      </c>
    </row>
    <row r="982" spans="1:4">
      <c r="A982" t="s">
        <v>6</v>
      </c>
      <c r="B982">
        <v>37</v>
      </c>
      <c r="C982" t="str">
        <f>CHOOSE(MATCH(B982, {20,25,30,35,40,45,50,55,60,65,70,75,80,85}, 1), "20-24", "25-29", "30-34", "35-39", "40-44", "45-49", "50-54", "55-59", "60-64", "65-69", "70-74", "75-79", "80-84", "85+")</f>
        <v>35-39</v>
      </c>
      <c r="D982" t="s">
        <v>7</v>
      </c>
    </row>
    <row r="983" spans="1:4">
      <c r="A983" t="s">
        <v>6</v>
      </c>
      <c r="B983">
        <v>38</v>
      </c>
      <c r="C983" t="str">
        <f>CHOOSE(MATCH(B983, {20,25,30,35,40,45,50,55,60,65,70,75,80,85}, 1), "20-24", "25-29", "30-34", "35-39", "40-44", "45-49", "50-54", "55-59", "60-64", "65-69", "70-74", "75-79", "80-84", "85+")</f>
        <v>35-39</v>
      </c>
      <c r="D983" t="s">
        <v>7</v>
      </c>
    </row>
    <row r="984" spans="1:4">
      <c r="A984" t="s">
        <v>6</v>
      </c>
      <c r="B984">
        <v>27</v>
      </c>
      <c r="C984" t="str">
        <f>CHOOSE(MATCH(B984, {20,25,30,35,40,45,50,55,60,65,70,75,80,85}, 1), "20-24", "25-29", "30-34", "35-39", "40-44", "45-49", "50-54", "55-59", "60-64", "65-69", "70-74", "75-79", "80-84", "85+")</f>
        <v>25-29</v>
      </c>
      <c r="D984" t="s">
        <v>8</v>
      </c>
    </row>
    <row r="985" spans="1:4">
      <c r="A985" t="s">
        <v>6</v>
      </c>
      <c r="B985">
        <v>40</v>
      </c>
      <c r="C985" t="str">
        <f>CHOOSE(MATCH(B985, {20,25,30,35,40,45,50,55,60,65,70,75,80,85}, 1), "20-24", "25-29", "30-34", "35-39", "40-44", "45-49", "50-54", "55-59", "60-64", "65-69", "70-74", "75-79", "80-84", "85+")</f>
        <v>40-44</v>
      </c>
      <c r="D985" t="s">
        <v>8</v>
      </c>
    </row>
    <row r="986" spans="1:4">
      <c r="A986" t="s">
        <v>6</v>
      </c>
      <c r="B986">
        <v>48</v>
      </c>
      <c r="C986" t="str">
        <f>CHOOSE(MATCH(B986, {20,25,30,35,40,45,50,55,60,65,70,75,80,85}, 1), "20-24", "25-29", "30-34", "35-39", "40-44", "45-49", "50-54", "55-59", "60-64", "65-69", "70-74", "75-79", "80-84", "85+")</f>
        <v>45-49</v>
      </c>
      <c r="D986" t="s">
        <v>8</v>
      </c>
    </row>
    <row r="987" spans="1:4">
      <c r="A987" t="s">
        <v>6</v>
      </c>
      <c r="B987">
        <v>35</v>
      </c>
      <c r="C987" t="str">
        <f>CHOOSE(MATCH(B987, {20,25,30,35,40,45,50,55,60,65,70,75,80,85}, 1), "20-24", "25-29", "30-34", "35-39", "40-44", "45-49", "50-54", "55-59", "60-64", "65-69", "70-74", "75-79", "80-84", "85+")</f>
        <v>35-39</v>
      </c>
      <c r="D987" t="s">
        <v>8</v>
      </c>
    </row>
    <row r="988" spans="1:4">
      <c r="A988" t="s">
        <v>6</v>
      </c>
      <c r="B988">
        <v>41</v>
      </c>
      <c r="C988" t="str">
        <f>CHOOSE(MATCH(B988, {20,25,30,35,40,45,50,55,60,65,70,75,80,85}, 1), "20-24", "25-29", "30-34", "35-39", "40-44", "45-49", "50-54", "55-59", "60-64", "65-69", "70-74", "75-79", "80-84", "85+")</f>
        <v>40-44</v>
      </c>
      <c r="D988" t="s">
        <v>7</v>
      </c>
    </row>
    <row r="989" spans="1:4">
      <c r="A989" t="s">
        <v>6</v>
      </c>
      <c r="B989">
        <v>61</v>
      </c>
      <c r="C989" t="str">
        <f>CHOOSE(MATCH(B989, {20,25,30,35,40,45,50,55,60,65,70,75,80,85}, 1), "20-24", "25-29", "30-34", "35-39", "40-44", "45-49", "50-54", "55-59", "60-64", "65-69", "70-74", "75-79", "80-84", "85+")</f>
        <v>60-64</v>
      </c>
      <c r="D989" t="s">
        <v>8</v>
      </c>
    </row>
    <row r="990" spans="1:4">
      <c r="A990" t="s">
        <v>6</v>
      </c>
      <c r="B990">
        <v>25</v>
      </c>
      <c r="C990" t="str">
        <f>CHOOSE(MATCH(B990, {20,25,30,35,40,45,50,55,60,65,70,75,80,85}, 1), "20-24", "25-29", "30-34", "35-39", "40-44", "45-49", "50-54", "55-59", "60-64", "65-69", "70-74", "75-79", "80-84", "85+")</f>
        <v>25-29</v>
      </c>
      <c r="D990" t="s">
        <v>7</v>
      </c>
    </row>
    <row r="991" spans="1:4">
      <c r="A991" t="s">
        <v>6</v>
      </c>
      <c r="B991">
        <v>51</v>
      </c>
      <c r="C991" t="str">
        <f>CHOOSE(MATCH(B991, {20,25,30,35,40,45,50,55,60,65,70,75,80,85}, 1), "20-24", "25-29", "30-34", "35-39", "40-44", "45-49", "50-54", "55-59", "60-64", "65-69", "70-74", "75-79", "80-84", "85+")</f>
        <v>50-54</v>
      </c>
      <c r="D991" t="s">
        <v>7</v>
      </c>
    </row>
    <row r="992" spans="1:4">
      <c r="A992" t="s">
        <v>6</v>
      </c>
      <c r="B992">
        <v>53</v>
      </c>
      <c r="C992" t="str">
        <f>CHOOSE(MATCH(B992, {20,25,30,35,40,45,50,55,60,65,70,75,80,85}, 1), "20-24", "25-29", "30-34", "35-39", "40-44", "45-49", "50-54", "55-59", "60-64", "65-69", "70-74", "75-79", "80-84", "85+")</f>
        <v>50-54</v>
      </c>
      <c r="D992" t="s">
        <v>7</v>
      </c>
    </row>
    <row r="993" spans="1:4">
      <c r="A993" t="s">
        <v>6</v>
      </c>
      <c r="B993">
        <v>28</v>
      </c>
      <c r="C993" t="str">
        <f>CHOOSE(MATCH(B993, {20,25,30,35,40,45,50,55,60,65,70,75,80,85}, 1), "20-24", "25-29", "30-34", "35-39", "40-44", "45-49", "50-54", "55-59", "60-64", "65-69", "70-74", "75-79", "80-84", "85+")</f>
        <v>25-29</v>
      </c>
      <c r="D993" t="s">
        <v>8</v>
      </c>
    </row>
    <row r="994" spans="1:4">
      <c r="A994" t="s">
        <v>6</v>
      </c>
      <c r="B994">
        <v>40</v>
      </c>
      <c r="C994" t="str">
        <f>CHOOSE(MATCH(B994, {20,25,30,35,40,45,50,55,60,65,70,75,80,85}, 1), "20-24", "25-29", "30-34", "35-39", "40-44", "45-49", "50-54", "55-59", "60-64", "65-69", "70-74", "75-79", "80-84", "85+")</f>
        <v>40-44</v>
      </c>
      <c r="D994" t="s">
        <v>7</v>
      </c>
    </row>
    <row r="995" spans="1:4">
      <c r="A995" t="s">
        <v>6</v>
      </c>
      <c r="B995">
        <v>63</v>
      </c>
      <c r="C995" t="str">
        <f>CHOOSE(MATCH(B995, {20,25,30,35,40,45,50,55,60,65,70,75,80,85}, 1), "20-24", "25-29", "30-34", "35-39", "40-44", "45-49", "50-54", "55-59", "60-64", "65-69", "70-74", "75-79", "80-84", "85+")</f>
        <v>60-64</v>
      </c>
      <c r="D995" t="s">
        <v>8</v>
      </c>
    </row>
    <row r="996" spans="1:4">
      <c r="A996" t="s">
        <v>6</v>
      </c>
      <c r="B996">
        <v>34</v>
      </c>
      <c r="C996" t="str">
        <f>CHOOSE(MATCH(B996, {20,25,30,35,40,45,50,55,60,65,70,75,80,85}, 1), "20-24", "25-29", "30-34", "35-39", "40-44", "45-49", "50-54", "55-59", "60-64", "65-69", "70-74", "75-79", "80-84", "85+")</f>
        <v>30-34</v>
      </c>
      <c r="D996" t="s">
        <v>7</v>
      </c>
    </row>
    <row r="997" spans="1:4">
      <c r="A997" t="s">
        <v>6</v>
      </c>
      <c r="B997">
        <v>79</v>
      </c>
      <c r="C997" t="str">
        <f>CHOOSE(MATCH(B997, {20,25,30,35,40,45,50,55,60,65,70,75,80,85}, 1), "20-24", "25-29", "30-34", "35-39", "40-44", "45-49", "50-54", "55-59", "60-64", "65-69", "70-74", "75-79", "80-84", "85+")</f>
        <v>75-79</v>
      </c>
      <c r="D997" t="s">
        <v>7</v>
      </c>
    </row>
    <row r="998" spans="1:4">
      <c r="A998" t="s">
        <v>6</v>
      </c>
      <c r="B998">
        <v>35</v>
      </c>
      <c r="C998" t="str">
        <f>CHOOSE(MATCH(B998, {20,25,30,35,40,45,50,55,60,65,70,75,80,85}, 1), "20-24", "25-29", "30-34", "35-39", "40-44", "45-49", "50-54", "55-59", "60-64", "65-69", "70-74", "75-79", "80-84", "85+")</f>
        <v>35-39</v>
      </c>
      <c r="D998" t="s">
        <v>7</v>
      </c>
    </row>
    <row r="999" spans="1:4">
      <c r="A999" t="s">
        <v>6</v>
      </c>
      <c r="B999">
        <v>38</v>
      </c>
      <c r="C999" t="str">
        <f>CHOOSE(MATCH(B999, {20,25,30,35,40,45,50,55,60,65,70,75,80,85}, 1), "20-24", "25-29", "30-34", "35-39", "40-44", "45-49", "50-54", "55-59", "60-64", "65-69", "70-74", "75-79", "80-84", "85+")</f>
        <v>35-39</v>
      </c>
      <c r="D999" t="s">
        <v>7</v>
      </c>
    </row>
    <row r="1000" spans="1:4">
      <c r="A1000" t="s">
        <v>6</v>
      </c>
      <c r="B1000">
        <v>28</v>
      </c>
      <c r="C1000" t="str">
        <f>CHOOSE(MATCH(B1000, {20,25,30,35,40,45,50,55,60,65,70,75,80,85}, 1), "20-24", "25-29", "30-34", "35-39", "40-44", "45-49", "50-54", "55-59", "60-64", "65-69", "70-74", "75-79", "80-84", "85+")</f>
        <v>25-29</v>
      </c>
      <c r="D1000" t="s">
        <v>8</v>
      </c>
    </row>
    <row r="1001" spans="1:4">
      <c r="A1001" t="s">
        <v>6</v>
      </c>
      <c r="B1001">
        <v>33</v>
      </c>
      <c r="C1001" t="str">
        <f>CHOOSE(MATCH(B1001, {20,25,30,35,40,45,50,55,60,65,70,75,80,85}, 1), "20-24", "25-29", "30-34", "35-39", "40-44", "45-49", "50-54", "55-59", "60-64", "65-69", "70-74", "75-79", "80-84", "85+")</f>
        <v>30-34</v>
      </c>
      <c r="D1001" t="s">
        <v>7</v>
      </c>
    </row>
    <row r="1002" spans="1:4">
      <c r="A1002" t="s">
        <v>6</v>
      </c>
      <c r="B1002">
        <v>34</v>
      </c>
      <c r="C1002" t="str">
        <f>CHOOSE(MATCH(B1002, {20,25,30,35,40,45,50,55,60,65,70,75,80,85}, 1), "20-24", "25-29", "30-34", "35-39", "40-44", "45-49", "50-54", "55-59", "60-64", "65-69", "70-74", "75-79", "80-84", "85+")</f>
        <v>30-34</v>
      </c>
      <c r="D1002" t="s">
        <v>8</v>
      </c>
    </row>
    <row r="1003" spans="1:4">
      <c r="A1003" t="s">
        <v>6</v>
      </c>
      <c r="B1003">
        <v>35</v>
      </c>
      <c r="C1003" t="str">
        <f>CHOOSE(MATCH(B1003, {20,25,30,35,40,45,50,55,60,65,70,75,80,85}, 1), "20-24", "25-29", "30-34", "35-39", "40-44", "45-49", "50-54", "55-59", "60-64", "65-69", "70-74", "75-79", "80-84", "85+")</f>
        <v>35-39</v>
      </c>
      <c r="D1003" t="s">
        <v>8</v>
      </c>
    </row>
    <row r="1004" spans="1:4">
      <c r="A1004" t="s">
        <v>6</v>
      </c>
      <c r="B1004">
        <v>50</v>
      </c>
      <c r="C1004" t="str">
        <f>CHOOSE(MATCH(B1004, {20,25,30,35,40,45,50,55,60,65,70,75,80,85}, 1), "20-24", "25-29", "30-34", "35-39", "40-44", "45-49", "50-54", "55-59", "60-64", "65-69", "70-74", "75-79", "80-84", "85+")</f>
        <v>50-54</v>
      </c>
      <c r="D1004" t="s">
        <v>8</v>
      </c>
    </row>
    <row r="1005" spans="1:4">
      <c r="A1005" t="s">
        <v>6</v>
      </c>
      <c r="B1005">
        <v>39</v>
      </c>
      <c r="C1005" t="str">
        <f>CHOOSE(MATCH(B1005, {20,25,30,35,40,45,50,55,60,65,70,75,80,85}, 1), "20-24", "25-29", "30-34", "35-39", "40-44", "45-49", "50-54", "55-59", "60-64", "65-69", "70-74", "75-79", "80-84", "85+")</f>
        <v>35-39</v>
      </c>
      <c r="D1005" t="s">
        <v>7</v>
      </c>
    </row>
    <row r="1006" spans="1:4">
      <c r="A1006" t="s">
        <v>6</v>
      </c>
      <c r="B1006">
        <v>31</v>
      </c>
      <c r="C1006" t="str">
        <f>CHOOSE(MATCH(B1006, {20,25,30,35,40,45,50,55,60,65,70,75,80,85}, 1), "20-24", "25-29", "30-34", "35-39", "40-44", "45-49", "50-54", "55-59", "60-64", "65-69", "70-74", "75-79", "80-84", "85+")</f>
        <v>30-34</v>
      </c>
      <c r="D1006" t="s">
        <v>7</v>
      </c>
    </row>
    <row r="1007" spans="1:4">
      <c r="A1007" t="s">
        <v>6</v>
      </c>
      <c r="B1007">
        <v>78</v>
      </c>
      <c r="C1007" t="str">
        <f>CHOOSE(MATCH(B1007, {20,25,30,35,40,45,50,55,60,65,70,75,80,85}, 1), "20-24", "25-29", "30-34", "35-39", "40-44", "45-49", "50-54", "55-59", "60-64", "65-69", "70-74", "75-79", "80-84", "85+")</f>
        <v>75-79</v>
      </c>
      <c r="D1007" t="s">
        <v>7</v>
      </c>
    </row>
    <row r="1008" spans="1:4">
      <c r="A1008" t="s">
        <v>6</v>
      </c>
      <c r="B1008">
        <v>39</v>
      </c>
      <c r="C1008" t="str">
        <f>CHOOSE(MATCH(B1008, {20,25,30,35,40,45,50,55,60,65,70,75,80,85}, 1), "20-24", "25-29", "30-34", "35-39", "40-44", "45-49", "50-54", "55-59", "60-64", "65-69", "70-74", "75-79", "80-84", "85+")</f>
        <v>35-39</v>
      </c>
      <c r="D1008" t="s">
        <v>8</v>
      </c>
    </row>
    <row r="1009" spans="1:4">
      <c r="A1009" t="s">
        <v>6</v>
      </c>
      <c r="B1009">
        <v>22</v>
      </c>
      <c r="C1009" t="str">
        <f>CHOOSE(MATCH(B1009, {20,25,30,35,40,45,50,55,60,65,70,75,80,85}, 1), "20-24", "25-29", "30-34", "35-39", "40-44", "45-49", "50-54", "55-59", "60-64", "65-69", "70-74", "75-79", "80-84", "85+")</f>
        <v>20-24</v>
      </c>
      <c r="D1009" t="s">
        <v>7</v>
      </c>
    </row>
    <row r="1010" spans="1:4">
      <c r="A1010" t="s">
        <v>6</v>
      </c>
      <c r="B1010">
        <v>42</v>
      </c>
      <c r="C1010" t="str">
        <f>CHOOSE(MATCH(B1010, {20,25,30,35,40,45,50,55,60,65,70,75,80,85}, 1), "20-24", "25-29", "30-34", "35-39", "40-44", "45-49", "50-54", "55-59", "60-64", "65-69", "70-74", "75-79", "80-84", "85+")</f>
        <v>40-44</v>
      </c>
      <c r="D1010" t="s">
        <v>7</v>
      </c>
    </row>
    <row r="1011" spans="1:4">
      <c r="A1011" t="s">
        <v>6</v>
      </c>
      <c r="B1011">
        <v>33</v>
      </c>
      <c r="C1011" t="str">
        <f>CHOOSE(MATCH(B1011, {20,25,30,35,40,45,50,55,60,65,70,75,80,85}, 1), "20-24", "25-29", "30-34", "35-39", "40-44", "45-49", "50-54", "55-59", "60-64", "65-69", "70-74", "75-79", "80-84", "85+")</f>
        <v>30-34</v>
      </c>
      <c r="D1011" t="s">
        <v>7</v>
      </c>
    </row>
    <row r="1012" spans="1:4">
      <c r="A1012" t="s">
        <v>6</v>
      </c>
      <c r="B1012">
        <v>29</v>
      </c>
      <c r="C1012" t="str">
        <f>CHOOSE(MATCH(B1012, {20,25,30,35,40,45,50,55,60,65,70,75,80,85}, 1), "20-24", "25-29", "30-34", "35-39", "40-44", "45-49", "50-54", "55-59", "60-64", "65-69", "70-74", "75-79", "80-84", "85+")</f>
        <v>25-29</v>
      </c>
      <c r="D1012" t="s">
        <v>7</v>
      </c>
    </row>
    <row r="1013" spans="1:4">
      <c r="A1013" t="s">
        <v>6</v>
      </c>
      <c r="B1013">
        <v>38</v>
      </c>
      <c r="C1013" t="str">
        <f>CHOOSE(MATCH(B1013, {20,25,30,35,40,45,50,55,60,65,70,75,80,85}, 1), "20-24", "25-29", "30-34", "35-39", "40-44", "45-49", "50-54", "55-59", "60-64", "65-69", "70-74", "75-79", "80-84", "85+")</f>
        <v>35-39</v>
      </c>
      <c r="D1013" t="s">
        <v>7</v>
      </c>
    </row>
    <row r="1014" spans="1:4">
      <c r="A1014" t="s">
        <v>6</v>
      </c>
      <c r="B1014">
        <v>32</v>
      </c>
      <c r="C1014" t="str">
        <f>CHOOSE(MATCH(B1014, {20,25,30,35,40,45,50,55,60,65,70,75,80,85}, 1), "20-24", "25-29", "30-34", "35-39", "40-44", "45-49", "50-54", "55-59", "60-64", "65-69", "70-74", "75-79", "80-84", "85+")</f>
        <v>30-34</v>
      </c>
      <c r="D1014" t="s">
        <v>7</v>
      </c>
    </row>
    <row r="1015" spans="1:4">
      <c r="A1015" t="s">
        <v>6</v>
      </c>
      <c r="B1015">
        <v>37</v>
      </c>
      <c r="C1015" t="str">
        <f>CHOOSE(MATCH(B1015, {20,25,30,35,40,45,50,55,60,65,70,75,80,85}, 1), "20-24", "25-29", "30-34", "35-39", "40-44", "45-49", "50-54", "55-59", "60-64", "65-69", "70-74", "75-79", "80-84", "85+")</f>
        <v>35-39</v>
      </c>
      <c r="D1015" t="s">
        <v>7</v>
      </c>
    </row>
    <row r="1016" spans="1:4">
      <c r="A1016" t="s">
        <v>6</v>
      </c>
      <c r="B1016">
        <v>33</v>
      </c>
      <c r="C1016" t="str">
        <f>CHOOSE(MATCH(B1016, {20,25,30,35,40,45,50,55,60,65,70,75,80,85}, 1), "20-24", "25-29", "30-34", "35-39", "40-44", "45-49", "50-54", "55-59", "60-64", "65-69", "70-74", "75-79", "80-84", "85+")</f>
        <v>30-34</v>
      </c>
      <c r="D1016" t="s">
        <v>7</v>
      </c>
    </row>
    <row r="1017" spans="1:4">
      <c r="A1017" t="s">
        <v>6</v>
      </c>
      <c r="B1017">
        <v>65</v>
      </c>
      <c r="C1017" t="str">
        <f>CHOOSE(MATCH(B1017, {20,25,30,35,40,45,50,55,60,65,70,75,80,85}, 1), "20-24", "25-29", "30-34", "35-39", "40-44", "45-49", "50-54", "55-59", "60-64", "65-69", "70-74", "75-79", "80-84", "85+")</f>
        <v>65-69</v>
      </c>
      <c r="D1017" t="s">
        <v>8</v>
      </c>
    </row>
    <row r="1018" spans="1:4">
      <c r="A1018" t="s">
        <v>6</v>
      </c>
      <c r="B1018">
        <v>47</v>
      </c>
      <c r="C1018" t="str">
        <f>CHOOSE(MATCH(B1018, {20,25,30,35,40,45,50,55,60,65,70,75,80,85}, 1), "20-24", "25-29", "30-34", "35-39", "40-44", "45-49", "50-54", "55-59", "60-64", "65-69", "70-74", "75-79", "80-84", "85+")</f>
        <v>45-49</v>
      </c>
      <c r="D1018" t="s">
        <v>7</v>
      </c>
    </row>
    <row r="1019" spans="1:4">
      <c r="A1019" t="s">
        <v>6</v>
      </c>
      <c r="B1019">
        <v>47</v>
      </c>
      <c r="C1019" t="str">
        <f>CHOOSE(MATCH(B1019, {20,25,30,35,40,45,50,55,60,65,70,75,80,85}, 1), "20-24", "25-29", "30-34", "35-39", "40-44", "45-49", "50-54", "55-59", "60-64", "65-69", "70-74", "75-79", "80-84", "85+")</f>
        <v>45-49</v>
      </c>
      <c r="D1019" t="s">
        <v>7</v>
      </c>
    </row>
    <row r="1020" spans="1:4">
      <c r="A1020" t="s">
        <v>6</v>
      </c>
      <c r="B1020">
        <v>28</v>
      </c>
      <c r="C1020" t="str">
        <f>CHOOSE(MATCH(B1020, {20,25,30,35,40,45,50,55,60,65,70,75,80,85}, 1), "20-24", "25-29", "30-34", "35-39", "40-44", "45-49", "50-54", "55-59", "60-64", "65-69", "70-74", "75-79", "80-84", "85+")</f>
        <v>25-29</v>
      </c>
      <c r="D1020" t="s">
        <v>8</v>
      </c>
    </row>
    <row r="1021" spans="1:4">
      <c r="A1021" t="s">
        <v>6</v>
      </c>
      <c r="B1021">
        <v>54</v>
      </c>
      <c r="C1021" t="str">
        <f>CHOOSE(MATCH(B1021, {20,25,30,35,40,45,50,55,60,65,70,75,80,85}, 1), "20-24", "25-29", "30-34", "35-39", "40-44", "45-49", "50-54", "55-59", "60-64", "65-69", "70-74", "75-79", "80-84", "85+")</f>
        <v>50-54</v>
      </c>
      <c r="D1021" t="s">
        <v>7</v>
      </c>
    </row>
    <row r="1022" spans="1:4">
      <c r="A1022" t="s">
        <v>6</v>
      </c>
      <c r="B1022">
        <v>28</v>
      </c>
      <c r="C1022" t="str">
        <f>CHOOSE(MATCH(B1022, {20,25,30,35,40,45,50,55,60,65,70,75,80,85}, 1), "20-24", "25-29", "30-34", "35-39", "40-44", "45-49", "50-54", "55-59", "60-64", "65-69", "70-74", "75-79", "80-84", "85+")</f>
        <v>25-29</v>
      </c>
      <c r="D1022" t="s">
        <v>7</v>
      </c>
    </row>
    <row r="1023" spans="1:4">
      <c r="A1023" t="s">
        <v>6</v>
      </c>
      <c r="B1023">
        <v>54</v>
      </c>
      <c r="C1023" t="str">
        <f>CHOOSE(MATCH(B1023, {20,25,30,35,40,45,50,55,60,65,70,75,80,85}, 1), "20-24", "25-29", "30-34", "35-39", "40-44", "45-49", "50-54", "55-59", "60-64", "65-69", "70-74", "75-79", "80-84", "85+")</f>
        <v>50-54</v>
      </c>
      <c r="D1023" t="s">
        <v>7</v>
      </c>
    </row>
    <row r="1024" spans="1:4">
      <c r="A1024" t="s">
        <v>6</v>
      </c>
      <c r="B1024">
        <v>75</v>
      </c>
      <c r="C1024" t="str">
        <f>CHOOSE(MATCH(B1024, {20,25,30,35,40,45,50,55,60,65,70,75,80,85}, 1), "20-24", "25-29", "30-34", "35-39", "40-44", "45-49", "50-54", "55-59", "60-64", "65-69", "70-74", "75-79", "80-84", "85+")</f>
        <v>75-79</v>
      </c>
      <c r="D1024" t="s">
        <v>8</v>
      </c>
    </row>
    <row r="1025" spans="1:4">
      <c r="A1025" t="s">
        <v>6</v>
      </c>
      <c r="B1025">
        <v>43</v>
      </c>
      <c r="C1025" t="str">
        <f>CHOOSE(MATCH(B1025, {20,25,30,35,40,45,50,55,60,65,70,75,80,85}, 1), "20-24", "25-29", "30-34", "35-39", "40-44", "45-49", "50-54", "55-59", "60-64", "65-69", "70-74", "75-79", "80-84", "85+")</f>
        <v>40-44</v>
      </c>
      <c r="D1025" t="s">
        <v>7</v>
      </c>
    </row>
    <row r="1026" spans="1:4">
      <c r="A1026" t="s">
        <v>6</v>
      </c>
      <c r="B1026">
        <v>24</v>
      </c>
      <c r="C1026" t="str">
        <f>CHOOSE(MATCH(B1026, {20,25,30,35,40,45,50,55,60,65,70,75,80,85}, 1), "20-24", "25-29", "30-34", "35-39", "40-44", "45-49", "50-54", "55-59", "60-64", "65-69", "70-74", "75-79", "80-84", "85+")</f>
        <v>20-24</v>
      </c>
      <c r="D1026" t="s">
        <v>8</v>
      </c>
    </row>
    <row r="1027" spans="1:4">
      <c r="A1027" t="s">
        <v>6</v>
      </c>
      <c r="B1027">
        <v>29</v>
      </c>
      <c r="C1027" t="str">
        <f>CHOOSE(MATCH(B1027, {20,25,30,35,40,45,50,55,60,65,70,75,80,85}, 1), "20-24", "25-29", "30-34", "35-39", "40-44", "45-49", "50-54", "55-59", "60-64", "65-69", "70-74", "75-79", "80-84", "85+")</f>
        <v>25-29</v>
      </c>
      <c r="D1027" t="s">
        <v>7</v>
      </c>
    </row>
    <row r="1028" spans="1:4">
      <c r="A1028" t="s">
        <v>6</v>
      </c>
      <c r="B1028">
        <v>43</v>
      </c>
      <c r="C1028" t="str">
        <f>CHOOSE(MATCH(B1028, {20,25,30,35,40,45,50,55,60,65,70,75,80,85}, 1), "20-24", "25-29", "30-34", "35-39", "40-44", "45-49", "50-54", "55-59", "60-64", "65-69", "70-74", "75-79", "80-84", "85+")</f>
        <v>40-44</v>
      </c>
      <c r="D1028" t="s">
        <v>7</v>
      </c>
    </row>
    <row r="1029" spans="1:4">
      <c r="A1029" t="s">
        <v>6</v>
      </c>
      <c r="B1029">
        <v>24</v>
      </c>
      <c r="C1029" t="str">
        <f>CHOOSE(MATCH(B1029, {20,25,30,35,40,45,50,55,60,65,70,75,80,85}, 1), "20-24", "25-29", "30-34", "35-39", "40-44", "45-49", "50-54", "55-59", "60-64", "65-69", "70-74", "75-79", "80-84", "85+")</f>
        <v>20-24</v>
      </c>
      <c r="D1029" t="s">
        <v>7</v>
      </c>
    </row>
    <row r="1030" spans="1:4">
      <c r="A1030" t="s">
        <v>6</v>
      </c>
      <c r="B1030">
        <v>39</v>
      </c>
      <c r="C1030" t="str">
        <f>CHOOSE(MATCH(B1030, {20,25,30,35,40,45,50,55,60,65,70,75,80,85}, 1), "20-24", "25-29", "30-34", "35-39", "40-44", "45-49", "50-54", "55-59", "60-64", "65-69", "70-74", "75-79", "80-84", "85+")</f>
        <v>35-39</v>
      </c>
      <c r="D1030" t="s">
        <v>7</v>
      </c>
    </row>
    <row r="1031" spans="1:4">
      <c r="A1031" t="s">
        <v>6</v>
      </c>
      <c r="B1031">
        <v>59</v>
      </c>
      <c r="C1031" t="str">
        <f>CHOOSE(MATCH(B1031, {20,25,30,35,40,45,50,55,60,65,70,75,80,85}, 1), "20-24", "25-29", "30-34", "35-39", "40-44", "45-49", "50-54", "55-59", "60-64", "65-69", "70-74", "75-79", "80-84", "85+")</f>
        <v>55-59</v>
      </c>
      <c r="D1031" t="s">
        <v>7</v>
      </c>
    </row>
    <row r="1032" spans="1:4">
      <c r="A1032" t="s">
        <v>6</v>
      </c>
      <c r="B1032">
        <v>70</v>
      </c>
      <c r="C1032" t="str">
        <f>CHOOSE(MATCH(B1032, {20,25,30,35,40,45,50,55,60,65,70,75,80,85}, 1), "20-24", "25-29", "30-34", "35-39", "40-44", "45-49", "50-54", "55-59", "60-64", "65-69", "70-74", "75-79", "80-84", "85+")</f>
        <v>70-74</v>
      </c>
      <c r="D1032" t="s">
        <v>8</v>
      </c>
    </row>
    <row r="1033" spans="1:4">
      <c r="A1033" t="s">
        <v>6</v>
      </c>
      <c r="B1033">
        <v>61</v>
      </c>
      <c r="C1033" t="str">
        <f>CHOOSE(MATCH(B1033, {20,25,30,35,40,45,50,55,60,65,70,75,80,85}, 1), "20-24", "25-29", "30-34", "35-39", "40-44", "45-49", "50-54", "55-59", "60-64", "65-69", "70-74", "75-79", "80-84", "85+")</f>
        <v>60-64</v>
      </c>
      <c r="D1033" t="s">
        <v>7</v>
      </c>
    </row>
    <row r="1034" spans="1:4">
      <c r="A1034" t="s">
        <v>6</v>
      </c>
      <c r="B1034">
        <v>71</v>
      </c>
      <c r="C1034" t="str">
        <f>CHOOSE(MATCH(B1034, {20,25,30,35,40,45,50,55,60,65,70,75,80,85}, 1), "20-24", "25-29", "30-34", "35-39", "40-44", "45-49", "50-54", "55-59", "60-64", "65-69", "70-74", "75-79", "80-84", "85+")</f>
        <v>70-74</v>
      </c>
      <c r="D1034" t="s">
        <v>8</v>
      </c>
    </row>
    <row r="1035" spans="1:4">
      <c r="A1035" t="s">
        <v>6</v>
      </c>
      <c r="B1035">
        <v>47</v>
      </c>
      <c r="C1035" t="str">
        <f>CHOOSE(MATCH(B1035, {20,25,30,35,40,45,50,55,60,65,70,75,80,85}, 1), "20-24", "25-29", "30-34", "35-39", "40-44", "45-49", "50-54", "55-59", "60-64", "65-69", "70-74", "75-79", "80-84", "85+")</f>
        <v>45-49</v>
      </c>
      <c r="D1035" t="s">
        <v>7</v>
      </c>
    </row>
    <row r="1036" spans="1:4">
      <c r="A1036" t="s">
        <v>6</v>
      </c>
      <c r="B1036">
        <v>67</v>
      </c>
      <c r="C1036" t="str">
        <f>CHOOSE(MATCH(B1036, {20,25,30,35,40,45,50,55,60,65,70,75,80,85}, 1), "20-24", "25-29", "30-34", "35-39", "40-44", "45-49", "50-54", "55-59", "60-64", "65-69", "70-74", "75-79", "80-84", "85+")</f>
        <v>65-69</v>
      </c>
      <c r="D1036" t="s">
        <v>7</v>
      </c>
    </row>
    <row r="1037" spans="1:4">
      <c r="A1037" t="s">
        <v>6</v>
      </c>
      <c r="B1037">
        <v>56</v>
      </c>
      <c r="C1037" t="str">
        <f>CHOOSE(MATCH(B1037, {20,25,30,35,40,45,50,55,60,65,70,75,80,85}, 1), "20-24", "25-29", "30-34", "35-39", "40-44", "45-49", "50-54", "55-59", "60-64", "65-69", "70-74", "75-79", "80-84", "85+")</f>
        <v>55-59</v>
      </c>
      <c r="D1037" t="s">
        <v>8</v>
      </c>
    </row>
    <row r="1038" spans="1:4">
      <c r="A1038" t="s">
        <v>6</v>
      </c>
      <c r="B1038">
        <v>59</v>
      </c>
      <c r="C1038" t="str">
        <f>CHOOSE(MATCH(B1038, {20,25,30,35,40,45,50,55,60,65,70,75,80,85}, 1), "20-24", "25-29", "30-34", "35-39", "40-44", "45-49", "50-54", "55-59", "60-64", "65-69", "70-74", "75-79", "80-84", "85+")</f>
        <v>55-59</v>
      </c>
      <c r="D1038" t="s">
        <v>7</v>
      </c>
    </row>
    <row r="1039" spans="1:4">
      <c r="A1039" t="s">
        <v>6</v>
      </c>
      <c r="B1039">
        <v>45</v>
      </c>
      <c r="C1039" t="str">
        <f>CHOOSE(MATCH(B1039, {20,25,30,35,40,45,50,55,60,65,70,75,80,85}, 1), "20-24", "25-29", "30-34", "35-39", "40-44", "45-49", "50-54", "55-59", "60-64", "65-69", "70-74", "75-79", "80-84", "85+")</f>
        <v>45-49</v>
      </c>
      <c r="D1039" t="s">
        <v>8</v>
      </c>
    </row>
    <row r="1040" spans="1:4">
      <c r="A1040" t="s">
        <v>6</v>
      </c>
      <c r="B1040">
        <v>28</v>
      </c>
      <c r="C1040" t="str">
        <f>CHOOSE(MATCH(B1040, {20,25,30,35,40,45,50,55,60,65,70,75,80,85}, 1), "20-24", "25-29", "30-34", "35-39", "40-44", "45-49", "50-54", "55-59", "60-64", "65-69", "70-74", "75-79", "80-84", "85+")</f>
        <v>25-29</v>
      </c>
      <c r="D1040" t="s">
        <v>7</v>
      </c>
    </row>
    <row r="1041" spans="1:4">
      <c r="A1041" t="s">
        <v>6</v>
      </c>
      <c r="B1041">
        <v>54</v>
      </c>
      <c r="C1041" t="str">
        <f>CHOOSE(MATCH(B1041, {20,25,30,35,40,45,50,55,60,65,70,75,80,85}, 1), "20-24", "25-29", "30-34", "35-39", "40-44", "45-49", "50-54", "55-59", "60-64", "65-69", "70-74", "75-79", "80-84", "85+")</f>
        <v>50-54</v>
      </c>
      <c r="D1041" t="s">
        <v>7</v>
      </c>
    </row>
    <row r="1042" spans="1:4">
      <c r="A1042" t="s">
        <v>6</v>
      </c>
      <c r="B1042">
        <v>27</v>
      </c>
      <c r="C1042" t="str">
        <f>CHOOSE(MATCH(B1042, {20,25,30,35,40,45,50,55,60,65,70,75,80,85}, 1), "20-24", "25-29", "30-34", "35-39", "40-44", "45-49", "50-54", "55-59", "60-64", "65-69", "70-74", "75-79", "80-84", "85+")</f>
        <v>25-29</v>
      </c>
      <c r="D1042" t="s">
        <v>7</v>
      </c>
    </row>
    <row r="1043" spans="1:4">
      <c r="A1043" t="s">
        <v>6</v>
      </c>
      <c r="B1043">
        <v>45</v>
      </c>
      <c r="C1043" t="str">
        <f>CHOOSE(MATCH(B1043, {20,25,30,35,40,45,50,55,60,65,70,75,80,85}, 1), "20-24", "25-29", "30-34", "35-39", "40-44", "45-49", "50-54", "55-59", "60-64", "65-69", "70-74", "75-79", "80-84", "85+")</f>
        <v>45-49</v>
      </c>
      <c r="D1043" t="s">
        <v>7</v>
      </c>
    </row>
    <row r="1044" spans="1:4">
      <c r="A1044" t="s">
        <v>6</v>
      </c>
      <c r="B1044">
        <v>44</v>
      </c>
      <c r="C1044" t="str">
        <f>CHOOSE(MATCH(B1044, {20,25,30,35,40,45,50,55,60,65,70,75,80,85}, 1), "20-24", "25-29", "30-34", "35-39", "40-44", "45-49", "50-54", "55-59", "60-64", "65-69", "70-74", "75-79", "80-84", "85+")</f>
        <v>40-44</v>
      </c>
      <c r="D1044" t="s">
        <v>8</v>
      </c>
    </row>
    <row r="1045" spans="1:4">
      <c r="A1045" t="s">
        <v>6</v>
      </c>
      <c r="B1045">
        <v>33</v>
      </c>
      <c r="C1045" t="str">
        <f>CHOOSE(MATCH(B1045, {20,25,30,35,40,45,50,55,60,65,70,75,80,85}, 1), "20-24", "25-29", "30-34", "35-39", "40-44", "45-49", "50-54", "55-59", "60-64", "65-69", "70-74", "75-79", "80-84", "85+")</f>
        <v>30-34</v>
      </c>
      <c r="D1045" t="s">
        <v>8</v>
      </c>
    </row>
    <row r="1046" spans="1:4">
      <c r="A1046" t="s">
        <v>6</v>
      </c>
      <c r="B1046">
        <v>43</v>
      </c>
      <c r="C1046" t="str">
        <f>CHOOSE(MATCH(B1046, {20,25,30,35,40,45,50,55,60,65,70,75,80,85}, 1), "20-24", "25-29", "30-34", "35-39", "40-44", "45-49", "50-54", "55-59", "60-64", "65-69", "70-74", "75-79", "80-84", "85+")</f>
        <v>40-44</v>
      </c>
      <c r="D1046" t="s">
        <v>7</v>
      </c>
    </row>
    <row r="1047" spans="1:4">
      <c r="A1047" t="s">
        <v>6</v>
      </c>
      <c r="B1047">
        <v>20</v>
      </c>
      <c r="C1047" t="str">
        <f>CHOOSE(MATCH(B1047, {20,25,30,35,40,45,50,55,60,65,70,75,80,85}, 1), "20-24", "25-29", "30-34", "35-39", "40-44", "45-49", "50-54", "55-59", "60-64", "65-69", "70-74", "75-79", "80-84", "85+")</f>
        <v>20-24</v>
      </c>
      <c r="D1047" t="s">
        <v>8</v>
      </c>
    </row>
    <row r="1048" spans="1:4">
      <c r="A1048" t="s">
        <v>6</v>
      </c>
      <c r="B1048">
        <v>76</v>
      </c>
      <c r="C1048" t="str">
        <f>CHOOSE(MATCH(B1048, {20,25,30,35,40,45,50,55,60,65,70,75,80,85}, 1), "20-24", "25-29", "30-34", "35-39", "40-44", "45-49", "50-54", "55-59", "60-64", "65-69", "70-74", "75-79", "80-84", "85+")</f>
        <v>75-79</v>
      </c>
      <c r="D1048" t="s">
        <v>7</v>
      </c>
    </row>
    <row r="1049" spans="1:4">
      <c r="A1049" t="s">
        <v>6</v>
      </c>
      <c r="B1049">
        <v>30</v>
      </c>
      <c r="C1049" t="str">
        <f>CHOOSE(MATCH(B1049, {20,25,30,35,40,45,50,55,60,65,70,75,80,85}, 1), "20-24", "25-29", "30-34", "35-39", "40-44", "45-49", "50-54", "55-59", "60-64", "65-69", "70-74", "75-79", "80-84", "85+")</f>
        <v>30-34</v>
      </c>
      <c r="D1049" t="s">
        <v>7</v>
      </c>
    </row>
    <row r="1050" spans="1:4">
      <c r="A1050" t="s">
        <v>6</v>
      </c>
      <c r="B1050">
        <v>24</v>
      </c>
      <c r="C1050" t="str">
        <f>CHOOSE(MATCH(B1050, {20,25,30,35,40,45,50,55,60,65,70,75,80,85}, 1), "20-24", "25-29", "30-34", "35-39", "40-44", "45-49", "50-54", "55-59", "60-64", "65-69", "70-74", "75-79", "80-84", "85+")</f>
        <v>20-24</v>
      </c>
      <c r="D1050" t="s">
        <v>8</v>
      </c>
    </row>
    <row r="1051" spans="1:4">
      <c r="A1051" t="s">
        <v>6</v>
      </c>
      <c r="B1051">
        <v>25</v>
      </c>
      <c r="C1051" t="str">
        <f>CHOOSE(MATCH(B1051, {20,25,30,35,40,45,50,55,60,65,70,75,80,85}, 1), "20-24", "25-29", "30-34", "35-39", "40-44", "45-49", "50-54", "55-59", "60-64", "65-69", "70-74", "75-79", "80-84", "85+")</f>
        <v>25-29</v>
      </c>
      <c r="D1051" t="s">
        <v>7</v>
      </c>
    </row>
    <row r="1052" spans="1:4">
      <c r="A1052" t="s">
        <v>6</v>
      </c>
      <c r="B1052">
        <v>31</v>
      </c>
      <c r="C1052" t="str">
        <f>CHOOSE(MATCH(B1052, {20,25,30,35,40,45,50,55,60,65,70,75,80,85}, 1), "20-24", "25-29", "30-34", "35-39", "40-44", "45-49", "50-54", "55-59", "60-64", "65-69", "70-74", "75-79", "80-84", "85+")</f>
        <v>30-34</v>
      </c>
      <c r="D1052" t="s">
        <v>7</v>
      </c>
    </row>
    <row r="1053" spans="1:4">
      <c r="A1053" t="s">
        <v>6</v>
      </c>
      <c r="B1053">
        <v>64</v>
      </c>
      <c r="C1053" t="str">
        <f>CHOOSE(MATCH(B1053, {20,25,30,35,40,45,50,55,60,65,70,75,80,85}, 1), "20-24", "25-29", "30-34", "35-39", "40-44", "45-49", "50-54", "55-59", "60-64", "65-69", "70-74", "75-79", "80-84", "85+")</f>
        <v>60-64</v>
      </c>
      <c r="D1053" t="s">
        <v>7</v>
      </c>
    </row>
    <row r="1054" spans="1:4">
      <c r="A1054" t="s">
        <v>6</v>
      </c>
      <c r="B1054">
        <v>38</v>
      </c>
      <c r="C1054" t="str">
        <f>CHOOSE(MATCH(B1054, {20,25,30,35,40,45,50,55,60,65,70,75,80,85}, 1), "20-24", "25-29", "30-34", "35-39", "40-44", "45-49", "50-54", "55-59", "60-64", "65-69", "70-74", "75-79", "80-84", "85+")</f>
        <v>35-39</v>
      </c>
      <c r="D1054" t="s">
        <v>8</v>
      </c>
    </row>
    <row r="1055" spans="1:4">
      <c r="A1055" t="s">
        <v>6</v>
      </c>
      <c r="B1055">
        <v>39</v>
      </c>
      <c r="C1055" t="str">
        <f>CHOOSE(MATCH(B1055, {20,25,30,35,40,45,50,55,60,65,70,75,80,85}, 1), "20-24", "25-29", "30-34", "35-39", "40-44", "45-49", "50-54", "55-59", "60-64", "65-69", "70-74", "75-79", "80-84", "85+")</f>
        <v>35-39</v>
      </c>
      <c r="D1055" t="s">
        <v>7</v>
      </c>
    </row>
    <row r="1056" spans="1:4">
      <c r="A1056" t="s">
        <v>6</v>
      </c>
      <c r="B1056">
        <v>27</v>
      </c>
      <c r="C1056" t="str">
        <f>CHOOSE(MATCH(B1056, {20,25,30,35,40,45,50,55,60,65,70,75,80,85}, 1), "20-24", "25-29", "30-34", "35-39", "40-44", "45-49", "50-54", "55-59", "60-64", "65-69", "70-74", "75-79", "80-84", "85+")</f>
        <v>25-29</v>
      </c>
      <c r="D1056" t="s">
        <v>8</v>
      </c>
    </row>
    <row r="1057" spans="1:4">
      <c r="A1057" t="s">
        <v>6</v>
      </c>
      <c r="B1057">
        <v>35</v>
      </c>
      <c r="C1057" t="str">
        <f>CHOOSE(MATCH(B1057, {20,25,30,35,40,45,50,55,60,65,70,75,80,85}, 1), "20-24", "25-29", "30-34", "35-39", "40-44", "45-49", "50-54", "55-59", "60-64", "65-69", "70-74", "75-79", "80-84", "85+")</f>
        <v>35-39</v>
      </c>
      <c r="D1057" t="s">
        <v>8</v>
      </c>
    </row>
    <row r="1058" spans="1:4">
      <c r="A1058" t="s">
        <v>6</v>
      </c>
      <c r="B1058">
        <v>36</v>
      </c>
      <c r="C1058" t="str">
        <f>CHOOSE(MATCH(B1058, {20,25,30,35,40,45,50,55,60,65,70,75,80,85}, 1), "20-24", "25-29", "30-34", "35-39", "40-44", "45-49", "50-54", "55-59", "60-64", "65-69", "70-74", "75-79", "80-84", "85+")</f>
        <v>35-39</v>
      </c>
      <c r="D1058" t="s">
        <v>7</v>
      </c>
    </row>
    <row r="1059" spans="1:4">
      <c r="A1059" t="s">
        <v>6</v>
      </c>
      <c r="B1059">
        <v>29</v>
      </c>
      <c r="C1059" t="str">
        <f>CHOOSE(MATCH(B1059, {20,25,30,35,40,45,50,55,60,65,70,75,80,85}, 1), "20-24", "25-29", "30-34", "35-39", "40-44", "45-49", "50-54", "55-59", "60-64", "65-69", "70-74", "75-79", "80-84", "85+")</f>
        <v>25-29</v>
      </c>
      <c r="D1059" t="s">
        <v>7</v>
      </c>
    </row>
    <row r="1060" spans="1:4">
      <c r="A1060" t="s">
        <v>6</v>
      </c>
      <c r="B1060">
        <v>32</v>
      </c>
      <c r="C1060" t="str">
        <f>CHOOSE(MATCH(B1060, {20,25,30,35,40,45,50,55,60,65,70,75,80,85}, 1), "20-24", "25-29", "30-34", "35-39", "40-44", "45-49", "50-54", "55-59", "60-64", "65-69", "70-74", "75-79", "80-84", "85+")</f>
        <v>30-34</v>
      </c>
      <c r="D1060" t="s">
        <v>7</v>
      </c>
    </row>
    <row r="1061" spans="1:4">
      <c r="A1061" t="s">
        <v>6</v>
      </c>
      <c r="B1061">
        <v>49</v>
      </c>
      <c r="C1061" t="str">
        <f>CHOOSE(MATCH(B1061, {20,25,30,35,40,45,50,55,60,65,70,75,80,85}, 1), "20-24", "25-29", "30-34", "35-39", "40-44", "45-49", "50-54", "55-59", "60-64", "65-69", "70-74", "75-79", "80-84", "85+")</f>
        <v>45-49</v>
      </c>
      <c r="D1061" t="s">
        <v>7</v>
      </c>
    </row>
    <row r="1062" spans="1:4">
      <c r="A1062" t="s">
        <v>6</v>
      </c>
      <c r="B1062">
        <v>31</v>
      </c>
      <c r="C1062" t="str">
        <f>CHOOSE(MATCH(B1062, {20,25,30,35,40,45,50,55,60,65,70,75,80,85}, 1), "20-24", "25-29", "30-34", "35-39", "40-44", "45-49", "50-54", "55-59", "60-64", "65-69", "70-74", "75-79", "80-84", "85+")</f>
        <v>30-34</v>
      </c>
      <c r="D1062" t="s">
        <v>7</v>
      </c>
    </row>
    <row r="1063" spans="1:4">
      <c r="A1063" t="s">
        <v>6</v>
      </c>
      <c r="B1063">
        <v>35</v>
      </c>
      <c r="C1063" t="str">
        <f>CHOOSE(MATCH(B1063, {20,25,30,35,40,45,50,55,60,65,70,75,80,85}, 1), "20-24", "25-29", "30-34", "35-39", "40-44", "45-49", "50-54", "55-59", "60-64", "65-69", "70-74", "75-79", "80-84", "85+")</f>
        <v>35-39</v>
      </c>
      <c r="D1063" t="s">
        <v>7</v>
      </c>
    </row>
    <row r="1064" spans="1:4">
      <c r="A1064" t="s">
        <v>6</v>
      </c>
      <c r="B1064">
        <v>34</v>
      </c>
      <c r="C1064" t="str">
        <f>CHOOSE(MATCH(B1064, {20,25,30,35,40,45,50,55,60,65,70,75,80,85}, 1), "20-24", "25-29", "30-34", "35-39", "40-44", "45-49", "50-54", "55-59", "60-64", "65-69", "70-74", "75-79", "80-84", "85+")</f>
        <v>30-34</v>
      </c>
      <c r="D1064" t="s">
        <v>8</v>
      </c>
    </row>
    <row r="1065" spans="1:4">
      <c r="A1065" t="s">
        <v>6</v>
      </c>
      <c r="B1065">
        <v>28</v>
      </c>
      <c r="C1065" t="str">
        <f>CHOOSE(MATCH(B1065, {20,25,30,35,40,45,50,55,60,65,70,75,80,85}, 1), "20-24", "25-29", "30-34", "35-39", "40-44", "45-49", "50-54", "55-59", "60-64", "65-69", "70-74", "75-79", "80-84", "85+")</f>
        <v>25-29</v>
      </c>
      <c r="D1065" t="s">
        <v>8</v>
      </c>
    </row>
    <row r="1066" spans="1:4">
      <c r="A1066" t="s">
        <v>6</v>
      </c>
      <c r="B1066">
        <v>33</v>
      </c>
      <c r="C1066" t="str">
        <f>CHOOSE(MATCH(B1066, {20,25,30,35,40,45,50,55,60,65,70,75,80,85}, 1), "20-24", "25-29", "30-34", "35-39", "40-44", "45-49", "50-54", "55-59", "60-64", "65-69", "70-74", "75-79", "80-84", "85+")</f>
        <v>30-34</v>
      </c>
      <c r="D1066" t="s">
        <v>8</v>
      </c>
    </row>
    <row r="1067" spans="1:4">
      <c r="A1067" t="s">
        <v>6</v>
      </c>
      <c r="B1067">
        <v>34</v>
      </c>
      <c r="C1067" t="str">
        <f>CHOOSE(MATCH(B1067, {20,25,30,35,40,45,50,55,60,65,70,75,80,85}, 1), "20-24", "25-29", "30-34", "35-39", "40-44", "45-49", "50-54", "55-59", "60-64", "65-69", "70-74", "75-79", "80-84", "85+")</f>
        <v>30-34</v>
      </c>
      <c r="D1067" t="s">
        <v>8</v>
      </c>
    </row>
    <row r="1068" spans="1:4">
      <c r="A1068" t="s">
        <v>6</v>
      </c>
      <c r="B1068">
        <v>43</v>
      </c>
      <c r="C1068" t="str">
        <f>CHOOSE(MATCH(B1068, {20,25,30,35,40,45,50,55,60,65,70,75,80,85}, 1), "20-24", "25-29", "30-34", "35-39", "40-44", "45-49", "50-54", "55-59", "60-64", "65-69", "70-74", "75-79", "80-84", "85+")</f>
        <v>40-44</v>
      </c>
      <c r="D1068" t="s">
        <v>7</v>
      </c>
    </row>
    <row r="1069" spans="1:4">
      <c r="A1069" t="s">
        <v>6</v>
      </c>
      <c r="B1069">
        <v>46</v>
      </c>
      <c r="C1069" t="str">
        <f>CHOOSE(MATCH(B1069, {20,25,30,35,40,45,50,55,60,65,70,75,80,85}, 1), "20-24", "25-29", "30-34", "35-39", "40-44", "45-49", "50-54", "55-59", "60-64", "65-69", "70-74", "75-79", "80-84", "85+")</f>
        <v>45-49</v>
      </c>
      <c r="D1069" t="s">
        <v>7</v>
      </c>
    </row>
    <row r="1070" spans="1:4">
      <c r="A1070" t="s">
        <v>6</v>
      </c>
      <c r="B1070">
        <v>21</v>
      </c>
      <c r="C1070" t="str">
        <f>CHOOSE(MATCH(B1070, {20,25,30,35,40,45,50,55,60,65,70,75,80,85}, 1), "20-24", "25-29", "30-34", "35-39", "40-44", "45-49", "50-54", "55-59", "60-64", "65-69", "70-74", "75-79", "80-84", "85+")</f>
        <v>20-24</v>
      </c>
      <c r="D1070" t="s">
        <v>8</v>
      </c>
    </row>
    <row r="1071" spans="1:4">
      <c r="A1071" t="s">
        <v>6</v>
      </c>
      <c r="B1071">
        <v>32</v>
      </c>
      <c r="C1071" t="str">
        <f>CHOOSE(MATCH(B1071, {20,25,30,35,40,45,50,55,60,65,70,75,80,85}, 1), "20-24", "25-29", "30-34", "35-39", "40-44", "45-49", "50-54", "55-59", "60-64", "65-69", "70-74", "75-79", "80-84", "85+")</f>
        <v>30-34</v>
      </c>
      <c r="D1071" t="s">
        <v>8</v>
      </c>
    </row>
    <row r="1072" spans="1:4">
      <c r="A1072" t="s">
        <v>6</v>
      </c>
      <c r="B1072">
        <v>75</v>
      </c>
      <c r="C1072" t="str">
        <f>CHOOSE(MATCH(B1072, {20,25,30,35,40,45,50,55,60,65,70,75,80,85}, 1), "20-24", "25-29", "30-34", "35-39", "40-44", "45-49", "50-54", "55-59", "60-64", "65-69", "70-74", "75-79", "80-84", "85+")</f>
        <v>75-79</v>
      </c>
      <c r="D1072" t="s">
        <v>8</v>
      </c>
    </row>
    <row r="1073" spans="1:4">
      <c r="A1073" t="s">
        <v>6</v>
      </c>
      <c r="B1073">
        <v>25</v>
      </c>
      <c r="C1073" t="str">
        <f>CHOOSE(MATCH(B1073, {20,25,30,35,40,45,50,55,60,65,70,75,80,85}, 1), "20-24", "25-29", "30-34", "35-39", "40-44", "45-49", "50-54", "55-59", "60-64", "65-69", "70-74", "75-79", "80-84", "85+")</f>
        <v>25-29</v>
      </c>
      <c r="D1073" t="s">
        <v>8</v>
      </c>
    </row>
    <row r="1074" spans="1:4">
      <c r="A1074" t="s">
        <v>6</v>
      </c>
      <c r="B1074">
        <v>38</v>
      </c>
      <c r="C1074" t="str">
        <f>CHOOSE(MATCH(B1074, {20,25,30,35,40,45,50,55,60,65,70,75,80,85}, 1), "20-24", "25-29", "30-34", "35-39", "40-44", "45-49", "50-54", "55-59", "60-64", "65-69", "70-74", "75-79", "80-84", "85+")</f>
        <v>35-39</v>
      </c>
      <c r="D1074" t="s">
        <v>8</v>
      </c>
    </row>
    <row r="1075" spans="1:4">
      <c r="A1075" t="s">
        <v>6</v>
      </c>
      <c r="B1075">
        <v>53</v>
      </c>
      <c r="C1075" t="str">
        <f>CHOOSE(MATCH(B1075, {20,25,30,35,40,45,50,55,60,65,70,75,80,85}, 1), "20-24", "25-29", "30-34", "35-39", "40-44", "45-49", "50-54", "55-59", "60-64", "65-69", "70-74", "75-79", "80-84", "85+")</f>
        <v>50-54</v>
      </c>
      <c r="D1075" t="s">
        <v>7</v>
      </c>
    </row>
    <row r="1076" spans="1:4">
      <c r="A1076" t="s">
        <v>6</v>
      </c>
      <c r="B1076">
        <v>41</v>
      </c>
      <c r="C1076" t="str">
        <f>CHOOSE(MATCH(B1076, {20,25,30,35,40,45,50,55,60,65,70,75,80,85}, 1), "20-24", "25-29", "30-34", "35-39", "40-44", "45-49", "50-54", "55-59", "60-64", "65-69", "70-74", "75-79", "80-84", "85+")</f>
        <v>40-44</v>
      </c>
      <c r="D1076" t="s">
        <v>7</v>
      </c>
    </row>
    <row r="1077" spans="1:4">
      <c r="A1077" t="s">
        <v>6</v>
      </c>
      <c r="B1077">
        <v>63</v>
      </c>
      <c r="C1077" t="str">
        <f>CHOOSE(MATCH(B1077, {20,25,30,35,40,45,50,55,60,65,70,75,80,85}, 1), "20-24", "25-29", "30-34", "35-39", "40-44", "45-49", "50-54", "55-59", "60-64", "65-69", "70-74", "75-79", "80-84", "85+")</f>
        <v>60-64</v>
      </c>
      <c r="D1077" t="s">
        <v>8</v>
      </c>
    </row>
    <row r="1078" spans="1:4">
      <c r="A1078" t="s">
        <v>6</v>
      </c>
      <c r="B1078">
        <v>39</v>
      </c>
      <c r="C1078" t="str">
        <f>CHOOSE(MATCH(B1078, {20,25,30,35,40,45,50,55,60,65,70,75,80,85}, 1), "20-24", "25-29", "30-34", "35-39", "40-44", "45-49", "50-54", "55-59", "60-64", "65-69", "70-74", "75-79", "80-84", "85+")</f>
        <v>35-39</v>
      </c>
      <c r="D1078" t="s">
        <v>8</v>
      </c>
    </row>
    <row r="1079" spans="1:4">
      <c r="A1079" t="s">
        <v>6</v>
      </c>
      <c r="B1079">
        <v>60</v>
      </c>
      <c r="C1079" t="str">
        <f>CHOOSE(MATCH(B1079, {20,25,30,35,40,45,50,55,60,65,70,75,80,85}, 1), "20-24", "25-29", "30-34", "35-39", "40-44", "45-49", "50-54", "55-59", "60-64", "65-69", "70-74", "75-79", "80-84", "85+")</f>
        <v>60-64</v>
      </c>
      <c r="D1079" t="s">
        <v>8</v>
      </c>
    </row>
    <row r="1080" spans="1:4">
      <c r="A1080" t="s">
        <v>6</v>
      </c>
      <c r="B1080">
        <v>30</v>
      </c>
      <c r="C1080" t="str">
        <f>CHOOSE(MATCH(B1080, {20,25,30,35,40,45,50,55,60,65,70,75,80,85}, 1), "20-24", "25-29", "30-34", "35-39", "40-44", "45-49", "50-54", "55-59", "60-64", "65-69", "70-74", "75-79", "80-84", "85+")</f>
        <v>30-34</v>
      </c>
      <c r="D1080" t="s">
        <v>7</v>
      </c>
    </row>
    <row r="1081" spans="1:4">
      <c r="A1081" t="s">
        <v>6</v>
      </c>
      <c r="B1081">
        <v>27</v>
      </c>
      <c r="C1081" t="str">
        <f>CHOOSE(MATCH(B1081, {20,25,30,35,40,45,50,55,60,65,70,75,80,85}, 1), "20-24", "25-29", "30-34", "35-39", "40-44", "45-49", "50-54", "55-59", "60-64", "65-69", "70-74", "75-79", "80-84", "85+")</f>
        <v>25-29</v>
      </c>
      <c r="D1081" t="s">
        <v>7</v>
      </c>
    </row>
    <row r="1082" spans="1:4">
      <c r="A1082" t="s">
        <v>6</v>
      </c>
      <c r="B1082">
        <v>35</v>
      </c>
      <c r="C1082" t="str">
        <f>CHOOSE(MATCH(B1082, {20,25,30,35,40,45,50,55,60,65,70,75,80,85}, 1), "20-24", "25-29", "30-34", "35-39", "40-44", "45-49", "50-54", "55-59", "60-64", "65-69", "70-74", "75-79", "80-84", "85+")</f>
        <v>35-39</v>
      </c>
      <c r="D1082" t="s">
        <v>8</v>
      </c>
    </row>
    <row r="1083" spans="1:4">
      <c r="A1083" t="s">
        <v>6</v>
      </c>
      <c r="B1083">
        <v>49</v>
      </c>
      <c r="C1083" t="str">
        <f>CHOOSE(MATCH(B1083, {20,25,30,35,40,45,50,55,60,65,70,75,80,85}, 1), "20-24", "25-29", "30-34", "35-39", "40-44", "45-49", "50-54", "55-59", "60-64", "65-69", "70-74", "75-79", "80-84", "85+")</f>
        <v>45-49</v>
      </c>
      <c r="D1083" t="s">
        <v>7</v>
      </c>
    </row>
    <row r="1084" spans="1:4">
      <c r="A1084" t="s">
        <v>6</v>
      </c>
      <c r="B1084">
        <v>27</v>
      </c>
      <c r="C1084" t="str">
        <f>CHOOSE(MATCH(B1084, {20,25,30,35,40,45,50,55,60,65,70,75,80,85}, 1), "20-24", "25-29", "30-34", "35-39", "40-44", "45-49", "50-54", "55-59", "60-64", "65-69", "70-74", "75-79", "80-84", "85+")</f>
        <v>25-29</v>
      </c>
      <c r="D1084" t="s">
        <v>7</v>
      </c>
    </row>
    <row r="1085" spans="1:4">
      <c r="A1085" t="s">
        <v>6</v>
      </c>
      <c r="B1085">
        <v>83</v>
      </c>
      <c r="C1085" t="str">
        <f>CHOOSE(MATCH(B1085, {20,25,30,35,40,45,50,55,60,65,70,75,80,85}, 1), "20-24", "25-29", "30-34", "35-39", "40-44", "45-49", "50-54", "55-59", "60-64", "65-69", "70-74", "75-79", "80-84", "85+")</f>
        <v>80-84</v>
      </c>
      <c r="D1085" t="s">
        <v>7</v>
      </c>
    </row>
    <row r="1086" spans="1:4">
      <c r="A1086" t="s">
        <v>6</v>
      </c>
      <c r="B1086">
        <v>22</v>
      </c>
      <c r="C1086" t="str">
        <f>CHOOSE(MATCH(B1086, {20,25,30,35,40,45,50,55,60,65,70,75,80,85}, 1), "20-24", "25-29", "30-34", "35-39", "40-44", "45-49", "50-54", "55-59", "60-64", "65-69", "70-74", "75-79", "80-84", "85+")</f>
        <v>20-24</v>
      </c>
      <c r="D1086" t="s">
        <v>8</v>
      </c>
    </row>
    <row r="1087" spans="1:4">
      <c r="A1087" t="s">
        <v>6</v>
      </c>
      <c r="B1087">
        <v>38</v>
      </c>
      <c r="C1087" t="str">
        <f>CHOOSE(MATCH(B1087, {20,25,30,35,40,45,50,55,60,65,70,75,80,85}, 1), "20-24", "25-29", "30-34", "35-39", "40-44", "45-49", "50-54", "55-59", "60-64", "65-69", "70-74", "75-79", "80-84", "85+")</f>
        <v>35-39</v>
      </c>
      <c r="D1087" t="s">
        <v>7</v>
      </c>
    </row>
    <row r="1088" spans="1:4">
      <c r="A1088" t="s">
        <v>6</v>
      </c>
      <c r="B1088">
        <v>26</v>
      </c>
      <c r="C1088" t="str">
        <f>CHOOSE(MATCH(B1088, {20,25,30,35,40,45,50,55,60,65,70,75,80,85}, 1), "20-24", "25-29", "30-34", "35-39", "40-44", "45-49", "50-54", "55-59", "60-64", "65-69", "70-74", "75-79", "80-84", "85+")</f>
        <v>25-29</v>
      </c>
      <c r="D1088" t="s">
        <v>7</v>
      </c>
    </row>
    <row r="1089" spans="1:4">
      <c r="A1089" t="s">
        <v>6</v>
      </c>
      <c r="B1089">
        <v>57</v>
      </c>
      <c r="C1089" t="str">
        <f>CHOOSE(MATCH(B1089, {20,25,30,35,40,45,50,55,60,65,70,75,80,85}, 1), "20-24", "25-29", "30-34", "35-39", "40-44", "45-49", "50-54", "55-59", "60-64", "65-69", "70-74", "75-79", "80-84", "85+")</f>
        <v>55-59</v>
      </c>
      <c r="D1089" t="s">
        <v>8</v>
      </c>
    </row>
    <row r="1090" spans="1:4">
      <c r="A1090" t="s">
        <v>6</v>
      </c>
      <c r="B1090">
        <v>59</v>
      </c>
      <c r="C1090" t="str">
        <f>CHOOSE(MATCH(B1090, {20,25,30,35,40,45,50,55,60,65,70,75,80,85}, 1), "20-24", "25-29", "30-34", "35-39", "40-44", "45-49", "50-54", "55-59", "60-64", "65-69", "70-74", "75-79", "80-84", "85+")</f>
        <v>55-59</v>
      </c>
      <c r="D1090" t="s">
        <v>8</v>
      </c>
    </row>
    <row r="1091" spans="1:4">
      <c r="A1091" t="s">
        <v>6</v>
      </c>
      <c r="B1091">
        <v>38</v>
      </c>
      <c r="C1091" t="str">
        <f>CHOOSE(MATCH(B1091, {20,25,30,35,40,45,50,55,60,65,70,75,80,85}, 1), "20-24", "25-29", "30-34", "35-39", "40-44", "45-49", "50-54", "55-59", "60-64", "65-69", "70-74", "75-79", "80-84", "85+")</f>
        <v>35-39</v>
      </c>
      <c r="D1091" t="s">
        <v>7</v>
      </c>
    </row>
    <row r="1092" spans="1:4">
      <c r="A1092" t="s">
        <v>6</v>
      </c>
      <c r="B1092">
        <v>42</v>
      </c>
      <c r="C1092" t="str">
        <f>CHOOSE(MATCH(B1092, {20,25,30,35,40,45,50,55,60,65,70,75,80,85}, 1), "20-24", "25-29", "30-34", "35-39", "40-44", "45-49", "50-54", "55-59", "60-64", "65-69", "70-74", "75-79", "80-84", "85+")</f>
        <v>40-44</v>
      </c>
      <c r="D1092" t="s">
        <v>7</v>
      </c>
    </row>
    <row r="1093" spans="1:4">
      <c r="A1093" t="s">
        <v>6</v>
      </c>
      <c r="B1093">
        <v>38</v>
      </c>
      <c r="C1093" t="str">
        <f>CHOOSE(MATCH(B1093, {20,25,30,35,40,45,50,55,60,65,70,75,80,85}, 1), "20-24", "25-29", "30-34", "35-39", "40-44", "45-49", "50-54", "55-59", "60-64", "65-69", "70-74", "75-79", "80-84", "85+")</f>
        <v>35-39</v>
      </c>
      <c r="D1093" t="s">
        <v>7</v>
      </c>
    </row>
    <row r="1094" spans="1:4">
      <c r="A1094" t="s">
        <v>6</v>
      </c>
      <c r="B1094">
        <v>35</v>
      </c>
      <c r="C1094" t="str">
        <f>CHOOSE(MATCH(B1094, {20,25,30,35,40,45,50,55,60,65,70,75,80,85}, 1), "20-24", "25-29", "30-34", "35-39", "40-44", "45-49", "50-54", "55-59", "60-64", "65-69", "70-74", "75-79", "80-84", "85+")</f>
        <v>35-39</v>
      </c>
      <c r="D1094" t="s">
        <v>8</v>
      </c>
    </row>
    <row r="1095" spans="1:4">
      <c r="A1095" t="s">
        <v>6</v>
      </c>
      <c r="B1095">
        <v>24</v>
      </c>
      <c r="C1095" t="str">
        <f>CHOOSE(MATCH(B1095, {20,25,30,35,40,45,50,55,60,65,70,75,80,85}, 1), "20-24", "25-29", "30-34", "35-39", "40-44", "45-49", "50-54", "55-59", "60-64", "65-69", "70-74", "75-79", "80-84", "85+")</f>
        <v>20-24</v>
      </c>
      <c r="D1095" t="s">
        <v>8</v>
      </c>
    </row>
    <row r="1096" spans="1:4">
      <c r="A1096" t="s">
        <v>6</v>
      </c>
      <c r="B1096">
        <v>29</v>
      </c>
      <c r="C1096" t="str">
        <f>CHOOSE(MATCH(B1096, {20,25,30,35,40,45,50,55,60,65,70,75,80,85}, 1), "20-24", "25-29", "30-34", "35-39", "40-44", "45-49", "50-54", "55-59", "60-64", "65-69", "70-74", "75-79", "80-84", "85+")</f>
        <v>25-29</v>
      </c>
      <c r="D1096" t="s">
        <v>7</v>
      </c>
    </row>
    <row r="1097" spans="1:4">
      <c r="A1097" t="s">
        <v>6</v>
      </c>
      <c r="B1097">
        <v>29</v>
      </c>
      <c r="C1097" t="str">
        <f>CHOOSE(MATCH(B1097, {20,25,30,35,40,45,50,55,60,65,70,75,80,85}, 1), "20-24", "25-29", "30-34", "35-39", "40-44", "45-49", "50-54", "55-59", "60-64", "65-69", "70-74", "75-79", "80-84", "85+")</f>
        <v>25-29</v>
      </c>
      <c r="D1097" t="s">
        <v>7</v>
      </c>
    </row>
    <row r="1098" spans="1:4">
      <c r="A1098" t="s">
        <v>6</v>
      </c>
      <c r="B1098">
        <v>26</v>
      </c>
      <c r="C1098" t="str">
        <f>CHOOSE(MATCH(B1098, {20,25,30,35,40,45,50,55,60,65,70,75,80,85}, 1), "20-24", "25-29", "30-34", "35-39", "40-44", "45-49", "50-54", "55-59", "60-64", "65-69", "70-74", "75-79", "80-84", "85+")</f>
        <v>25-29</v>
      </c>
      <c r="D1098" t="s">
        <v>7</v>
      </c>
    </row>
    <row r="1099" spans="1:4">
      <c r="A1099" t="s">
        <v>6</v>
      </c>
      <c r="B1099">
        <v>33</v>
      </c>
      <c r="C1099" t="str">
        <f>CHOOSE(MATCH(B1099, {20,25,30,35,40,45,50,55,60,65,70,75,80,85}, 1), "20-24", "25-29", "30-34", "35-39", "40-44", "45-49", "50-54", "55-59", "60-64", "65-69", "70-74", "75-79", "80-84", "85+")</f>
        <v>30-34</v>
      </c>
      <c r="D1099" t="s">
        <v>8</v>
      </c>
    </row>
    <row r="1100" spans="1:4">
      <c r="A1100" t="s">
        <v>6</v>
      </c>
      <c r="B1100">
        <v>25</v>
      </c>
      <c r="C1100" t="str">
        <f>CHOOSE(MATCH(B1100, {20,25,30,35,40,45,50,55,60,65,70,75,80,85}, 1), "20-24", "25-29", "30-34", "35-39", "40-44", "45-49", "50-54", "55-59", "60-64", "65-69", "70-74", "75-79", "80-84", "85+")</f>
        <v>25-29</v>
      </c>
      <c r="D1100" t="s">
        <v>8</v>
      </c>
    </row>
    <row r="1101" spans="1:4">
      <c r="A1101" t="s">
        <v>6</v>
      </c>
      <c r="B1101">
        <v>49</v>
      </c>
      <c r="C1101" t="str">
        <f>CHOOSE(MATCH(B1101, {20,25,30,35,40,45,50,55,60,65,70,75,80,85}, 1), "20-24", "25-29", "30-34", "35-39", "40-44", "45-49", "50-54", "55-59", "60-64", "65-69", "70-74", "75-79", "80-84", "85+")</f>
        <v>45-49</v>
      </c>
      <c r="D1101" t="s">
        <v>8</v>
      </c>
    </row>
    <row r="1102" spans="1:4">
      <c r="A1102" t="s">
        <v>6</v>
      </c>
      <c r="B1102">
        <v>39</v>
      </c>
      <c r="C1102" t="str">
        <f>CHOOSE(MATCH(B1102, {20,25,30,35,40,45,50,55,60,65,70,75,80,85}, 1), "20-24", "25-29", "30-34", "35-39", "40-44", "45-49", "50-54", "55-59", "60-64", "65-69", "70-74", "75-79", "80-84", "85+")</f>
        <v>35-39</v>
      </c>
      <c r="D1102" t="s">
        <v>8</v>
      </c>
    </row>
    <row r="1103" spans="1:4">
      <c r="A1103" t="s">
        <v>6</v>
      </c>
      <c r="B1103">
        <v>29</v>
      </c>
      <c r="C1103" t="str">
        <f>CHOOSE(MATCH(B1103, {20,25,30,35,40,45,50,55,60,65,70,75,80,85}, 1), "20-24", "25-29", "30-34", "35-39", "40-44", "45-49", "50-54", "55-59", "60-64", "65-69", "70-74", "75-79", "80-84", "85+")</f>
        <v>25-29</v>
      </c>
      <c r="D1103" t="s">
        <v>8</v>
      </c>
    </row>
    <row r="1104" spans="1:4">
      <c r="A1104" t="s">
        <v>6</v>
      </c>
      <c r="B1104">
        <v>55</v>
      </c>
      <c r="C1104" t="str">
        <f>CHOOSE(MATCH(B1104, {20,25,30,35,40,45,50,55,60,65,70,75,80,85}, 1), "20-24", "25-29", "30-34", "35-39", "40-44", "45-49", "50-54", "55-59", "60-64", "65-69", "70-74", "75-79", "80-84", "85+")</f>
        <v>55-59</v>
      </c>
      <c r="D1104" t="s">
        <v>8</v>
      </c>
    </row>
    <row r="1105" spans="1:4">
      <c r="A1105" t="s">
        <v>6</v>
      </c>
      <c r="B1105">
        <v>36</v>
      </c>
      <c r="C1105" t="str">
        <f>CHOOSE(MATCH(B1105, {20,25,30,35,40,45,50,55,60,65,70,75,80,85}, 1), "20-24", "25-29", "30-34", "35-39", "40-44", "45-49", "50-54", "55-59", "60-64", "65-69", "70-74", "75-79", "80-84", "85+")</f>
        <v>35-39</v>
      </c>
      <c r="D1105" t="s">
        <v>7</v>
      </c>
    </row>
    <row r="1106" spans="1:4">
      <c r="A1106" t="s">
        <v>6</v>
      </c>
      <c r="B1106">
        <v>65</v>
      </c>
      <c r="C1106" t="str">
        <f>CHOOSE(MATCH(B1106, {20,25,30,35,40,45,50,55,60,65,70,75,80,85}, 1), "20-24", "25-29", "30-34", "35-39", "40-44", "45-49", "50-54", "55-59", "60-64", "65-69", "70-74", "75-79", "80-84", "85+")</f>
        <v>65-69</v>
      </c>
      <c r="D1106" t="s">
        <v>7</v>
      </c>
    </row>
    <row r="1107" spans="1:4">
      <c r="A1107" t="s">
        <v>6</v>
      </c>
      <c r="B1107">
        <v>67</v>
      </c>
      <c r="C1107" t="str">
        <f>CHOOSE(MATCH(B1107, {20,25,30,35,40,45,50,55,60,65,70,75,80,85}, 1), "20-24", "25-29", "30-34", "35-39", "40-44", "45-49", "50-54", "55-59", "60-64", "65-69", "70-74", "75-79", "80-84", "85+")</f>
        <v>65-69</v>
      </c>
      <c r="D1107" t="s">
        <v>7</v>
      </c>
    </row>
    <row r="1108" spans="1:4">
      <c r="A1108" t="s">
        <v>6</v>
      </c>
      <c r="B1108">
        <v>27</v>
      </c>
      <c r="C1108" t="str">
        <f>CHOOSE(MATCH(B1108, {20,25,30,35,40,45,50,55,60,65,70,75,80,85}, 1), "20-24", "25-29", "30-34", "35-39", "40-44", "45-49", "50-54", "55-59", "60-64", "65-69", "70-74", "75-79", "80-84", "85+")</f>
        <v>25-29</v>
      </c>
      <c r="D1108" t="s">
        <v>7</v>
      </c>
    </row>
    <row r="1109" spans="1:4">
      <c r="A1109" t="s">
        <v>6</v>
      </c>
      <c r="B1109">
        <v>39</v>
      </c>
      <c r="C1109" t="str">
        <f>CHOOSE(MATCH(B1109, {20,25,30,35,40,45,50,55,60,65,70,75,80,85}, 1), "20-24", "25-29", "30-34", "35-39", "40-44", "45-49", "50-54", "55-59", "60-64", "65-69", "70-74", "75-79", "80-84", "85+")</f>
        <v>35-39</v>
      </c>
      <c r="D1109" t="s">
        <v>8</v>
      </c>
    </row>
    <row r="1110" spans="1:4">
      <c r="A1110" t="s">
        <v>6</v>
      </c>
      <c r="B1110">
        <v>52</v>
      </c>
      <c r="C1110" t="str">
        <f>CHOOSE(MATCH(B1110, {20,25,30,35,40,45,50,55,60,65,70,75,80,85}, 1), "20-24", "25-29", "30-34", "35-39", "40-44", "45-49", "50-54", "55-59", "60-64", "65-69", "70-74", "75-79", "80-84", "85+")</f>
        <v>50-54</v>
      </c>
      <c r="D1110" t="s">
        <v>7</v>
      </c>
    </row>
    <row r="1111" spans="1:4">
      <c r="A1111" t="s">
        <v>6</v>
      </c>
      <c r="B1111">
        <v>34</v>
      </c>
      <c r="C1111" t="str">
        <f>CHOOSE(MATCH(B1111, {20,25,30,35,40,45,50,55,60,65,70,75,80,85}, 1), "20-24", "25-29", "30-34", "35-39", "40-44", "45-49", "50-54", "55-59", "60-64", "65-69", "70-74", "75-79", "80-84", "85+")</f>
        <v>30-34</v>
      </c>
      <c r="D1111" t="s">
        <v>7</v>
      </c>
    </row>
    <row r="1112" spans="1:4">
      <c r="A1112" t="s">
        <v>6</v>
      </c>
      <c r="B1112">
        <v>24</v>
      </c>
      <c r="C1112" t="str">
        <f>CHOOSE(MATCH(B1112, {20,25,30,35,40,45,50,55,60,65,70,75,80,85}, 1), "20-24", "25-29", "30-34", "35-39", "40-44", "45-49", "50-54", "55-59", "60-64", "65-69", "70-74", "75-79", "80-84", "85+")</f>
        <v>20-24</v>
      </c>
      <c r="D1112" t="s">
        <v>8</v>
      </c>
    </row>
    <row r="1113" spans="1:4">
      <c r="A1113" t="s">
        <v>6</v>
      </c>
      <c r="B1113">
        <v>46</v>
      </c>
      <c r="C1113" t="str">
        <f>CHOOSE(MATCH(B1113, {20,25,30,35,40,45,50,55,60,65,70,75,80,85}, 1), "20-24", "25-29", "30-34", "35-39", "40-44", "45-49", "50-54", "55-59", "60-64", "65-69", "70-74", "75-79", "80-84", "85+")</f>
        <v>45-49</v>
      </c>
      <c r="D1113" t="s">
        <v>7</v>
      </c>
    </row>
    <row r="1114" spans="1:4">
      <c r="A1114" t="s">
        <v>6</v>
      </c>
      <c r="B1114">
        <v>36</v>
      </c>
      <c r="C1114" t="str">
        <f>CHOOSE(MATCH(B1114, {20,25,30,35,40,45,50,55,60,65,70,75,80,85}, 1), "20-24", "25-29", "30-34", "35-39", "40-44", "45-49", "50-54", "55-59", "60-64", "65-69", "70-74", "75-79", "80-84", "85+")</f>
        <v>35-39</v>
      </c>
      <c r="D1114" t="s">
        <v>7</v>
      </c>
    </row>
    <row r="1115" spans="1:4">
      <c r="A1115" t="s">
        <v>6</v>
      </c>
      <c r="B1115">
        <v>26</v>
      </c>
      <c r="C1115" t="str">
        <f>CHOOSE(MATCH(B1115, {20,25,30,35,40,45,50,55,60,65,70,75,80,85}, 1), "20-24", "25-29", "30-34", "35-39", "40-44", "45-49", "50-54", "55-59", "60-64", "65-69", "70-74", "75-79", "80-84", "85+")</f>
        <v>25-29</v>
      </c>
      <c r="D1115" t="s">
        <v>7</v>
      </c>
    </row>
    <row r="1116" spans="1:4">
      <c r="A1116" t="s">
        <v>6</v>
      </c>
      <c r="B1116">
        <v>31</v>
      </c>
      <c r="C1116" t="str">
        <f>CHOOSE(MATCH(B1116, {20,25,30,35,40,45,50,55,60,65,70,75,80,85}, 1), "20-24", "25-29", "30-34", "35-39", "40-44", "45-49", "50-54", "55-59", "60-64", "65-69", "70-74", "75-79", "80-84", "85+")</f>
        <v>30-34</v>
      </c>
      <c r="D1116" t="s">
        <v>7</v>
      </c>
    </row>
    <row r="1117" spans="1:4">
      <c r="A1117" t="s">
        <v>6</v>
      </c>
      <c r="B1117">
        <v>39</v>
      </c>
      <c r="C1117" t="str">
        <f>CHOOSE(MATCH(B1117, {20,25,30,35,40,45,50,55,60,65,70,75,80,85}, 1), "20-24", "25-29", "30-34", "35-39", "40-44", "45-49", "50-54", "55-59", "60-64", "65-69", "70-74", "75-79", "80-84", "85+")</f>
        <v>35-39</v>
      </c>
      <c r="D1117" t="s">
        <v>8</v>
      </c>
    </row>
    <row r="1118" spans="1:4">
      <c r="A1118" t="s">
        <v>6</v>
      </c>
      <c r="B1118">
        <v>66</v>
      </c>
      <c r="C1118" t="str">
        <f>CHOOSE(MATCH(B1118, {20,25,30,35,40,45,50,55,60,65,70,75,80,85}, 1), "20-24", "25-29", "30-34", "35-39", "40-44", "45-49", "50-54", "55-59", "60-64", "65-69", "70-74", "75-79", "80-84", "85+")</f>
        <v>65-69</v>
      </c>
      <c r="D1118" t="s">
        <v>7</v>
      </c>
    </row>
    <row r="1119" spans="1:4">
      <c r="A1119" t="s">
        <v>6</v>
      </c>
      <c r="B1119">
        <v>68</v>
      </c>
      <c r="C1119" t="str">
        <f>CHOOSE(MATCH(B1119, {20,25,30,35,40,45,50,55,60,65,70,75,80,85}, 1), "20-24", "25-29", "30-34", "35-39", "40-44", "45-49", "50-54", "55-59", "60-64", "65-69", "70-74", "75-79", "80-84", "85+")</f>
        <v>65-69</v>
      </c>
      <c r="D1119" t="s">
        <v>7</v>
      </c>
    </row>
    <row r="1120" spans="1:4">
      <c r="A1120" t="s">
        <v>6</v>
      </c>
      <c r="B1120">
        <v>75</v>
      </c>
      <c r="C1120" t="str">
        <f>CHOOSE(MATCH(B1120, {20,25,30,35,40,45,50,55,60,65,70,75,80,85}, 1), "20-24", "25-29", "30-34", "35-39", "40-44", "45-49", "50-54", "55-59", "60-64", "65-69", "70-74", "75-79", "80-84", "85+")</f>
        <v>75-79</v>
      </c>
      <c r="D1120" t="s">
        <v>7</v>
      </c>
    </row>
    <row r="1121" spans="1:4">
      <c r="A1121" t="s">
        <v>6</v>
      </c>
      <c r="B1121">
        <v>36</v>
      </c>
      <c r="C1121" t="str">
        <f>CHOOSE(MATCH(B1121, {20,25,30,35,40,45,50,55,60,65,70,75,80,85}, 1), "20-24", "25-29", "30-34", "35-39", "40-44", "45-49", "50-54", "55-59", "60-64", "65-69", "70-74", "75-79", "80-84", "85+")</f>
        <v>35-39</v>
      </c>
      <c r="D1121" t="s">
        <v>8</v>
      </c>
    </row>
    <row r="1122" spans="1:4">
      <c r="A1122" t="s">
        <v>6</v>
      </c>
      <c r="B1122">
        <v>63</v>
      </c>
      <c r="C1122" t="str">
        <f>CHOOSE(MATCH(B1122, {20,25,30,35,40,45,50,55,60,65,70,75,80,85}, 1), "20-24", "25-29", "30-34", "35-39", "40-44", "45-49", "50-54", "55-59", "60-64", "65-69", "70-74", "75-79", "80-84", "85+")</f>
        <v>60-64</v>
      </c>
      <c r="D1122" t="s">
        <v>8</v>
      </c>
    </row>
    <row r="1123" spans="1:4">
      <c r="A1123" t="s">
        <v>6</v>
      </c>
      <c r="B1123">
        <v>48</v>
      </c>
      <c r="C1123" t="str">
        <f>CHOOSE(MATCH(B1123, {20,25,30,35,40,45,50,55,60,65,70,75,80,85}, 1), "20-24", "25-29", "30-34", "35-39", "40-44", "45-49", "50-54", "55-59", "60-64", "65-69", "70-74", "75-79", "80-84", "85+")</f>
        <v>45-49</v>
      </c>
      <c r="D1123" t="s">
        <v>7</v>
      </c>
    </row>
    <row r="1124" spans="1:4">
      <c r="A1124" t="s">
        <v>6</v>
      </c>
      <c r="B1124">
        <v>40</v>
      </c>
      <c r="C1124" t="str">
        <f>CHOOSE(MATCH(B1124, {20,25,30,35,40,45,50,55,60,65,70,75,80,85}, 1), "20-24", "25-29", "30-34", "35-39", "40-44", "45-49", "50-54", "55-59", "60-64", "65-69", "70-74", "75-79", "80-84", "85+")</f>
        <v>40-44</v>
      </c>
      <c r="D1124" t="s">
        <v>8</v>
      </c>
    </row>
    <row r="1125" spans="1:4">
      <c r="A1125" t="s">
        <v>6</v>
      </c>
      <c r="B1125">
        <v>29</v>
      </c>
      <c r="C1125" t="str">
        <f>CHOOSE(MATCH(B1125, {20,25,30,35,40,45,50,55,60,65,70,75,80,85}, 1), "20-24", "25-29", "30-34", "35-39", "40-44", "45-49", "50-54", "55-59", "60-64", "65-69", "70-74", "75-79", "80-84", "85+")</f>
        <v>25-29</v>
      </c>
      <c r="D1125" t="s">
        <v>7</v>
      </c>
    </row>
    <row r="1126" spans="1:4">
      <c r="A1126" t="s">
        <v>6</v>
      </c>
      <c r="B1126">
        <v>53</v>
      </c>
      <c r="C1126" t="str">
        <f>CHOOSE(MATCH(B1126, {20,25,30,35,40,45,50,55,60,65,70,75,80,85}, 1), "20-24", "25-29", "30-34", "35-39", "40-44", "45-49", "50-54", "55-59", "60-64", "65-69", "70-74", "75-79", "80-84", "85+")</f>
        <v>50-54</v>
      </c>
      <c r="D1126" t="s">
        <v>7</v>
      </c>
    </row>
    <row r="1127" spans="1:4">
      <c r="A1127" t="s">
        <v>6</v>
      </c>
      <c r="B1127">
        <v>52</v>
      </c>
      <c r="C1127" t="str">
        <f>CHOOSE(MATCH(B1127, {20,25,30,35,40,45,50,55,60,65,70,75,80,85}, 1), "20-24", "25-29", "30-34", "35-39", "40-44", "45-49", "50-54", "55-59", "60-64", "65-69", "70-74", "75-79", "80-84", "85+")</f>
        <v>50-54</v>
      </c>
      <c r="D1127" t="s">
        <v>7</v>
      </c>
    </row>
    <row r="1128" spans="1:4">
      <c r="A1128" t="s">
        <v>6</v>
      </c>
      <c r="B1128">
        <v>33</v>
      </c>
      <c r="C1128" t="str">
        <f>CHOOSE(MATCH(B1128, {20,25,30,35,40,45,50,55,60,65,70,75,80,85}, 1), "20-24", "25-29", "30-34", "35-39", "40-44", "45-49", "50-54", "55-59", "60-64", "65-69", "70-74", "75-79", "80-84", "85+")</f>
        <v>30-34</v>
      </c>
      <c r="D1128" t="s">
        <v>8</v>
      </c>
    </row>
    <row r="1129" spans="1:4">
      <c r="A1129" t="s">
        <v>6</v>
      </c>
      <c r="B1129">
        <v>25</v>
      </c>
      <c r="C1129" t="str">
        <f>CHOOSE(MATCH(B1129, {20,25,30,35,40,45,50,55,60,65,70,75,80,85}, 1), "20-24", "25-29", "30-34", "35-39", "40-44", "45-49", "50-54", "55-59", "60-64", "65-69", "70-74", "75-79", "80-84", "85+")</f>
        <v>25-29</v>
      </c>
      <c r="D1129" t="s">
        <v>8</v>
      </c>
    </row>
    <row r="1130" spans="1:4">
      <c r="A1130" t="s">
        <v>6</v>
      </c>
      <c r="B1130">
        <v>32</v>
      </c>
      <c r="C1130" t="str">
        <f>CHOOSE(MATCH(B1130, {20,25,30,35,40,45,50,55,60,65,70,75,80,85}, 1), "20-24", "25-29", "30-34", "35-39", "40-44", "45-49", "50-54", "55-59", "60-64", "65-69", "70-74", "75-79", "80-84", "85+")</f>
        <v>30-34</v>
      </c>
      <c r="D1130" t="s">
        <v>8</v>
      </c>
    </row>
    <row r="1131" spans="1:4">
      <c r="A1131" t="s">
        <v>6</v>
      </c>
      <c r="B1131">
        <v>33</v>
      </c>
      <c r="C1131" t="str">
        <f>CHOOSE(MATCH(B1131, {20,25,30,35,40,45,50,55,60,65,70,75,80,85}, 1), "20-24", "25-29", "30-34", "35-39", "40-44", "45-49", "50-54", "55-59", "60-64", "65-69", "70-74", "75-79", "80-84", "85+")</f>
        <v>30-34</v>
      </c>
      <c r="D1131" t="s">
        <v>7</v>
      </c>
    </row>
    <row r="1132" spans="1:4">
      <c r="A1132" t="s">
        <v>6</v>
      </c>
      <c r="B1132">
        <v>53</v>
      </c>
      <c r="C1132" t="str">
        <f>CHOOSE(MATCH(B1132, {20,25,30,35,40,45,50,55,60,65,70,75,80,85}, 1), "20-24", "25-29", "30-34", "35-39", "40-44", "45-49", "50-54", "55-59", "60-64", "65-69", "70-74", "75-79", "80-84", "85+")</f>
        <v>50-54</v>
      </c>
      <c r="D1132" t="s">
        <v>8</v>
      </c>
    </row>
    <row r="1133" spans="1:4">
      <c r="A1133" t="s">
        <v>6</v>
      </c>
      <c r="B1133">
        <v>63</v>
      </c>
      <c r="C1133" t="str">
        <f>CHOOSE(MATCH(B1133, {20,25,30,35,40,45,50,55,60,65,70,75,80,85}, 1), "20-24", "25-29", "30-34", "35-39", "40-44", "45-49", "50-54", "55-59", "60-64", "65-69", "70-74", "75-79", "80-84", "85+")</f>
        <v>60-64</v>
      </c>
      <c r="D1133" t="s">
        <v>8</v>
      </c>
    </row>
    <row r="1134" spans="1:4">
      <c r="A1134" t="s">
        <v>6</v>
      </c>
      <c r="B1134">
        <v>68</v>
      </c>
      <c r="C1134" t="str">
        <f>CHOOSE(MATCH(B1134, {20,25,30,35,40,45,50,55,60,65,70,75,80,85}, 1), "20-24", "25-29", "30-34", "35-39", "40-44", "45-49", "50-54", "55-59", "60-64", "65-69", "70-74", "75-79", "80-84", "85+")</f>
        <v>65-69</v>
      </c>
      <c r="D1134" t="s">
        <v>7</v>
      </c>
    </row>
    <row r="1135" spans="1:4">
      <c r="A1135" t="s">
        <v>6</v>
      </c>
      <c r="B1135">
        <v>25</v>
      </c>
      <c r="C1135" t="str">
        <f>CHOOSE(MATCH(B1135, {20,25,30,35,40,45,50,55,60,65,70,75,80,85}, 1), "20-24", "25-29", "30-34", "35-39", "40-44", "45-49", "50-54", "55-59", "60-64", "65-69", "70-74", "75-79", "80-84", "85+")</f>
        <v>25-29</v>
      </c>
      <c r="D1135" t="s">
        <v>7</v>
      </c>
    </row>
    <row r="1136" spans="1:4">
      <c r="A1136" t="s">
        <v>6</v>
      </c>
      <c r="B1136">
        <v>21</v>
      </c>
      <c r="C1136" t="str">
        <f>CHOOSE(MATCH(B1136, {20,25,30,35,40,45,50,55,60,65,70,75,80,85}, 1), "20-24", "25-29", "30-34", "35-39", "40-44", "45-49", "50-54", "55-59", "60-64", "65-69", "70-74", "75-79", "80-84", "85+")</f>
        <v>20-24</v>
      </c>
      <c r="D1136" t="s">
        <v>7</v>
      </c>
    </row>
    <row r="1137" spans="1:4">
      <c r="A1137" t="s">
        <v>6</v>
      </c>
      <c r="B1137">
        <v>74</v>
      </c>
      <c r="C1137" t="str">
        <f>CHOOSE(MATCH(B1137, {20,25,30,35,40,45,50,55,60,65,70,75,80,85}, 1), "20-24", "25-29", "30-34", "35-39", "40-44", "45-49", "50-54", "55-59", "60-64", "65-69", "70-74", "75-79", "80-84", "85+")</f>
        <v>70-74</v>
      </c>
      <c r="D1137" t="s">
        <v>8</v>
      </c>
    </row>
    <row r="1138" spans="1:4">
      <c r="A1138" t="s">
        <v>6</v>
      </c>
      <c r="B1138">
        <v>37</v>
      </c>
      <c r="C1138" t="str">
        <f>CHOOSE(MATCH(B1138, {20,25,30,35,40,45,50,55,60,65,70,75,80,85}, 1), "20-24", "25-29", "30-34", "35-39", "40-44", "45-49", "50-54", "55-59", "60-64", "65-69", "70-74", "75-79", "80-84", "85+")</f>
        <v>35-39</v>
      </c>
      <c r="D1138" t="s">
        <v>8</v>
      </c>
    </row>
    <row r="1139" spans="1:4">
      <c r="A1139" t="s">
        <v>6</v>
      </c>
      <c r="B1139">
        <v>31</v>
      </c>
      <c r="C1139" t="str">
        <f>CHOOSE(MATCH(B1139, {20,25,30,35,40,45,50,55,60,65,70,75,80,85}, 1), "20-24", "25-29", "30-34", "35-39", "40-44", "45-49", "50-54", "55-59", "60-64", "65-69", "70-74", "75-79", "80-84", "85+")</f>
        <v>30-34</v>
      </c>
      <c r="D1139" t="s">
        <v>7</v>
      </c>
    </row>
    <row r="1140" spans="1:4">
      <c r="A1140" t="s">
        <v>6</v>
      </c>
      <c r="B1140">
        <v>38</v>
      </c>
      <c r="C1140" t="str">
        <f>CHOOSE(MATCH(B1140, {20,25,30,35,40,45,50,55,60,65,70,75,80,85}, 1), "20-24", "25-29", "30-34", "35-39", "40-44", "45-49", "50-54", "55-59", "60-64", "65-69", "70-74", "75-79", "80-84", "85+")</f>
        <v>35-39</v>
      </c>
      <c r="D1140" t="s">
        <v>7</v>
      </c>
    </row>
    <row r="1141" spans="1:4">
      <c r="A1141" t="s">
        <v>6</v>
      </c>
      <c r="B1141">
        <v>38</v>
      </c>
      <c r="C1141" t="str">
        <f>CHOOSE(MATCH(B1141, {20,25,30,35,40,45,50,55,60,65,70,75,80,85}, 1), "20-24", "25-29", "30-34", "35-39", "40-44", "45-49", "50-54", "55-59", "60-64", "65-69", "70-74", "75-79", "80-84", "85+")</f>
        <v>35-39</v>
      </c>
      <c r="D1141" t="s">
        <v>8</v>
      </c>
    </row>
    <row r="1142" spans="1:4">
      <c r="A1142" t="s">
        <v>6</v>
      </c>
      <c r="B1142">
        <v>23</v>
      </c>
      <c r="C1142" t="str">
        <f>CHOOSE(MATCH(B1142, {20,25,30,35,40,45,50,55,60,65,70,75,80,85}, 1), "20-24", "25-29", "30-34", "35-39", "40-44", "45-49", "50-54", "55-59", "60-64", "65-69", "70-74", "75-79", "80-84", "85+")</f>
        <v>20-24</v>
      </c>
      <c r="D1142" t="s">
        <v>8</v>
      </c>
    </row>
    <row r="1143" spans="1:4">
      <c r="A1143" t="s">
        <v>6</v>
      </c>
      <c r="B1143">
        <v>23</v>
      </c>
      <c r="C1143" t="str">
        <f>CHOOSE(MATCH(B1143, {20,25,30,35,40,45,50,55,60,65,70,75,80,85}, 1), "20-24", "25-29", "30-34", "35-39", "40-44", "45-49", "50-54", "55-59", "60-64", "65-69", "70-74", "75-79", "80-84", "85+")</f>
        <v>20-24</v>
      </c>
      <c r="D1143" t="s">
        <v>8</v>
      </c>
    </row>
    <row r="1144" spans="1:4">
      <c r="A1144" t="s">
        <v>6</v>
      </c>
      <c r="B1144">
        <v>41</v>
      </c>
      <c r="C1144" t="str">
        <f>CHOOSE(MATCH(B1144, {20,25,30,35,40,45,50,55,60,65,70,75,80,85}, 1), "20-24", "25-29", "30-34", "35-39", "40-44", "45-49", "50-54", "55-59", "60-64", "65-69", "70-74", "75-79", "80-84", "85+")</f>
        <v>40-44</v>
      </c>
      <c r="D1144" t="s">
        <v>7</v>
      </c>
    </row>
    <row r="1145" spans="1:4">
      <c r="A1145" t="s">
        <v>6</v>
      </c>
      <c r="B1145">
        <v>35</v>
      </c>
      <c r="C1145" t="str">
        <f>CHOOSE(MATCH(B1145, {20,25,30,35,40,45,50,55,60,65,70,75,80,85}, 1), "20-24", "25-29", "30-34", "35-39", "40-44", "45-49", "50-54", "55-59", "60-64", "65-69", "70-74", "75-79", "80-84", "85+")</f>
        <v>35-39</v>
      </c>
      <c r="D1145" t="s">
        <v>8</v>
      </c>
    </row>
    <row r="1146" spans="1:4">
      <c r="A1146" t="s">
        <v>6</v>
      </c>
      <c r="B1146">
        <v>41</v>
      </c>
      <c r="C1146" t="str">
        <f>CHOOSE(MATCH(B1146, {20,25,30,35,40,45,50,55,60,65,70,75,80,85}, 1), "20-24", "25-29", "30-34", "35-39", "40-44", "45-49", "50-54", "55-59", "60-64", "65-69", "70-74", "75-79", "80-84", "85+")</f>
        <v>40-44</v>
      </c>
      <c r="D1146" t="s">
        <v>7</v>
      </c>
    </row>
    <row r="1147" spans="1:4">
      <c r="A1147" t="s">
        <v>6</v>
      </c>
      <c r="B1147">
        <v>67</v>
      </c>
      <c r="C1147" t="str">
        <f>CHOOSE(MATCH(B1147, {20,25,30,35,40,45,50,55,60,65,70,75,80,85}, 1), "20-24", "25-29", "30-34", "35-39", "40-44", "45-49", "50-54", "55-59", "60-64", "65-69", "70-74", "75-79", "80-84", "85+")</f>
        <v>65-69</v>
      </c>
      <c r="D1147" t="s">
        <v>7</v>
      </c>
    </row>
    <row r="1148" spans="1:4">
      <c r="A1148" t="s">
        <v>6</v>
      </c>
      <c r="B1148">
        <v>51</v>
      </c>
      <c r="C1148" t="str">
        <f>CHOOSE(MATCH(B1148, {20,25,30,35,40,45,50,55,60,65,70,75,80,85}, 1), "20-24", "25-29", "30-34", "35-39", "40-44", "45-49", "50-54", "55-59", "60-64", "65-69", "70-74", "75-79", "80-84", "85+")</f>
        <v>50-54</v>
      </c>
      <c r="D1148" t="s">
        <v>8</v>
      </c>
    </row>
    <row r="1149" spans="1:4">
      <c r="A1149" t="s">
        <v>6</v>
      </c>
      <c r="B1149">
        <v>49</v>
      </c>
      <c r="C1149" t="str">
        <f>CHOOSE(MATCH(B1149, {20,25,30,35,40,45,50,55,60,65,70,75,80,85}, 1), "20-24", "25-29", "30-34", "35-39", "40-44", "45-49", "50-54", "55-59", "60-64", "65-69", "70-74", "75-79", "80-84", "85+")</f>
        <v>45-49</v>
      </c>
      <c r="D1149" t="s">
        <v>7</v>
      </c>
    </row>
    <row r="1150" spans="1:4">
      <c r="A1150" t="s">
        <v>6</v>
      </c>
      <c r="B1150">
        <v>74</v>
      </c>
      <c r="C1150" t="str">
        <f>CHOOSE(MATCH(B1150, {20,25,30,35,40,45,50,55,60,65,70,75,80,85}, 1), "20-24", "25-29", "30-34", "35-39", "40-44", "45-49", "50-54", "55-59", "60-64", "65-69", "70-74", "75-79", "80-84", "85+")</f>
        <v>70-74</v>
      </c>
      <c r="D1150" t="s">
        <v>7</v>
      </c>
    </row>
    <row r="1151" spans="1:4">
      <c r="A1151" t="s">
        <v>6</v>
      </c>
      <c r="B1151">
        <v>52</v>
      </c>
      <c r="C1151" t="str">
        <f>CHOOSE(MATCH(B1151, {20,25,30,35,40,45,50,55,60,65,70,75,80,85}, 1), "20-24", "25-29", "30-34", "35-39", "40-44", "45-49", "50-54", "55-59", "60-64", "65-69", "70-74", "75-79", "80-84", "85+")</f>
        <v>50-54</v>
      </c>
      <c r="D1151" t="s">
        <v>7</v>
      </c>
    </row>
    <row r="1152" spans="1:4">
      <c r="A1152" t="s">
        <v>6</v>
      </c>
      <c r="B1152">
        <v>40</v>
      </c>
      <c r="C1152" t="str">
        <f>CHOOSE(MATCH(B1152, {20,25,30,35,40,45,50,55,60,65,70,75,80,85}, 1), "20-24", "25-29", "30-34", "35-39", "40-44", "45-49", "50-54", "55-59", "60-64", "65-69", "70-74", "75-79", "80-84", "85+")</f>
        <v>40-44</v>
      </c>
      <c r="D1152" t="s">
        <v>7</v>
      </c>
    </row>
    <row r="1153" spans="1:4">
      <c r="A1153" t="s">
        <v>6</v>
      </c>
      <c r="B1153">
        <v>59</v>
      </c>
      <c r="C1153" t="str">
        <f>CHOOSE(MATCH(B1153, {20,25,30,35,40,45,50,55,60,65,70,75,80,85}, 1), "20-24", "25-29", "30-34", "35-39", "40-44", "45-49", "50-54", "55-59", "60-64", "65-69", "70-74", "75-79", "80-84", "85+")</f>
        <v>55-59</v>
      </c>
      <c r="D1153" t="s">
        <v>7</v>
      </c>
    </row>
    <row r="1154" spans="1:4">
      <c r="A1154" t="s">
        <v>6</v>
      </c>
      <c r="B1154">
        <v>40</v>
      </c>
      <c r="C1154" t="str">
        <f>CHOOSE(MATCH(B1154, {20,25,30,35,40,45,50,55,60,65,70,75,80,85}, 1), "20-24", "25-29", "30-34", "35-39", "40-44", "45-49", "50-54", "55-59", "60-64", "65-69", "70-74", "75-79", "80-84", "85+")</f>
        <v>40-44</v>
      </c>
      <c r="D1154" t="s">
        <v>7</v>
      </c>
    </row>
    <row r="1155" spans="1:4">
      <c r="A1155" t="s">
        <v>6</v>
      </c>
      <c r="B1155">
        <v>37</v>
      </c>
      <c r="C1155" t="str">
        <f>CHOOSE(MATCH(B1155, {20,25,30,35,40,45,50,55,60,65,70,75,80,85}, 1), "20-24", "25-29", "30-34", "35-39", "40-44", "45-49", "50-54", "55-59", "60-64", "65-69", "70-74", "75-79", "80-84", "85+")</f>
        <v>35-39</v>
      </c>
      <c r="D1155" t="s">
        <v>8</v>
      </c>
    </row>
    <row r="1156" spans="1:4">
      <c r="A1156" t="s">
        <v>6</v>
      </c>
      <c r="B1156">
        <v>36</v>
      </c>
      <c r="C1156" t="str">
        <f>CHOOSE(MATCH(B1156, {20,25,30,35,40,45,50,55,60,65,70,75,80,85}, 1), "20-24", "25-29", "30-34", "35-39", "40-44", "45-49", "50-54", "55-59", "60-64", "65-69", "70-74", "75-79", "80-84", "85+")</f>
        <v>35-39</v>
      </c>
      <c r="D1156" t="s">
        <v>7</v>
      </c>
    </row>
    <row r="1157" spans="1:4">
      <c r="A1157" t="s">
        <v>6</v>
      </c>
      <c r="B1157">
        <v>54</v>
      </c>
      <c r="C1157" t="str">
        <f>CHOOSE(MATCH(B1157, {20,25,30,35,40,45,50,55,60,65,70,75,80,85}, 1), "20-24", "25-29", "30-34", "35-39", "40-44", "45-49", "50-54", "55-59", "60-64", "65-69", "70-74", "75-79", "80-84", "85+")</f>
        <v>50-54</v>
      </c>
      <c r="D1157" t="s">
        <v>7</v>
      </c>
    </row>
    <row r="1158" spans="1:4">
      <c r="A1158" t="s">
        <v>6</v>
      </c>
      <c r="B1158">
        <v>64</v>
      </c>
      <c r="C1158" t="str">
        <f>CHOOSE(MATCH(B1158, {20,25,30,35,40,45,50,55,60,65,70,75,80,85}, 1), "20-24", "25-29", "30-34", "35-39", "40-44", "45-49", "50-54", "55-59", "60-64", "65-69", "70-74", "75-79", "80-84", "85+")</f>
        <v>60-64</v>
      </c>
      <c r="D1158" t="s">
        <v>8</v>
      </c>
    </row>
    <row r="1159" spans="1:4">
      <c r="A1159" t="s">
        <v>6</v>
      </c>
      <c r="B1159">
        <v>33</v>
      </c>
      <c r="C1159" t="str">
        <f>CHOOSE(MATCH(B1159, {20,25,30,35,40,45,50,55,60,65,70,75,80,85}, 1), "20-24", "25-29", "30-34", "35-39", "40-44", "45-49", "50-54", "55-59", "60-64", "65-69", "70-74", "75-79", "80-84", "85+")</f>
        <v>30-34</v>
      </c>
      <c r="D1159" t="s">
        <v>7</v>
      </c>
    </row>
    <row r="1160" spans="1:4">
      <c r="A1160" t="s">
        <v>6</v>
      </c>
      <c r="B1160">
        <v>44</v>
      </c>
      <c r="C1160" t="str">
        <f>CHOOSE(MATCH(B1160, {20,25,30,35,40,45,50,55,60,65,70,75,80,85}, 1), "20-24", "25-29", "30-34", "35-39", "40-44", "45-49", "50-54", "55-59", "60-64", "65-69", "70-74", "75-79", "80-84", "85+")</f>
        <v>40-44</v>
      </c>
      <c r="D1160" t="s">
        <v>7</v>
      </c>
    </row>
    <row r="1161" spans="1:4">
      <c r="A1161" t="s">
        <v>6</v>
      </c>
      <c r="B1161">
        <v>32</v>
      </c>
      <c r="C1161" t="str">
        <f>CHOOSE(MATCH(B1161, {20,25,30,35,40,45,50,55,60,65,70,75,80,85}, 1), "20-24", "25-29", "30-34", "35-39", "40-44", "45-49", "50-54", "55-59", "60-64", "65-69", "70-74", "75-79", "80-84", "85+")</f>
        <v>30-34</v>
      </c>
      <c r="D1161" t="s">
        <v>7</v>
      </c>
    </row>
    <row r="1162" spans="1:4">
      <c r="A1162" t="s">
        <v>6</v>
      </c>
      <c r="B1162">
        <v>36</v>
      </c>
      <c r="C1162" t="str">
        <f>CHOOSE(MATCH(B1162, {20,25,30,35,40,45,50,55,60,65,70,75,80,85}, 1), "20-24", "25-29", "30-34", "35-39", "40-44", "45-49", "50-54", "55-59", "60-64", "65-69", "70-74", "75-79", "80-84", "85+")</f>
        <v>35-39</v>
      </c>
      <c r="D1162" t="s">
        <v>7</v>
      </c>
    </row>
    <row r="1163" spans="1:4">
      <c r="A1163" t="s">
        <v>6</v>
      </c>
      <c r="B1163">
        <v>32</v>
      </c>
      <c r="C1163" t="str">
        <f>CHOOSE(MATCH(B1163, {20,25,30,35,40,45,50,55,60,65,70,75,80,85}, 1), "20-24", "25-29", "30-34", "35-39", "40-44", "45-49", "50-54", "55-59", "60-64", "65-69", "70-74", "75-79", "80-84", "85+")</f>
        <v>30-34</v>
      </c>
      <c r="D1163" t="s">
        <v>7</v>
      </c>
    </row>
    <row r="1164" spans="1:4">
      <c r="A1164" t="s">
        <v>6</v>
      </c>
      <c r="B1164">
        <v>69</v>
      </c>
      <c r="C1164" t="str">
        <f>CHOOSE(MATCH(B1164, {20,25,30,35,40,45,50,55,60,65,70,75,80,85}, 1), "20-24", "25-29", "30-34", "35-39", "40-44", "45-49", "50-54", "55-59", "60-64", "65-69", "70-74", "75-79", "80-84", "85+")</f>
        <v>65-69</v>
      </c>
      <c r="D1164" t="s">
        <v>8</v>
      </c>
    </row>
    <row r="1165" spans="1:4">
      <c r="A1165" t="s">
        <v>6</v>
      </c>
      <c r="B1165">
        <v>57</v>
      </c>
      <c r="C1165" t="str">
        <f>CHOOSE(MATCH(B1165, {20,25,30,35,40,45,50,55,60,65,70,75,80,85}, 1), "20-24", "25-29", "30-34", "35-39", "40-44", "45-49", "50-54", "55-59", "60-64", "65-69", "70-74", "75-79", "80-84", "85+")</f>
        <v>55-59</v>
      </c>
      <c r="D1165" t="s">
        <v>8</v>
      </c>
    </row>
    <row r="1166" spans="1:4">
      <c r="A1166" t="s">
        <v>6</v>
      </c>
      <c r="B1166">
        <v>61</v>
      </c>
      <c r="C1166" t="str">
        <f>CHOOSE(MATCH(B1166, {20,25,30,35,40,45,50,55,60,65,70,75,80,85}, 1), "20-24", "25-29", "30-34", "35-39", "40-44", "45-49", "50-54", "55-59", "60-64", "65-69", "70-74", "75-79", "80-84", "85+")</f>
        <v>60-64</v>
      </c>
      <c r="D1166" t="s">
        <v>7</v>
      </c>
    </row>
    <row r="1167" spans="1:4">
      <c r="A1167" t="s">
        <v>6</v>
      </c>
      <c r="B1167">
        <v>57</v>
      </c>
      <c r="C1167" t="str">
        <f>CHOOSE(MATCH(B1167, {20,25,30,35,40,45,50,55,60,65,70,75,80,85}, 1), "20-24", "25-29", "30-34", "35-39", "40-44", "45-49", "50-54", "55-59", "60-64", "65-69", "70-74", "75-79", "80-84", "85+")</f>
        <v>55-59</v>
      </c>
      <c r="D1167" t="s">
        <v>8</v>
      </c>
    </row>
    <row r="1168" spans="1:4">
      <c r="A1168" t="s">
        <v>6</v>
      </c>
      <c r="B1168">
        <v>23</v>
      </c>
      <c r="C1168" t="str">
        <f>CHOOSE(MATCH(B1168, {20,25,30,35,40,45,50,55,60,65,70,75,80,85}, 1), "20-24", "25-29", "30-34", "35-39", "40-44", "45-49", "50-54", "55-59", "60-64", "65-69", "70-74", "75-79", "80-84", "85+")</f>
        <v>20-24</v>
      </c>
      <c r="D1168" t="s">
        <v>8</v>
      </c>
    </row>
    <row r="1169" spans="1:4">
      <c r="A1169" t="s">
        <v>6</v>
      </c>
      <c r="B1169">
        <v>60</v>
      </c>
      <c r="C1169" t="str">
        <f>CHOOSE(MATCH(B1169, {20,25,30,35,40,45,50,55,60,65,70,75,80,85}, 1), "20-24", "25-29", "30-34", "35-39", "40-44", "45-49", "50-54", "55-59", "60-64", "65-69", "70-74", "75-79", "80-84", "85+")</f>
        <v>60-64</v>
      </c>
      <c r="D1169" t="s">
        <v>7</v>
      </c>
    </row>
    <row r="1170" spans="1:4">
      <c r="A1170" t="s">
        <v>6</v>
      </c>
      <c r="B1170">
        <v>57</v>
      </c>
      <c r="C1170" t="str">
        <f>CHOOSE(MATCH(B1170, {20,25,30,35,40,45,50,55,60,65,70,75,80,85}, 1), "20-24", "25-29", "30-34", "35-39", "40-44", "45-49", "50-54", "55-59", "60-64", "65-69", "70-74", "75-79", "80-84", "85+")</f>
        <v>55-59</v>
      </c>
      <c r="D1170" t="s">
        <v>8</v>
      </c>
    </row>
    <row r="1171" spans="1:4">
      <c r="A1171" t="s">
        <v>6</v>
      </c>
      <c r="B1171">
        <v>54</v>
      </c>
      <c r="C1171" t="str">
        <f>CHOOSE(MATCH(B1171, {20,25,30,35,40,45,50,55,60,65,70,75,80,85}, 1), "20-24", "25-29", "30-34", "35-39", "40-44", "45-49", "50-54", "55-59", "60-64", "65-69", "70-74", "75-79", "80-84", "85+")</f>
        <v>50-54</v>
      </c>
      <c r="D1171" t="s">
        <v>7</v>
      </c>
    </row>
    <row r="1172" spans="1:4">
      <c r="A1172" t="s">
        <v>6</v>
      </c>
      <c r="B1172">
        <v>38</v>
      </c>
      <c r="C1172" t="str">
        <f>CHOOSE(MATCH(B1172, {20,25,30,35,40,45,50,55,60,65,70,75,80,85}, 1), "20-24", "25-29", "30-34", "35-39", "40-44", "45-49", "50-54", "55-59", "60-64", "65-69", "70-74", "75-79", "80-84", "85+")</f>
        <v>35-39</v>
      </c>
      <c r="D1172" t="s">
        <v>7</v>
      </c>
    </row>
    <row r="1173" spans="1:4">
      <c r="A1173" t="s">
        <v>6</v>
      </c>
      <c r="B1173">
        <v>33</v>
      </c>
      <c r="C1173" t="str">
        <f>CHOOSE(MATCH(B1173, {20,25,30,35,40,45,50,55,60,65,70,75,80,85}, 1), "20-24", "25-29", "30-34", "35-39", "40-44", "45-49", "50-54", "55-59", "60-64", "65-69", "70-74", "75-79", "80-84", "85+")</f>
        <v>30-34</v>
      </c>
      <c r="D1173" t="s">
        <v>7</v>
      </c>
    </row>
    <row r="1174" spans="1:4">
      <c r="A1174" t="s">
        <v>6</v>
      </c>
      <c r="B1174">
        <v>24</v>
      </c>
      <c r="C1174" t="str">
        <f>CHOOSE(MATCH(B1174, {20,25,30,35,40,45,50,55,60,65,70,75,80,85}, 1), "20-24", "25-29", "30-34", "35-39", "40-44", "45-49", "50-54", "55-59", "60-64", "65-69", "70-74", "75-79", "80-84", "85+")</f>
        <v>20-24</v>
      </c>
      <c r="D1174" t="s">
        <v>8</v>
      </c>
    </row>
    <row r="1175" spans="1:4">
      <c r="A1175" t="s">
        <v>6</v>
      </c>
      <c r="B1175">
        <v>38</v>
      </c>
      <c r="C1175" t="str">
        <f>CHOOSE(MATCH(B1175, {20,25,30,35,40,45,50,55,60,65,70,75,80,85}, 1), "20-24", "25-29", "30-34", "35-39", "40-44", "45-49", "50-54", "55-59", "60-64", "65-69", "70-74", "75-79", "80-84", "85+")</f>
        <v>35-39</v>
      </c>
      <c r="D1175" t="s">
        <v>8</v>
      </c>
    </row>
    <row r="1176" spans="1:4">
      <c r="A1176" t="s">
        <v>6</v>
      </c>
      <c r="B1176">
        <v>32</v>
      </c>
      <c r="C1176" t="str">
        <f>CHOOSE(MATCH(B1176, {20,25,30,35,40,45,50,55,60,65,70,75,80,85}, 1), "20-24", "25-29", "30-34", "35-39", "40-44", "45-49", "50-54", "55-59", "60-64", "65-69", "70-74", "75-79", "80-84", "85+")</f>
        <v>30-34</v>
      </c>
      <c r="D1176" t="s">
        <v>7</v>
      </c>
    </row>
    <row r="1177" spans="1:4">
      <c r="A1177" t="s">
        <v>6</v>
      </c>
      <c r="B1177">
        <v>52</v>
      </c>
      <c r="C1177" t="str">
        <f>CHOOSE(MATCH(B1177, {20,25,30,35,40,45,50,55,60,65,70,75,80,85}, 1), "20-24", "25-29", "30-34", "35-39", "40-44", "45-49", "50-54", "55-59", "60-64", "65-69", "70-74", "75-79", "80-84", "85+")</f>
        <v>50-54</v>
      </c>
      <c r="D1177" t="s">
        <v>8</v>
      </c>
    </row>
    <row r="1178" spans="1:4">
      <c r="A1178" t="s">
        <v>6</v>
      </c>
      <c r="B1178">
        <v>59</v>
      </c>
      <c r="C1178" t="str">
        <f>CHOOSE(MATCH(B1178, {20,25,30,35,40,45,50,55,60,65,70,75,80,85}, 1), "20-24", "25-29", "30-34", "35-39", "40-44", "45-49", "50-54", "55-59", "60-64", "65-69", "70-74", "75-79", "80-84", "85+")</f>
        <v>55-59</v>
      </c>
      <c r="D1178" t="s">
        <v>8</v>
      </c>
    </row>
    <row r="1179" spans="1:4">
      <c r="A1179" t="s">
        <v>6</v>
      </c>
      <c r="B1179">
        <v>32</v>
      </c>
      <c r="C1179" t="str">
        <f>CHOOSE(MATCH(B1179, {20,25,30,35,40,45,50,55,60,65,70,75,80,85}, 1), "20-24", "25-29", "30-34", "35-39", "40-44", "45-49", "50-54", "55-59", "60-64", "65-69", "70-74", "75-79", "80-84", "85+")</f>
        <v>30-34</v>
      </c>
      <c r="D1179" t="s">
        <v>8</v>
      </c>
    </row>
    <row r="1180" spans="1:4">
      <c r="A1180" t="s">
        <v>6</v>
      </c>
      <c r="B1180">
        <v>53</v>
      </c>
      <c r="C1180" t="str">
        <f>CHOOSE(MATCH(B1180, {20,25,30,35,40,45,50,55,60,65,70,75,80,85}, 1), "20-24", "25-29", "30-34", "35-39", "40-44", "45-49", "50-54", "55-59", "60-64", "65-69", "70-74", "75-79", "80-84", "85+")</f>
        <v>50-54</v>
      </c>
      <c r="D1180" t="s">
        <v>7</v>
      </c>
    </row>
    <row r="1181" spans="1:4">
      <c r="A1181" t="s">
        <v>6</v>
      </c>
      <c r="B1181">
        <v>32</v>
      </c>
      <c r="C1181" t="str">
        <f>CHOOSE(MATCH(B1181, {20,25,30,35,40,45,50,55,60,65,70,75,80,85}, 1), "20-24", "25-29", "30-34", "35-39", "40-44", "45-49", "50-54", "55-59", "60-64", "65-69", "70-74", "75-79", "80-84", "85+")</f>
        <v>30-34</v>
      </c>
      <c r="D1181" t="s">
        <v>8</v>
      </c>
    </row>
    <row r="1182" spans="1:4">
      <c r="A1182" t="s">
        <v>6</v>
      </c>
      <c r="B1182">
        <v>25</v>
      </c>
      <c r="C1182" t="str">
        <f>CHOOSE(MATCH(B1182, {20,25,30,35,40,45,50,55,60,65,70,75,80,85}, 1), "20-24", "25-29", "30-34", "35-39", "40-44", "45-49", "50-54", "55-59", "60-64", "65-69", "70-74", "75-79", "80-84", "85+")</f>
        <v>25-29</v>
      </c>
      <c r="D1182" t="s">
        <v>7</v>
      </c>
    </row>
    <row r="1183" spans="1:4">
      <c r="A1183" t="s">
        <v>6</v>
      </c>
      <c r="B1183">
        <v>21</v>
      </c>
      <c r="C1183" t="str">
        <f>CHOOSE(MATCH(B1183, {20,25,30,35,40,45,50,55,60,65,70,75,80,85}, 1), "20-24", "25-29", "30-34", "35-39", "40-44", "45-49", "50-54", "55-59", "60-64", "65-69", "70-74", "75-79", "80-84", "85+")</f>
        <v>20-24</v>
      </c>
      <c r="D1183" t="s">
        <v>7</v>
      </c>
    </row>
    <row r="1184" spans="1:4">
      <c r="A1184" t="s">
        <v>6</v>
      </c>
      <c r="B1184">
        <v>87</v>
      </c>
      <c r="C1184" t="str">
        <f>CHOOSE(MATCH(B1184, {20,25,30,35,40,45,50,55,60,65,70,75,80,85}, 1), "20-24", "25-29", "30-34", "35-39", "40-44", "45-49", "50-54", "55-59", "60-64", "65-69", "70-74", "75-79", "80-84", "85+")</f>
        <v>85+</v>
      </c>
      <c r="D1184" t="s">
        <v>7</v>
      </c>
    </row>
    <row r="1185" spans="1:4">
      <c r="A1185" t="s">
        <v>6</v>
      </c>
      <c r="B1185">
        <v>23</v>
      </c>
      <c r="C1185" t="str">
        <f>CHOOSE(MATCH(B1185, {20,25,30,35,40,45,50,55,60,65,70,75,80,85}, 1), "20-24", "25-29", "30-34", "35-39", "40-44", "45-49", "50-54", "55-59", "60-64", "65-69", "70-74", "75-79", "80-84", "85+")</f>
        <v>20-24</v>
      </c>
      <c r="D1185" t="s">
        <v>8</v>
      </c>
    </row>
    <row r="1186" spans="1:4">
      <c r="A1186" t="s">
        <v>6</v>
      </c>
      <c r="B1186">
        <v>42</v>
      </c>
      <c r="C1186" t="str">
        <f>CHOOSE(MATCH(B1186, {20,25,30,35,40,45,50,55,60,65,70,75,80,85}, 1), "20-24", "25-29", "30-34", "35-39", "40-44", "45-49", "50-54", "55-59", "60-64", "65-69", "70-74", "75-79", "80-84", "85+")</f>
        <v>40-44</v>
      </c>
      <c r="D1186" t="s">
        <v>8</v>
      </c>
    </row>
    <row r="1187" spans="1:4">
      <c r="A1187" t="s">
        <v>6</v>
      </c>
      <c r="B1187">
        <v>43</v>
      </c>
      <c r="C1187" t="str">
        <f>CHOOSE(MATCH(B1187, {20,25,30,35,40,45,50,55,60,65,70,75,80,85}, 1), "20-24", "25-29", "30-34", "35-39", "40-44", "45-49", "50-54", "55-59", "60-64", "65-69", "70-74", "75-79", "80-84", "85+")</f>
        <v>40-44</v>
      </c>
      <c r="D1187" t="s">
        <v>8</v>
      </c>
    </row>
    <row r="1188" spans="1:4">
      <c r="A1188" t="s">
        <v>6</v>
      </c>
      <c r="B1188">
        <v>34</v>
      </c>
      <c r="C1188" t="str">
        <f>CHOOSE(MATCH(B1188, {20,25,30,35,40,45,50,55,60,65,70,75,80,85}, 1), "20-24", "25-29", "30-34", "35-39", "40-44", "45-49", "50-54", "55-59", "60-64", "65-69", "70-74", "75-79", "80-84", "85+")</f>
        <v>30-34</v>
      </c>
      <c r="D1188" t="s">
        <v>8</v>
      </c>
    </row>
    <row r="1189" spans="1:4">
      <c r="A1189" t="s">
        <v>6</v>
      </c>
      <c r="B1189">
        <v>32</v>
      </c>
      <c r="C1189" t="str">
        <f>CHOOSE(MATCH(B1189, {20,25,30,35,40,45,50,55,60,65,70,75,80,85}, 1), "20-24", "25-29", "30-34", "35-39", "40-44", "45-49", "50-54", "55-59", "60-64", "65-69", "70-74", "75-79", "80-84", "85+")</f>
        <v>30-34</v>
      </c>
      <c r="D1189" t="s">
        <v>8</v>
      </c>
    </row>
    <row r="1190" spans="1:4">
      <c r="A1190" t="s">
        <v>6</v>
      </c>
      <c r="B1190">
        <v>35</v>
      </c>
      <c r="C1190" t="str">
        <f>CHOOSE(MATCH(B1190, {20,25,30,35,40,45,50,55,60,65,70,75,80,85}, 1), "20-24", "25-29", "30-34", "35-39", "40-44", "45-49", "50-54", "55-59", "60-64", "65-69", "70-74", "75-79", "80-84", "85+")</f>
        <v>35-39</v>
      </c>
      <c r="D1190" t="s">
        <v>7</v>
      </c>
    </row>
    <row r="1191" spans="1:4">
      <c r="A1191" t="s">
        <v>6</v>
      </c>
      <c r="B1191">
        <v>36</v>
      </c>
      <c r="C1191" t="str">
        <f>CHOOSE(MATCH(B1191, {20,25,30,35,40,45,50,55,60,65,70,75,80,85}, 1), "20-24", "25-29", "30-34", "35-39", "40-44", "45-49", "50-54", "55-59", "60-64", "65-69", "70-74", "75-79", "80-84", "85+")</f>
        <v>35-39</v>
      </c>
      <c r="D1191" t="s">
        <v>8</v>
      </c>
    </row>
    <row r="1192" spans="1:4">
      <c r="A1192" t="s">
        <v>6</v>
      </c>
      <c r="B1192">
        <v>24</v>
      </c>
      <c r="C1192" t="str">
        <f>CHOOSE(MATCH(B1192, {20,25,30,35,40,45,50,55,60,65,70,75,80,85}, 1), "20-24", "25-29", "30-34", "35-39", "40-44", "45-49", "50-54", "55-59", "60-64", "65-69", "70-74", "75-79", "80-84", "85+")</f>
        <v>20-24</v>
      </c>
      <c r="D1192" t="s">
        <v>8</v>
      </c>
    </row>
    <row r="1193" spans="1:4">
      <c r="A1193" t="s">
        <v>6</v>
      </c>
      <c r="B1193">
        <v>23</v>
      </c>
      <c r="C1193" t="str">
        <f>CHOOSE(MATCH(B1193, {20,25,30,35,40,45,50,55,60,65,70,75,80,85}, 1), "20-24", "25-29", "30-34", "35-39", "40-44", "45-49", "50-54", "55-59", "60-64", "65-69", "70-74", "75-79", "80-84", "85+")</f>
        <v>20-24</v>
      </c>
      <c r="D1193" t="s">
        <v>7</v>
      </c>
    </row>
    <row r="1194" spans="1:4">
      <c r="A1194" t="s">
        <v>6</v>
      </c>
      <c r="B1194">
        <v>36</v>
      </c>
      <c r="C1194" t="str">
        <f>CHOOSE(MATCH(B1194, {20,25,30,35,40,45,50,55,60,65,70,75,80,85}, 1), "20-24", "25-29", "30-34", "35-39", "40-44", "45-49", "50-54", "55-59", "60-64", "65-69", "70-74", "75-79", "80-84", "85+")</f>
        <v>35-39</v>
      </c>
      <c r="D1194" t="s">
        <v>7</v>
      </c>
    </row>
    <row r="1195" spans="1:4">
      <c r="A1195" t="s">
        <v>6</v>
      </c>
      <c r="B1195">
        <v>26</v>
      </c>
      <c r="C1195" t="str">
        <f>CHOOSE(MATCH(B1195, {20,25,30,35,40,45,50,55,60,65,70,75,80,85}, 1), "20-24", "25-29", "30-34", "35-39", "40-44", "45-49", "50-54", "55-59", "60-64", "65-69", "70-74", "75-79", "80-84", "85+")</f>
        <v>25-29</v>
      </c>
      <c r="D1195" t="s">
        <v>7</v>
      </c>
    </row>
    <row r="1196" spans="1:4">
      <c r="A1196" t="s">
        <v>6</v>
      </c>
      <c r="B1196">
        <v>36</v>
      </c>
      <c r="C1196" t="str">
        <f>CHOOSE(MATCH(B1196, {20,25,30,35,40,45,50,55,60,65,70,75,80,85}, 1), "20-24", "25-29", "30-34", "35-39", "40-44", "45-49", "50-54", "55-59", "60-64", "65-69", "70-74", "75-79", "80-84", "85+")</f>
        <v>35-39</v>
      </c>
      <c r="D1196" t="s">
        <v>7</v>
      </c>
    </row>
    <row r="1197" spans="1:4">
      <c r="A1197" t="s">
        <v>6</v>
      </c>
      <c r="B1197">
        <v>62</v>
      </c>
      <c r="C1197" t="str">
        <f>CHOOSE(MATCH(B1197, {20,25,30,35,40,45,50,55,60,65,70,75,80,85}, 1), "20-24", "25-29", "30-34", "35-39", "40-44", "45-49", "50-54", "55-59", "60-64", "65-69", "70-74", "75-79", "80-84", "85+")</f>
        <v>60-64</v>
      </c>
      <c r="D1197" t="s">
        <v>8</v>
      </c>
    </row>
    <row r="1198" spans="1:4">
      <c r="A1198" t="s">
        <v>6</v>
      </c>
      <c r="B1198">
        <v>28</v>
      </c>
      <c r="C1198" t="str">
        <f>CHOOSE(MATCH(B1198, {20,25,30,35,40,45,50,55,60,65,70,75,80,85}, 1), "20-24", "25-29", "30-34", "35-39", "40-44", "45-49", "50-54", "55-59", "60-64", "65-69", "70-74", "75-79", "80-84", "85+")</f>
        <v>25-29</v>
      </c>
      <c r="D1198" t="s">
        <v>8</v>
      </c>
    </row>
    <row r="1199" spans="1:4">
      <c r="A1199" t="s">
        <v>6</v>
      </c>
      <c r="B1199">
        <v>28</v>
      </c>
      <c r="C1199" t="str">
        <f>CHOOSE(MATCH(B1199, {20,25,30,35,40,45,50,55,60,65,70,75,80,85}, 1), "20-24", "25-29", "30-34", "35-39", "40-44", "45-49", "50-54", "55-59", "60-64", "65-69", "70-74", "75-79", "80-84", "85+")</f>
        <v>25-29</v>
      </c>
      <c r="D1199" t="s">
        <v>7</v>
      </c>
    </row>
    <row r="1200" spans="1:4">
      <c r="A1200" t="s">
        <v>6</v>
      </c>
      <c r="B1200">
        <v>26</v>
      </c>
      <c r="C1200" t="str">
        <f>CHOOSE(MATCH(B1200, {20,25,30,35,40,45,50,55,60,65,70,75,80,85}, 1), "20-24", "25-29", "30-34", "35-39", "40-44", "45-49", "50-54", "55-59", "60-64", "65-69", "70-74", "75-79", "80-84", "85+")</f>
        <v>25-29</v>
      </c>
      <c r="D1200" t="s">
        <v>8</v>
      </c>
    </row>
    <row r="1201" spans="1:4">
      <c r="A1201" t="s">
        <v>6</v>
      </c>
      <c r="B1201">
        <v>29</v>
      </c>
      <c r="C1201" t="str">
        <f>CHOOSE(MATCH(B1201, {20,25,30,35,40,45,50,55,60,65,70,75,80,85}, 1), "20-24", "25-29", "30-34", "35-39", "40-44", "45-49", "50-54", "55-59", "60-64", "65-69", "70-74", "75-79", "80-84", "85+")</f>
        <v>25-29</v>
      </c>
      <c r="D1201" t="s">
        <v>7</v>
      </c>
    </row>
    <row r="1202" spans="1:4">
      <c r="A1202" t="s">
        <v>6</v>
      </c>
      <c r="B1202">
        <v>22</v>
      </c>
      <c r="C1202" t="str">
        <f>CHOOSE(MATCH(B1202, {20,25,30,35,40,45,50,55,60,65,70,75,80,85}, 1), "20-24", "25-29", "30-34", "35-39", "40-44", "45-49", "50-54", "55-59", "60-64", "65-69", "70-74", "75-79", "80-84", "85+")</f>
        <v>20-24</v>
      </c>
      <c r="D1202" t="s">
        <v>7</v>
      </c>
    </row>
    <row r="1203" spans="1:4">
      <c r="A1203" t="s">
        <v>6</v>
      </c>
      <c r="B1203">
        <v>39</v>
      </c>
      <c r="C1203" t="str">
        <f>CHOOSE(MATCH(B1203, {20,25,30,35,40,45,50,55,60,65,70,75,80,85}, 1), "20-24", "25-29", "30-34", "35-39", "40-44", "45-49", "50-54", "55-59", "60-64", "65-69", "70-74", "75-79", "80-84", "85+")</f>
        <v>35-39</v>
      </c>
      <c r="D1203" t="s">
        <v>7</v>
      </c>
    </row>
    <row r="1204" spans="1:4">
      <c r="A1204" t="s">
        <v>6</v>
      </c>
      <c r="B1204">
        <v>87</v>
      </c>
      <c r="C1204" t="str">
        <f>CHOOSE(MATCH(B1204, {20,25,30,35,40,45,50,55,60,65,70,75,80,85}, 1), "20-24", "25-29", "30-34", "35-39", "40-44", "45-49", "50-54", "55-59", "60-64", "65-69", "70-74", "75-79", "80-84", "85+")</f>
        <v>85+</v>
      </c>
      <c r="D1204" t="s">
        <v>7</v>
      </c>
    </row>
    <row r="1205" spans="1:4">
      <c r="A1205" t="s">
        <v>6</v>
      </c>
      <c r="B1205">
        <v>64</v>
      </c>
      <c r="C1205" t="str">
        <f>CHOOSE(MATCH(B1205, {20,25,30,35,40,45,50,55,60,65,70,75,80,85}, 1), "20-24", "25-29", "30-34", "35-39", "40-44", "45-49", "50-54", "55-59", "60-64", "65-69", "70-74", "75-79", "80-84", "85+")</f>
        <v>60-64</v>
      </c>
      <c r="D1205" t="s">
        <v>8</v>
      </c>
    </row>
    <row r="1206" spans="1:4">
      <c r="A1206" t="s">
        <v>6</v>
      </c>
      <c r="B1206">
        <v>42</v>
      </c>
      <c r="C1206" t="str">
        <f>CHOOSE(MATCH(B1206, {20,25,30,35,40,45,50,55,60,65,70,75,80,85}, 1), "20-24", "25-29", "30-34", "35-39", "40-44", "45-49", "50-54", "55-59", "60-64", "65-69", "70-74", "75-79", "80-84", "85+")</f>
        <v>40-44</v>
      </c>
      <c r="D1206" t="s">
        <v>8</v>
      </c>
    </row>
    <row r="1207" spans="1:4">
      <c r="A1207" t="s">
        <v>6</v>
      </c>
      <c r="B1207">
        <v>28</v>
      </c>
      <c r="C1207" t="str">
        <f>CHOOSE(MATCH(B1207, {20,25,30,35,40,45,50,55,60,65,70,75,80,85}, 1), "20-24", "25-29", "30-34", "35-39", "40-44", "45-49", "50-54", "55-59", "60-64", "65-69", "70-74", "75-79", "80-84", "85+")</f>
        <v>25-29</v>
      </c>
      <c r="D1207" t="s">
        <v>8</v>
      </c>
    </row>
    <row r="1208" spans="1:4">
      <c r="A1208" t="s">
        <v>6</v>
      </c>
      <c r="B1208">
        <v>40</v>
      </c>
      <c r="C1208" t="str">
        <f>CHOOSE(MATCH(B1208, {20,25,30,35,40,45,50,55,60,65,70,75,80,85}, 1), "20-24", "25-29", "30-34", "35-39", "40-44", "45-49", "50-54", "55-59", "60-64", "65-69", "70-74", "75-79", "80-84", "85+")</f>
        <v>40-44</v>
      </c>
      <c r="D1208" t="s">
        <v>7</v>
      </c>
    </row>
    <row r="1209" spans="1:4">
      <c r="A1209" t="s">
        <v>6</v>
      </c>
      <c r="B1209">
        <v>46</v>
      </c>
      <c r="C1209" t="str">
        <f>CHOOSE(MATCH(B1209, {20,25,30,35,40,45,50,55,60,65,70,75,80,85}, 1), "20-24", "25-29", "30-34", "35-39", "40-44", "45-49", "50-54", "55-59", "60-64", "65-69", "70-74", "75-79", "80-84", "85+")</f>
        <v>45-49</v>
      </c>
      <c r="D1209" t="s">
        <v>8</v>
      </c>
    </row>
    <row r="1210" spans="1:4">
      <c r="A1210" t="s">
        <v>6</v>
      </c>
      <c r="B1210">
        <v>52</v>
      </c>
      <c r="C1210" t="str">
        <f>CHOOSE(MATCH(B1210, {20,25,30,35,40,45,50,55,60,65,70,75,80,85}, 1), "20-24", "25-29", "30-34", "35-39", "40-44", "45-49", "50-54", "55-59", "60-64", "65-69", "70-74", "75-79", "80-84", "85+")</f>
        <v>50-54</v>
      </c>
      <c r="D1210" t="s">
        <v>7</v>
      </c>
    </row>
    <row r="1211" spans="1:4">
      <c r="A1211" t="s">
        <v>6</v>
      </c>
      <c r="B1211">
        <v>70</v>
      </c>
      <c r="C1211" t="str">
        <f>CHOOSE(MATCH(B1211, {20,25,30,35,40,45,50,55,60,65,70,75,80,85}, 1), "20-24", "25-29", "30-34", "35-39", "40-44", "45-49", "50-54", "55-59", "60-64", "65-69", "70-74", "75-79", "80-84", "85+")</f>
        <v>70-74</v>
      </c>
      <c r="D1211" t="s">
        <v>8</v>
      </c>
    </row>
    <row r="1212" spans="1:4">
      <c r="A1212" t="s">
        <v>6</v>
      </c>
      <c r="B1212">
        <v>57</v>
      </c>
      <c r="C1212" t="str">
        <f>CHOOSE(MATCH(B1212, {20,25,30,35,40,45,50,55,60,65,70,75,80,85}, 1), "20-24", "25-29", "30-34", "35-39", "40-44", "45-49", "50-54", "55-59", "60-64", "65-69", "70-74", "75-79", "80-84", "85+")</f>
        <v>55-59</v>
      </c>
      <c r="D1212" t="s">
        <v>7</v>
      </c>
    </row>
    <row r="1213" spans="1:4">
      <c r="A1213" t="s">
        <v>6</v>
      </c>
      <c r="B1213">
        <v>35</v>
      </c>
      <c r="C1213" t="str">
        <f>CHOOSE(MATCH(B1213, {20,25,30,35,40,45,50,55,60,65,70,75,80,85}, 1), "20-24", "25-29", "30-34", "35-39", "40-44", "45-49", "50-54", "55-59", "60-64", "65-69", "70-74", "75-79", "80-84", "85+")</f>
        <v>35-39</v>
      </c>
      <c r="D1213" t="s">
        <v>7</v>
      </c>
    </row>
    <row r="1214" spans="1:4">
      <c r="A1214" t="s">
        <v>6</v>
      </c>
      <c r="B1214">
        <v>43</v>
      </c>
      <c r="C1214" t="str">
        <f>CHOOSE(MATCH(B1214, {20,25,30,35,40,45,50,55,60,65,70,75,80,85}, 1), "20-24", "25-29", "30-34", "35-39", "40-44", "45-49", "50-54", "55-59", "60-64", "65-69", "70-74", "75-79", "80-84", "85+")</f>
        <v>40-44</v>
      </c>
      <c r="D1214" t="s">
        <v>7</v>
      </c>
    </row>
    <row r="1215" spans="1:4">
      <c r="A1215" t="s">
        <v>6</v>
      </c>
      <c r="B1215">
        <v>23</v>
      </c>
      <c r="C1215" t="str">
        <f>CHOOSE(MATCH(B1215, {20,25,30,35,40,45,50,55,60,65,70,75,80,85}, 1), "20-24", "25-29", "30-34", "35-39", "40-44", "45-49", "50-54", "55-59", "60-64", "65-69", "70-74", "75-79", "80-84", "85+")</f>
        <v>20-24</v>
      </c>
      <c r="D1215" t="s">
        <v>7</v>
      </c>
    </row>
    <row r="1216" spans="1:4">
      <c r="A1216" t="s">
        <v>6</v>
      </c>
      <c r="B1216">
        <v>32</v>
      </c>
      <c r="C1216" t="str">
        <f>CHOOSE(MATCH(B1216, {20,25,30,35,40,45,50,55,60,65,70,75,80,85}, 1), "20-24", "25-29", "30-34", "35-39", "40-44", "45-49", "50-54", "55-59", "60-64", "65-69", "70-74", "75-79", "80-84", "85+")</f>
        <v>30-34</v>
      </c>
      <c r="D1216" t="s">
        <v>7</v>
      </c>
    </row>
    <row r="1217" spans="1:4">
      <c r="A1217" t="s">
        <v>6</v>
      </c>
      <c r="B1217">
        <v>32</v>
      </c>
      <c r="C1217" t="str">
        <f>CHOOSE(MATCH(B1217, {20,25,30,35,40,45,50,55,60,65,70,75,80,85}, 1), "20-24", "25-29", "30-34", "35-39", "40-44", "45-49", "50-54", "55-59", "60-64", "65-69", "70-74", "75-79", "80-84", "85+")</f>
        <v>30-34</v>
      </c>
      <c r="D1217" t="s">
        <v>7</v>
      </c>
    </row>
    <row r="1218" spans="1:4">
      <c r="A1218" t="s">
        <v>6</v>
      </c>
      <c r="B1218">
        <v>49</v>
      </c>
      <c r="C1218" t="str">
        <f>CHOOSE(MATCH(B1218, {20,25,30,35,40,45,50,55,60,65,70,75,80,85}, 1), "20-24", "25-29", "30-34", "35-39", "40-44", "45-49", "50-54", "55-59", "60-64", "65-69", "70-74", "75-79", "80-84", "85+")</f>
        <v>45-49</v>
      </c>
      <c r="D1218" t="s">
        <v>8</v>
      </c>
    </row>
    <row r="1219" spans="1:4">
      <c r="A1219" t="s">
        <v>6</v>
      </c>
      <c r="B1219">
        <v>21</v>
      </c>
      <c r="C1219" t="str">
        <f>CHOOSE(MATCH(B1219, {20,25,30,35,40,45,50,55,60,65,70,75,80,85}, 1), "20-24", "25-29", "30-34", "35-39", "40-44", "45-49", "50-54", "55-59", "60-64", "65-69", "70-74", "75-79", "80-84", "85+")</f>
        <v>20-24</v>
      </c>
      <c r="D1219" t="s">
        <v>8</v>
      </c>
    </row>
    <row r="1220" spans="1:4">
      <c r="A1220" t="s">
        <v>6</v>
      </c>
      <c r="B1220">
        <v>28</v>
      </c>
      <c r="C1220" t="str">
        <f>CHOOSE(MATCH(B1220, {20,25,30,35,40,45,50,55,60,65,70,75,80,85}, 1), "20-24", "25-29", "30-34", "35-39", "40-44", "45-49", "50-54", "55-59", "60-64", "65-69", "70-74", "75-79", "80-84", "85+")</f>
        <v>25-29</v>
      </c>
      <c r="D1220" t="s">
        <v>7</v>
      </c>
    </row>
    <row r="1221" spans="1:4">
      <c r="A1221" t="s">
        <v>6</v>
      </c>
      <c r="B1221">
        <v>30</v>
      </c>
      <c r="C1221" t="str">
        <f>CHOOSE(MATCH(B1221, {20,25,30,35,40,45,50,55,60,65,70,75,80,85}, 1), "20-24", "25-29", "30-34", "35-39", "40-44", "45-49", "50-54", "55-59", "60-64", "65-69", "70-74", "75-79", "80-84", "85+")</f>
        <v>30-34</v>
      </c>
      <c r="D1221" t="s">
        <v>7</v>
      </c>
    </row>
    <row r="1222" spans="1:4">
      <c r="A1222" t="s">
        <v>6</v>
      </c>
      <c r="B1222">
        <v>64</v>
      </c>
      <c r="C1222" t="str">
        <f>CHOOSE(MATCH(B1222, {20,25,30,35,40,45,50,55,60,65,70,75,80,85}, 1), "20-24", "25-29", "30-34", "35-39", "40-44", "45-49", "50-54", "55-59", "60-64", "65-69", "70-74", "75-79", "80-84", "85+")</f>
        <v>60-64</v>
      </c>
      <c r="D1222" t="s">
        <v>7</v>
      </c>
    </row>
    <row r="1223" spans="1:4">
      <c r="A1223" t="s">
        <v>6</v>
      </c>
      <c r="B1223">
        <v>51</v>
      </c>
      <c r="C1223" t="str">
        <f>CHOOSE(MATCH(B1223, {20,25,30,35,40,45,50,55,60,65,70,75,80,85}, 1), "20-24", "25-29", "30-34", "35-39", "40-44", "45-49", "50-54", "55-59", "60-64", "65-69", "70-74", "75-79", "80-84", "85+")</f>
        <v>50-54</v>
      </c>
      <c r="D1223" t="s">
        <v>7</v>
      </c>
    </row>
    <row r="1224" spans="1:4">
      <c r="A1224" t="s">
        <v>6</v>
      </c>
      <c r="B1224">
        <v>29</v>
      </c>
      <c r="C1224" t="str">
        <f>CHOOSE(MATCH(B1224, {20,25,30,35,40,45,50,55,60,65,70,75,80,85}, 1), "20-24", "25-29", "30-34", "35-39", "40-44", "45-49", "50-54", "55-59", "60-64", "65-69", "70-74", "75-79", "80-84", "85+")</f>
        <v>25-29</v>
      </c>
      <c r="D1224" t="s">
        <v>7</v>
      </c>
    </row>
    <row r="1225" spans="1:4">
      <c r="A1225" t="s">
        <v>6</v>
      </c>
      <c r="B1225">
        <v>41</v>
      </c>
      <c r="C1225" t="str">
        <f>CHOOSE(MATCH(B1225, {20,25,30,35,40,45,50,55,60,65,70,75,80,85}, 1), "20-24", "25-29", "30-34", "35-39", "40-44", "45-49", "50-54", "55-59", "60-64", "65-69", "70-74", "75-79", "80-84", "85+")</f>
        <v>40-44</v>
      </c>
      <c r="D1225" t="s">
        <v>8</v>
      </c>
    </row>
    <row r="1226" spans="1:4">
      <c r="A1226" t="s">
        <v>6</v>
      </c>
      <c r="B1226">
        <v>57</v>
      </c>
      <c r="C1226" t="str">
        <f>CHOOSE(MATCH(B1226, {20,25,30,35,40,45,50,55,60,65,70,75,80,85}, 1), "20-24", "25-29", "30-34", "35-39", "40-44", "45-49", "50-54", "55-59", "60-64", "65-69", "70-74", "75-79", "80-84", "85+")</f>
        <v>55-59</v>
      </c>
      <c r="D1226" t="s">
        <v>7</v>
      </c>
    </row>
    <row r="1227" spans="1:4">
      <c r="A1227" t="s">
        <v>6</v>
      </c>
      <c r="B1227">
        <v>22</v>
      </c>
      <c r="C1227" t="str">
        <f>CHOOSE(MATCH(B1227, {20,25,30,35,40,45,50,55,60,65,70,75,80,85}, 1), "20-24", "25-29", "30-34", "35-39", "40-44", "45-49", "50-54", "55-59", "60-64", "65-69", "70-74", "75-79", "80-84", "85+")</f>
        <v>20-24</v>
      </c>
      <c r="D1227" t="s">
        <v>7</v>
      </c>
    </row>
    <row r="1228" spans="1:4">
      <c r="A1228" t="s">
        <v>6</v>
      </c>
      <c r="B1228">
        <v>51</v>
      </c>
      <c r="C1228" t="str">
        <f>CHOOSE(MATCH(B1228, {20,25,30,35,40,45,50,55,60,65,70,75,80,85}, 1), "20-24", "25-29", "30-34", "35-39", "40-44", "45-49", "50-54", "55-59", "60-64", "65-69", "70-74", "75-79", "80-84", "85+")</f>
        <v>50-54</v>
      </c>
      <c r="D1228" t="s">
        <v>7</v>
      </c>
    </row>
    <row r="1229" spans="1:4">
      <c r="A1229" t="s">
        <v>6</v>
      </c>
      <c r="B1229">
        <v>78</v>
      </c>
      <c r="C1229" t="str">
        <f>CHOOSE(MATCH(B1229, {20,25,30,35,40,45,50,55,60,65,70,75,80,85}, 1), "20-24", "25-29", "30-34", "35-39", "40-44", "45-49", "50-54", "55-59", "60-64", "65-69", "70-74", "75-79", "80-84", "85+")</f>
        <v>75-79</v>
      </c>
      <c r="D1229" t="s">
        <v>7</v>
      </c>
    </row>
    <row r="1230" spans="1:4">
      <c r="A1230" t="s">
        <v>6</v>
      </c>
      <c r="B1230">
        <v>43</v>
      </c>
      <c r="C1230" t="str">
        <f>CHOOSE(MATCH(B1230, {20,25,30,35,40,45,50,55,60,65,70,75,80,85}, 1), "20-24", "25-29", "30-34", "35-39", "40-44", "45-49", "50-54", "55-59", "60-64", "65-69", "70-74", "75-79", "80-84", "85+")</f>
        <v>40-44</v>
      </c>
      <c r="D1230" t="s">
        <v>7</v>
      </c>
    </row>
    <row r="1231" spans="1:4">
      <c r="A1231" t="s">
        <v>6</v>
      </c>
      <c r="B1231">
        <v>28</v>
      </c>
      <c r="C1231" t="str">
        <f>CHOOSE(MATCH(B1231, {20,25,30,35,40,45,50,55,60,65,70,75,80,85}, 1), "20-24", "25-29", "30-34", "35-39", "40-44", "45-49", "50-54", "55-59", "60-64", "65-69", "70-74", "75-79", "80-84", "85+")</f>
        <v>25-29</v>
      </c>
      <c r="D1231" t="s">
        <v>8</v>
      </c>
    </row>
    <row r="1232" spans="1:4">
      <c r="A1232" t="s">
        <v>6</v>
      </c>
      <c r="B1232">
        <v>38</v>
      </c>
      <c r="C1232" t="str">
        <f>CHOOSE(MATCH(B1232, {20,25,30,35,40,45,50,55,60,65,70,75,80,85}, 1), "20-24", "25-29", "30-34", "35-39", "40-44", "45-49", "50-54", "55-59", "60-64", "65-69", "70-74", "75-79", "80-84", "85+")</f>
        <v>35-39</v>
      </c>
      <c r="D1232" t="s">
        <v>8</v>
      </c>
    </row>
    <row r="1233" spans="1:4">
      <c r="A1233" t="s">
        <v>6</v>
      </c>
      <c r="B1233">
        <v>36</v>
      </c>
      <c r="C1233" t="str">
        <f>CHOOSE(MATCH(B1233, {20,25,30,35,40,45,50,55,60,65,70,75,80,85}, 1), "20-24", "25-29", "30-34", "35-39", "40-44", "45-49", "50-54", "55-59", "60-64", "65-69", "70-74", "75-79", "80-84", "85+")</f>
        <v>35-39</v>
      </c>
      <c r="D1233" t="s">
        <v>8</v>
      </c>
    </row>
    <row r="1234" spans="1:4">
      <c r="A1234" t="s">
        <v>6</v>
      </c>
      <c r="B1234">
        <v>42</v>
      </c>
      <c r="C1234" t="str">
        <f>CHOOSE(MATCH(B1234, {20,25,30,35,40,45,50,55,60,65,70,75,80,85}, 1), "20-24", "25-29", "30-34", "35-39", "40-44", "45-49", "50-54", "55-59", "60-64", "65-69", "70-74", "75-79", "80-84", "85+")</f>
        <v>40-44</v>
      </c>
      <c r="D1234" t="s">
        <v>7</v>
      </c>
    </row>
    <row r="1235" spans="1:4">
      <c r="A1235" t="s">
        <v>6</v>
      </c>
      <c r="B1235">
        <v>60</v>
      </c>
      <c r="C1235" t="str">
        <f>CHOOSE(MATCH(B1235, {20,25,30,35,40,45,50,55,60,65,70,75,80,85}, 1), "20-24", "25-29", "30-34", "35-39", "40-44", "45-49", "50-54", "55-59", "60-64", "65-69", "70-74", "75-79", "80-84", "85+")</f>
        <v>60-64</v>
      </c>
      <c r="D1235" t="s">
        <v>7</v>
      </c>
    </row>
    <row r="1236" spans="1:4">
      <c r="A1236" t="s">
        <v>6</v>
      </c>
      <c r="B1236">
        <v>68</v>
      </c>
      <c r="C1236" t="str">
        <f>CHOOSE(MATCH(B1236, {20,25,30,35,40,45,50,55,60,65,70,75,80,85}, 1), "20-24", "25-29", "30-34", "35-39", "40-44", "45-49", "50-54", "55-59", "60-64", "65-69", "70-74", "75-79", "80-84", "85+")</f>
        <v>65-69</v>
      </c>
      <c r="D1236" t="s">
        <v>7</v>
      </c>
    </row>
    <row r="1237" spans="1:4">
      <c r="A1237" t="s">
        <v>6</v>
      </c>
      <c r="B1237">
        <v>42</v>
      </c>
      <c r="C1237" t="str">
        <f>CHOOSE(MATCH(B1237, {20,25,30,35,40,45,50,55,60,65,70,75,80,85}, 1), "20-24", "25-29", "30-34", "35-39", "40-44", "45-49", "50-54", "55-59", "60-64", "65-69", "70-74", "75-79", "80-84", "85+")</f>
        <v>40-44</v>
      </c>
      <c r="D1237" t="s">
        <v>7</v>
      </c>
    </row>
    <row r="1238" spans="1:4">
      <c r="A1238" t="s">
        <v>6</v>
      </c>
      <c r="B1238">
        <v>29</v>
      </c>
      <c r="C1238" t="str">
        <f>CHOOSE(MATCH(B1238, {20,25,30,35,40,45,50,55,60,65,70,75,80,85}, 1), "20-24", "25-29", "30-34", "35-39", "40-44", "45-49", "50-54", "55-59", "60-64", "65-69", "70-74", "75-79", "80-84", "85+")</f>
        <v>25-29</v>
      </c>
      <c r="D1238" t="s">
        <v>7</v>
      </c>
    </row>
    <row r="1239" spans="1:4">
      <c r="A1239" t="s">
        <v>6</v>
      </c>
      <c r="B1239">
        <v>78</v>
      </c>
      <c r="C1239" t="str">
        <f>CHOOSE(MATCH(B1239, {20,25,30,35,40,45,50,55,60,65,70,75,80,85}, 1), "20-24", "25-29", "30-34", "35-39", "40-44", "45-49", "50-54", "55-59", "60-64", "65-69", "70-74", "75-79", "80-84", "85+")</f>
        <v>75-79</v>
      </c>
      <c r="D1239" t="s">
        <v>8</v>
      </c>
    </row>
    <row r="1240" spans="1:4">
      <c r="A1240" t="s">
        <v>6</v>
      </c>
      <c r="B1240">
        <v>45</v>
      </c>
      <c r="C1240" t="str">
        <f>CHOOSE(MATCH(B1240, {20,25,30,35,40,45,50,55,60,65,70,75,80,85}, 1), "20-24", "25-29", "30-34", "35-39", "40-44", "45-49", "50-54", "55-59", "60-64", "65-69", "70-74", "75-79", "80-84", "85+")</f>
        <v>45-49</v>
      </c>
      <c r="D1240" t="s">
        <v>8</v>
      </c>
    </row>
    <row r="1241" spans="1:4">
      <c r="A1241" t="s">
        <v>6</v>
      </c>
      <c r="B1241">
        <v>77</v>
      </c>
      <c r="C1241" t="str">
        <f>CHOOSE(MATCH(B1241, {20,25,30,35,40,45,50,55,60,65,70,75,80,85}, 1), "20-24", "25-29", "30-34", "35-39", "40-44", "45-49", "50-54", "55-59", "60-64", "65-69", "70-74", "75-79", "80-84", "85+")</f>
        <v>75-79</v>
      </c>
      <c r="D1241" t="s">
        <v>7</v>
      </c>
    </row>
    <row r="1242" spans="1:4">
      <c r="A1242" t="s">
        <v>6</v>
      </c>
      <c r="B1242">
        <v>32</v>
      </c>
      <c r="C1242" t="str">
        <f>CHOOSE(MATCH(B1242, {20,25,30,35,40,45,50,55,60,65,70,75,80,85}, 1), "20-24", "25-29", "30-34", "35-39", "40-44", "45-49", "50-54", "55-59", "60-64", "65-69", "70-74", "75-79", "80-84", "85+")</f>
        <v>30-34</v>
      </c>
      <c r="D1242" t="s">
        <v>7</v>
      </c>
    </row>
    <row r="1243" spans="1:4">
      <c r="A1243" t="s">
        <v>6</v>
      </c>
      <c r="B1243">
        <v>33</v>
      </c>
      <c r="C1243" t="str">
        <f>CHOOSE(MATCH(B1243, {20,25,30,35,40,45,50,55,60,65,70,75,80,85}, 1), "20-24", "25-29", "30-34", "35-39", "40-44", "45-49", "50-54", "55-59", "60-64", "65-69", "70-74", "75-79", "80-84", "85+")</f>
        <v>30-34</v>
      </c>
      <c r="D1243" t="s">
        <v>7</v>
      </c>
    </row>
    <row r="1244" spans="1:4">
      <c r="A1244" t="s">
        <v>6</v>
      </c>
      <c r="B1244">
        <v>39</v>
      </c>
      <c r="C1244" t="str">
        <f>CHOOSE(MATCH(B1244, {20,25,30,35,40,45,50,55,60,65,70,75,80,85}, 1), "20-24", "25-29", "30-34", "35-39", "40-44", "45-49", "50-54", "55-59", "60-64", "65-69", "70-74", "75-79", "80-84", "85+")</f>
        <v>35-39</v>
      </c>
      <c r="D1244" t="s">
        <v>7</v>
      </c>
    </row>
    <row r="1245" spans="1:4">
      <c r="A1245" t="s">
        <v>6</v>
      </c>
      <c r="B1245">
        <v>51</v>
      </c>
      <c r="C1245" t="str">
        <f>CHOOSE(MATCH(B1245, {20,25,30,35,40,45,50,55,60,65,70,75,80,85}, 1), "20-24", "25-29", "30-34", "35-39", "40-44", "45-49", "50-54", "55-59", "60-64", "65-69", "70-74", "75-79", "80-84", "85+")</f>
        <v>50-54</v>
      </c>
      <c r="D1245" t="s">
        <v>7</v>
      </c>
    </row>
    <row r="1246" spans="1:4">
      <c r="A1246" t="s">
        <v>6</v>
      </c>
      <c r="B1246">
        <v>30</v>
      </c>
      <c r="C1246" t="str">
        <f>CHOOSE(MATCH(B1246, {20,25,30,35,40,45,50,55,60,65,70,75,80,85}, 1), "20-24", "25-29", "30-34", "35-39", "40-44", "45-49", "50-54", "55-59", "60-64", "65-69", "70-74", "75-79", "80-84", "85+")</f>
        <v>30-34</v>
      </c>
      <c r="D1246" t="s">
        <v>7</v>
      </c>
    </row>
    <row r="1247" spans="1:4">
      <c r="A1247" t="s">
        <v>6</v>
      </c>
      <c r="B1247">
        <v>66</v>
      </c>
      <c r="C1247" t="str">
        <f>CHOOSE(MATCH(B1247, {20,25,30,35,40,45,50,55,60,65,70,75,80,85}, 1), "20-24", "25-29", "30-34", "35-39", "40-44", "45-49", "50-54", "55-59", "60-64", "65-69", "70-74", "75-79", "80-84", "85+")</f>
        <v>65-69</v>
      </c>
      <c r="D1247" t="s">
        <v>7</v>
      </c>
    </row>
    <row r="1248" spans="1:4">
      <c r="A1248" t="s">
        <v>6</v>
      </c>
      <c r="B1248">
        <v>32</v>
      </c>
      <c r="C1248" t="str">
        <f>CHOOSE(MATCH(B1248, {20,25,30,35,40,45,50,55,60,65,70,75,80,85}, 1), "20-24", "25-29", "30-34", "35-39", "40-44", "45-49", "50-54", "55-59", "60-64", "65-69", "70-74", "75-79", "80-84", "85+")</f>
        <v>30-34</v>
      </c>
      <c r="D1248" t="s">
        <v>8</v>
      </c>
    </row>
    <row r="1249" spans="1:4">
      <c r="A1249" t="s">
        <v>6</v>
      </c>
      <c r="B1249">
        <v>39</v>
      </c>
      <c r="C1249" t="str">
        <f>CHOOSE(MATCH(B1249, {20,25,30,35,40,45,50,55,60,65,70,75,80,85}, 1), "20-24", "25-29", "30-34", "35-39", "40-44", "45-49", "50-54", "55-59", "60-64", "65-69", "70-74", "75-79", "80-84", "85+")</f>
        <v>35-39</v>
      </c>
      <c r="D1249" t="s">
        <v>8</v>
      </c>
    </row>
    <row r="1250" spans="1:4">
      <c r="A1250" t="s">
        <v>6</v>
      </c>
      <c r="B1250">
        <v>36</v>
      </c>
      <c r="C1250" t="str">
        <f>CHOOSE(MATCH(B1250, {20,25,30,35,40,45,50,55,60,65,70,75,80,85}, 1), "20-24", "25-29", "30-34", "35-39", "40-44", "45-49", "50-54", "55-59", "60-64", "65-69", "70-74", "75-79", "80-84", "85+")</f>
        <v>35-39</v>
      </c>
      <c r="D1250" t="s">
        <v>8</v>
      </c>
    </row>
    <row r="1251" spans="1:4">
      <c r="A1251" t="s">
        <v>6</v>
      </c>
      <c r="B1251">
        <v>30</v>
      </c>
      <c r="C1251" t="str">
        <f>CHOOSE(MATCH(B1251, {20,25,30,35,40,45,50,55,60,65,70,75,80,85}, 1), "20-24", "25-29", "30-34", "35-39", "40-44", "45-49", "50-54", "55-59", "60-64", "65-69", "70-74", "75-79", "80-84", "85+")</f>
        <v>30-34</v>
      </c>
      <c r="D1251" t="s">
        <v>8</v>
      </c>
    </row>
    <row r="1252" spans="1:4">
      <c r="A1252" t="s">
        <v>6</v>
      </c>
      <c r="B1252">
        <v>26</v>
      </c>
      <c r="C1252" t="str">
        <f>CHOOSE(MATCH(B1252, {20,25,30,35,40,45,50,55,60,65,70,75,80,85}, 1), "20-24", "25-29", "30-34", "35-39", "40-44", "45-49", "50-54", "55-59", "60-64", "65-69", "70-74", "75-79", "80-84", "85+")</f>
        <v>25-29</v>
      </c>
      <c r="D1252" t="s">
        <v>8</v>
      </c>
    </row>
    <row r="1253" spans="1:4">
      <c r="A1253" t="s">
        <v>6</v>
      </c>
      <c r="B1253">
        <v>37</v>
      </c>
      <c r="C1253" t="str">
        <f>CHOOSE(MATCH(B1253, {20,25,30,35,40,45,50,55,60,65,70,75,80,85}, 1), "20-24", "25-29", "30-34", "35-39", "40-44", "45-49", "50-54", "55-59", "60-64", "65-69", "70-74", "75-79", "80-84", "85+")</f>
        <v>35-39</v>
      </c>
      <c r="D1253" t="s">
        <v>8</v>
      </c>
    </row>
    <row r="1254" spans="1:4">
      <c r="A1254" t="s">
        <v>6</v>
      </c>
      <c r="B1254">
        <v>42</v>
      </c>
      <c r="C1254" t="str">
        <f>CHOOSE(MATCH(B1254, {20,25,30,35,40,45,50,55,60,65,70,75,80,85}, 1), "20-24", "25-29", "30-34", "35-39", "40-44", "45-49", "50-54", "55-59", "60-64", "65-69", "70-74", "75-79", "80-84", "85+")</f>
        <v>40-44</v>
      </c>
      <c r="D1254" t="s">
        <v>7</v>
      </c>
    </row>
    <row r="1255" spans="1:4">
      <c r="A1255" t="s">
        <v>6</v>
      </c>
      <c r="B1255">
        <v>69</v>
      </c>
      <c r="C1255" t="str">
        <f>CHOOSE(MATCH(B1255, {20,25,30,35,40,45,50,55,60,65,70,75,80,85}, 1), "20-24", "25-29", "30-34", "35-39", "40-44", "45-49", "50-54", "55-59", "60-64", "65-69", "70-74", "75-79", "80-84", "85+")</f>
        <v>65-69</v>
      </c>
      <c r="D1255" t="s">
        <v>8</v>
      </c>
    </row>
    <row r="1256" spans="1:4">
      <c r="A1256" t="s">
        <v>6</v>
      </c>
      <c r="B1256">
        <v>20</v>
      </c>
      <c r="C1256" t="str">
        <f>CHOOSE(MATCH(B1256, {20,25,30,35,40,45,50,55,60,65,70,75,80,85}, 1), "20-24", "25-29", "30-34", "35-39", "40-44", "45-49", "50-54", "55-59", "60-64", "65-69", "70-74", "75-79", "80-84", "85+")</f>
        <v>20-24</v>
      </c>
      <c r="D1256" t="s">
        <v>8</v>
      </c>
    </row>
    <row r="1257" spans="1:4">
      <c r="A1257" t="s">
        <v>6</v>
      </c>
      <c r="B1257">
        <v>40</v>
      </c>
      <c r="C1257" t="str">
        <f>CHOOSE(MATCH(B1257, {20,25,30,35,40,45,50,55,60,65,70,75,80,85}, 1), "20-24", "25-29", "30-34", "35-39", "40-44", "45-49", "50-54", "55-59", "60-64", "65-69", "70-74", "75-79", "80-84", "85+")</f>
        <v>40-44</v>
      </c>
      <c r="D1257" t="s">
        <v>8</v>
      </c>
    </row>
    <row r="1258" spans="1:4">
      <c r="A1258" t="s">
        <v>6</v>
      </c>
      <c r="B1258">
        <v>37</v>
      </c>
      <c r="C1258" t="str">
        <f>CHOOSE(MATCH(B1258, {20,25,30,35,40,45,50,55,60,65,70,75,80,85}, 1), "20-24", "25-29", "30-34", "35-39", "40-44", "45-49", "50-54", "55-59", "60-64", "65-69", "70-74", "75-79", "80-84", "85+")</f>
        <v>35-39</v>
      </c>
      <c r="D1258" t="s">
        <v>8</v>
      </c>
    </row>
    <row r="1259" spans="1:4">
      <c r="A1259" t="s">
        <v>6</v>
      </c>
      <c r="B1259">
        <v>22</v>
      </c>
      <c r="C1259" t="str">
        <f>CHOOSE(MATCH(B1259, {20,25,30,35,40,45,50,55,60,65,70,75,80,85}, 1), "20-24", "25-29", "30-34", "35-39", "40-44", "45-49", "50-54", "55-59", "60-64", "65-69", "70-74", "75-79", "80-84", "85+")</f>
        <v>20-24</v>
      </c>
      <c r="D1259" t="s">
        <v>7</v>
      </c>
    </row>
    <row r="1260" spans="1:4">
      <c r="A1260" t="s">
        <v>6</v>
      </c>
      <c r="B1260">
        <v>39</v>
      </c>
      <c r="C1260" t="str">
        <f>CHOOSE(MATCH(B1260, {20,25,30,35,40,45,50,55,60,65,70,75,80,85}, 1), "20-24", "25-29", "30-34", "35-39", "40-44", "45-49", "50-54", "55-59", "60-64", "65-69", "70-74", "75-79", "80-84", "85+")</f>
        <v>35-39</v>
      </c>
      <c r="D1260" t="s">
        <v>7</v>
      </c>
    </row>
    <row r="1261" spans="1:4">
      <c r="A1261" t="s">
        <v>6</v>
      </c>
      <c r="B1261">
        <v>37</v>
      </c>
      <c r="C1261" t="str">
        <f>CHOOSE(MATCH(B1261, {20,25,30,35,40,45,50,55,60,65,70,75,80,85}, 1), "20-24", "25-29", "30-34", "35-39", "40-44", "45-49", "50-54", "55-59", "60-64", "65-69", "70-74", "75-79", "80-84", "85+")</f>
        <v>35-39</v>
      </c>
      <c r="D1261" t="s">
        <v>7</v>
      </c>
    </row>
    <row r="1262" spans="1:4">
      <c r="A1262" t="s">
        <v>6</v>
      </c>
      <c r="B1262">
        <v>21</v>
      </c>
      <c r="C1262" t="str">
        <f>CHOOSE(MATCH(B1262, {20,25,30,35,40,45,50,55,60,65,70,75,80,85}, 1), "20-24", "25-29", "30-34", "35-39", "40-44", "45-49", "50-54", "55-59", "60-64", "65-69", "70-74", "75-79", "80-84", "85+")</f>
        <v>20-24</v>
      </c>
      <c r="D1262" t="s">
        <v>8</v>
      </c>
    </row>
    <row r="1263" spans="1:4">
      <c r="A1263" t="s">
        <v>6</v>
      </c>
      <c r="B1263">
        <v>60</v>
      </c>
      <c r="C1263" t="str">
        <f>CHOOSE(MATCH(B1263, {20,25,30,35,40,45,50,55,60,65,70,75,80,85}, 1), "20-24", "25-29", "30-34", "35-39", "40-44", "45-49", "50-54", "55-59", "60-64", "65-69", "70-74", "75-79", "80-84", "85+")</f>
        <v>60-64</v>
      </c>
      <c r="D1263" t="s">
        <v>8</v>
      </c>
    </row>
    <row r="1264" spans="1:4">
      <c r="A1264" t="s">
        <v>6</v>
      </c>
      <c r="B1264">
        <v>65</v>
      </c>
      <c r="C1264" t="str">
        <f>CHOOSE(MATCH(B1264, {20,25,30,35,40,45,50,55,60,65,70,75,80,85}, 1), "20-24", "25-29", "30-34", "35-39", "40-44", "45-49", "50-54", "55-59", "60-64", "65-69", "70-74", "75-79", "80-84", "85+")</f>
        <v>65-69</v>
      </c>
      <c r="D1264" t="s">
        <v>7</v>
      </c>
    </row>
    <row r="1265" spans="1:4">
      <c r="A1265" t="s">
        <v>6</v>
      </c>
      <c r="B1265">
        <v>31</v>
      </c>
      <c r="C1265" t="str">
        <f>CHOOSE(MATCH(B1265, {20,25,30,35,40,45,50,55,60,65,70,75,80,85}, 1), "20-24", "25-29", "30-34", "35-39", "40-44", "45-49", "50-54", "55-59", "60-64", "65-69", "70-74", "75-79", "80-84", "85+")</f>
        <v>30-34</v>
      </c>
      <c r="D1265" t="s">
        <v>7</v>
      </c>
    </row>
    <row r="1266" spans="1:4">
      <c r="A1266" t="s">
        <v>6</v>
      </c>
      <c r="B1266">
        <v>43</v>
      </c>
      <c r="C1266" t="str">
        <f>CHOOSE(MATCH(B1266, {20,25,30,35,40,45,50,55,60,65,70,75,80,85}, 1), "20-24", "25-29", "30-34", "35-39", "40-44", "45-49", "50-54", "55-59", "60-64", "65-69", "70-74", "75-79", "80-84", "85+")</f>
        <v>40-44</v>
      </c>
      <c r="D1266" t="s">
        <v>8</v>
      </c>
    </row>
    <row r="1267" spans="1:4">
      <c r="A1267" t="s">
        <v>6</v>
      </c>
      <c r="B1267">
        <v>65</v>
      </c>
      <c r="C1267" t="str">
        <f>CHOOSE(MATCH(B1267, {20,25,30,35,40,45,50,55,60,65,70,75,80,85}, 1), "20-24", "25-29", "30-34", "35-39", "40-44", "45-49", "50-54", "55-59", "60-64", "65-69", "70-74", "75-79", "80-84", "85+")</f>
        <v>65-69</v>
      </c>
      <c r="D1267" t="s">
        <v>8</v>
      </c>
    </row>
    <row r="1268" spans="1:4">
      <c r="A1268" t="s">
        <v>6</v>
      </c>
      <c r="B1268">
        <v>76</v>
      </c>
      <c r="C1268" t="str">
        <f>CHOOSE(MATCH(B1268, {20,25,30,35,40,45,50,55,60,65,70,75,80,85}, 1), "20-24", "25-29", "30-34", "35-39", "40-44", "45-49", "50-54", "55-59", "60-64", "65-69", "70-74", "75-79", "80-84", "85+")</f>
        <v>75-79</v>
      </c>
      <c r="D1268" t="s">
        <v>7</v>
      </c>
    </row>
    <row r="1269" spans="1:4">
      <c r="A1269" t="s">
        <v>6</v>
      </c>
      <c r="B1269">
        <v>29</v>
      </c>
      <c r="C1269" t="str">
        <f>CHOOSE(MATCH(B1269, {20,25,30,35,40,45,50,55,60,65,70,75,80,85}, 1), "20-24", "25-29", "30-34", "35-39", "40-44", "45-49", "50-54", "55-59", "60-64", "65-69", "70-74", "75-79", "80-84", "85+")</f>
        <v>25-29</v>
      </c>
      <c r="D1269" t="s">
        <v>7</v>
      </c>
    </row>
    <row r="1270" spans="1:4">
      <c r="A1270" t="s">
        <v>6</v>
      </c>
      <c r="B1270">
        <v>33</v>
      </c>
      <c r="C1270" t="str">
        <f>CHOOSE(MATCH(B1270, {20,25,30,35,40,45,50,55,60,65,70,75,80,85}, 1), "20-24", "25-29", "30-34", "35-39", "40-44", "45-49", "50-54", "55-59", "60-64", "65-69", "70-74", "75-79", "80-84", "85+")</f>
        <v>30-34</v>
      </c>
      <c r="D1270" t="s">
        <v>8</v>
      </c>
    </row>
    <row r="1271" spans="1:4">
      <c r="A1271" t="s">
        <v>6</v>
      </c>
      <c r="B1271">
        <v>44</v>
      </c>
      <c r="C1271" t="str">
        <f>CHOOSE(MATCH(B1271, {20,25,30,35,40,45,50,55,60,65,70,75,80,85}, 1), "20-24", "25-29", "30-34", "35-39", "40-44", "45-49", "50-54", "55-59", "60-64", "65-69", "70-74", "75-79", "80-84", "85+")</f>
        <v>40-44</v>
      </c>
      <c r="D1271" t="s">
        <v>7</v>
      </c>
    </row>
    <row r="1272" spans="1:4">
      <c r="A1272" t="s">
        <v>6</v>
      </c>
      <c r="B1272">
        <v>88</v>
      </c>
      <c r="C1272" t="str">
        <f>CHOOSE(MATCH(B1272, {20,25,30,35,40,45,50,55,60,65,70,75,80,85}, 1), "20-24", "25-29", "30-34", "35-39", "40-44", "45-49", "50-54", "55-59", "60-64", "65-69", "70-74", "75-79", "80-84", "85+")</f>
        <v>85+</v>
      </c>
      <c r="D1272" t="s">
        <v>7</v>
      </c>
    </row>
    <row r="1273" spans="1:4">
      <c r="A1273" t="s">
        <v>6</v>
      </c>
      <c r="B1273">
        <v>36</v>
      </c>
      <c r="C1273" t="str">
        <f>CHOOSE(MATCH(B1273, {20,25,30,35,40,45,50,55,60,65,70,75,80,85}, 1), "20-24", "25-29", "30-34", "35-39", "40-44", "45-49", "50-54", "55-59", "60-64", "65-69", "70-74", "75-79", "80-84", "85+")</f>
        <v>35-39</v>
      </c>
      <c r="D1273" t="s">
        <v>8</v>
      </c>
    </row>
    <row r="1274" spans="1:4">
      <c r="A1274" t="s">
        <v>6</v>
      </c>
      <c r="B1274">
        <v>56</v>
      </c>
      <c r="C1274" t="str">
        <f>CHOOSE(MATCH(B1274, {20,25,30,35,40,45,50,55,60,65,70,75,80,85}, 1), "20-24", "25-29", "30-34", "35-39", "40-44", "45-49", "50-54", "55-59", "60-64", "65-69", "70-74", "75-79", "80-84", "85+")</f>
        <v>55-59</v>
      </c>
      <c r="D1274" t="s">
        <v>7</v>
      </c>
    </row>
    <row r="1275" spans="1:4">
      <c r="A1275" t="s">
        <v>6</v>
      </c>
      <c r="B1275">
        <v>43</v>
      </c>
      <c r="C1275" t="str">
        <f>CHOOSE(MATCH(B1275, {20,25,30,35,40,45,50,55,60,65,70,75,80,85}, 1), "20-24", "25-29", "30-34", "35-39", "40-44", "45-49", "50-54", "55-59", "60-64", "65-69", "70-74", "75-79", "80-84", "85+")</f>
        <v>40-44</v>
      </c>
      <c r="D1275" t="s">
        <v>8</v>
      </c>
    </row>
    <row r="1276" spans="1:4">
      <c r="A1276" t="s">
        <v>6</v>
      </c>
      <c r="B1276">
        <v>62</v>
      </c>
      <c r="C1276" t="str">
        <f>CHOOSE(MATCH(B1276, {20,25,30,35,40,45,50,55,60,65,70,75,80,85}, 1), "20-24", "25-29", "30-34", "35-39", "40-44", "45-49", "50-54", "55-59", "60-64", "65-69", "70-74", "75-79", "80-84", "85+")</f>
        <v>60-64</v>
      </c>
      <c r="D1276" t="s">
        <v>7</v>
      </c>
    </row>
    <row r="1277" spans="1:4">
      <c r="A1277" t="s">
        <v>6</v>
      </c>
      <c r="B1277">
        <v>64</v>
      </c>
      <c r="C1277" t="str">
        <f>CHOOSE(MATCH(B1277, {20,25,30,35,40,45,50,55,60,65,70,75,80,85}, 1), "20-24", "25-29", "30-34", "35-39", "40-44", "45-49", "50-54", "55-59", "60-64", "65-69", "70-74", "75-79", "80-84", "85+")</f>
        <v>60-64</v>
      </c>
      <c r="D1277" t="s">
        <v>8</v>
      </c>
    </row>
    <row r="1278" spans="1:4">
      <c r="A1278" t="s">
        <v>6</v>
      </c>
      <c r="B1278">
        <v>20</v>
      </c>
      <c r="C1278" t="str">
        <f>CHOOSE(MATCH(B1278, {20,25,30,35,40,45,50,55,60,65,70,75,80,85}, 1), "20-24", "25-29", "30-34", "35-39", "40-44", "45-49", "50-54", "55-59", "60-64", "65-69", "70-74", "75-79", "80-84", "85+")</f>
        <v>20-24</v>
      </c>
      <c r="D1278" t="s">
        <v>7</v>
      </c>
    </row>
    <row r="1279" spans="1:4">
      <c r="A1279" t="s">
        <v>6</v>
      </c>
      <c r="B1279">
        <v>32</v>
      </c>
      <c r="C1279" t="str">
        <f>CHOOSE(MATCH(B1279, {20,25,30,35,40,45,50,55,60,65,70,75,80,85}, 1), "20-24", "25-29", "30-34", "35-39", "40-44", "45-49", "50-54", "55-59", "60-64", "65-69", "70-74", "75-79", "80-84", "85+")</f>
        <v>30-34</v>
      </c>
      <c r="D1279" t="s">
        <v>8</v>
      </c>
    </row>
    <row r="1280" spans="1:4">
      <c r="A1280" t="s">
        <v>6</v>
      </c>
      <c r="B1280">
        <v>32</v>
      </c>
      <c r="C1280" t="str">
        <f>CHOOSE(MATCH(B1280, {20,25,30,35,40,45,50,55,60,65,70,75,80,85}, 1), "20-24", "25-29", "30-34", "35-39", "40-44", "45-49", "50-54", "55-59", "60-64", "65-69", "70-74", "75-79", "80-84", "85+")</f>
        <v>30-34</v>
      </c>
      <c r="D1280" t="s">
        <v>7</v>
      </c>
    </row>
    <row r="1281" spans="1:4">
      <c r="A1281" t="s">
        <v>6</v>
      </c>
      <c r="B1281">
        <v>31</v>
      </c>
      <c r="C1281" t="str">
        <f>CHOOSE(MATCH(B1281, {20,25,30,35,40,45,50,55,60,65,70,75,80,85}, 1), "20-24", "25-29", "30-34", "35-39", "40-44", "45-49", "50-54", "55-59", "60-64", "65-69", "70-74", "75-79", "80-84", "85+")</f>
        <v>30-34</v>
      </c>
      <c r="D1281" t="s">
        <v>8</v>
      </c>
    </row>
    <row r="1282" spans="1:4">
      <c r="A1282" t="s">
        <v>6</v>
      </c>
      <c r="B1282">
        <v>21</v>
      </c>
      <c r="C1282" t="str">
        <f>CHOOSE(MATCH(B1282, {20,25,30,35,40,45,50,55,60,65,70,75,80,85}, 1), "20-24", "25-29", "30-34", "35-39", "40-44", "45-49", "50-54", "55-59", "60-64", "65-69", "70-74", "75-79", "80-84", "85+")</f>
        <v>20-24</v>
      </c>
      <c r="D1282" t="s">
        <v>7</v>
      </c>
    </row>
    <row r="1283" spans="1:4">
      <c r="A1283" t="s">
        <v>6</v>
      </c>
      <c r="B1283">
        <v>25</v>
      </c>
      <c r="C1283" t="str">
        <f>CHOOSE(MATCH(B1283, {20,25,30,35,40,45,50,55,60,65,70,75,80,85}, 1), "20-24", "25-29", "30-34", "35-39", "40-44", "45-49", "50-54", "55-59", "60-64", "65-69", "70-74", "75-79", "80-84", "85+")</f>
        <v>25-29</v>
      </c>
      <c r="D1283" t="s">
        <v>8</v>
      </c>
    </row>
    <row r="1284" spans="1:4">
      <c r="A1284" t="s">
        <v>6</v>
      </c>
      <c r="B1284">
        <v>29</v>
      </c>
      <c r="C1284" t="str">
        <f>CHOOSE(MATCH(B1284, {20,25,30,35,40,45,50,55,60,65,70,75,80,85}, 1), "20-24", "25-29", "30-34", "35-39", "40-44", "45-49", "50-54", "55-59", "60-64", "65-69", "70-74", "75-79", "80-84", "85+")</f>
        <v>25-29</v>
      </c>
      <c r="D1284" t="s">
        <v>8</v>
      </c>
    </row>
    <row r="1285" spans="1:4">
      <c r="A1285" t="s">
        <v>6</v>
      </c>
      <c r="B1285">
        <v>30</v>
      </c>
      <c r="C1285" t="str">
        <f>CHOOSE(MATCH(B1285, {20,25,30,35,40,45,50,55,60,65,70,75,80,85}, 1), "20-24", "25-29", "30-34", "35-39", "40-44", "45-49", "50-54", "55-59", "60-64", "65-69", "70-74", "75-79", "80-84", "85+")</f>
        <v>30-34</v>
      </c>
      <c r="D1285" t="s">
        <v>7</v>
      </c>
    </row>
    <row r="1286" spans="1:4">
      <c r="A1286" t="s">
        <v>6</v>
      </c>
      <c r="B1286">
        <v>39</v>
      </c>
      <c r="C1286" t="str">
        <f>CHOOSE(MATCH(B1286, {20,25,30,35,40,45,50,55,60,65,70,75,80,85}, 1), "20-24", "25-29", "30-34", "35-39", "40-44", "45-49", "50-54", "55-59", "60-64", "65-69", "70-74", "75-79", "80-84", "85+")</f>
        <v>35-39</v>
      </c>
      <c r="D1286" t="s">
        <v>7</v>
      </c>
    </row>
    <row r="1287" spans="1:4">
      <c r="A1287" t="s">
        <v>6</v>
      </c>
      <c r="B1287">
        <v>27</v>
      </c>
      <c r="C1287" t="str">
        <f>CHOOSE(MATCH(B1287, {20,25,30,35,40,45,50,55,60,65,70,75,80,85}, 1), "20-24", "25-29", "30-34", "35-39", "40-44", "45-49", "50-54", "55-59", "60-64", "65-69", "70-74", "75-79", "80-84", "85+")</f>
        <v>25-29</v>
      </c>
      <c r="D1287" t="s">
        <v>7</v>
      </c>
    </row>
    <row r="1288" spans="1:4">
      <c r="A1288" t="s">
        <v>6</v>
      </c>
      <c r="B1288">
        <v>35</v>
      </c>
      <c r="C1288" t="str">
        <f>CHOOSE(MATCH(B1288, {20,25,30,35,40,45,50,55,60,65,70,75,80,85}, 1), "20-24", "25-29", "30-34", "35-39", "40-44", "45-49", "50-54", "55-59", "60-64", "65-69", "70-74", "75-79", "80-84", "85+")</f>
        <v>35-39</v>
      </c>
      <c r="D1288" t="s">
        <v>7</v>
      </c>
    </row>
    <row r="1289" spans="1:4">
      <c r="A1289" t="s">
        <v>6</v>
      </c>
      <c r="B1289">
        <v>42</v>
      </c>
      <c r="C1289" t="str">
        <f>CHOOSE(MATCH(B1289, {20,25,30,35,40,45,50,55,60,65,70,75,80,85}, 1), "20-24", "25-29", "30-34", "35-39", "40-44", "45-49", "50-54", "55-59", "60-64", "65-69", "70-74", "75-79", "80-84", "85+")</f>
        <v>40-44</v>
      </c>
      <c r="D1289" t="s">
        <v>7</v>
      </c>
    </row>
    <row r="1290" spans="1:4">
      <c r="A1290" t="s">
        <v>6</v>
      </c>
      <c r="B1290">
        <v>82</v>
      </c>
      <c r="C1290" t="str">
        <f>CHOOSE(MATCH(B1290, {20,25,30,35,40,45,50,55,60,65,70,75,80,85}, 1), "20-24", "25-29", "30-34", "35-39", "40-44", "45-49", "50-54", "55-59", "60-64", "65-69", "70-74", "75-79", "80-84", "85+")</f>
        <v>80-84</v>
      </c>
      <c r="D1290" t="s">
        <v>7</v>
      </c>
    </row>
    <row r="1291" spans="1:4">
      <c r="A1291" t="s">
        <v>6</v>
      </c>
      <c r="B1291">
        <v>26</v>
      </c>
      <c r="C1291" t="str">
        <f>CHOOSE(MATCH(B1291, {20,25,30,35,40,45,50,55,60,65,70,75,80,85}, 1), "20-24", "25-29", "30-34", "35-39", "40-44", "45-49", "50-54", "55-59", "60-64", "65-69", "70-74", "75-79", "80-84", "85+")</f>
        <v>25-29</v>
      </c>
      <c r="D1291" t="s">
        <v>8</v>
      </c>
    </row>
    <row r="1292" spans="1:4">
      <c r="A1292" t="s">
        <v>6</v>
      </c>
      <c r="B1292">
        <v>42</v>
      </c>
      <c r="C1292" t="str">
        <f>CHOOSE(MATCH(B1292, {20,25,30,35,40,45,50,55,60,65,70,75,80,85}, 1), "20-24", "25-29", "30-34", "35-39", "40-44", "45-49", "50-54", "55-59", "60-64", "65-69", "70-74", "75-79", "80-84", "85+")</f>
        <v>40-44</v>
      </c>
      <c r="D1292" t="s">
        <v>8</v>
      </c>
    </row>
    <row r="1293" spans="1:4">
      <c r="A1293" t="s">
        <v>6</v>
      </c>
      <c r="B1293">
        <v>54</v>
      </c>
      <c r="C1293" t="str">
        <f>CHOOSE(MATCH(B1293, {20,25,30,35,40,45,50,55,60,65,70,75,80,85}, 1), "20-24", "25-29", "30-34", "35-39", "40-44", "45-49", "50-54", "55-59", "60-64", "65-69", "70-74", "75-79", "80-84", "85+")</f>
        <v>50-54</v>
      </c>
      <c r="D1293" t="s">
        <v>7</v>
      </c>
    </row>
    <row r="1294" spans="1:4">
      <c r="A1294" t="s">
        <v>6</v>
      </c>
      <c r="B1294">
        <v>36</v>
      </c>
      <c r="C1294" t="str">
        <f>CHOOSE(MATCH(B1294, {20,25,30,35,40,45,50,55,60,65,70,75,80,85}, 1), "20-24", "25-29", "30-34", "35-39", "40-44", "45-49", "50-54", "55-59", "60-64", "65-69", "70-74", "75-79", "80-84", "85+")</f>
        <v>35-39</v>
      </c>
      <c r="D1294" t="s">
        <v>8</v>
      </c>
    </row>
    <row r="1295" spans="1:4">
      <c r="A1295" t="s">
        <v>6</v>
      </c>
      <c r="B1295">
        <v>36</v>
      </c>
      <c r="C1295" t="str">
        <f>CHOOSE(MATCH(B1295, {20,25,30,35,40,45,50,55,60,65,70,75,80,85}, 1), "20-24", "25-29", "30-34", "35-39", "40-44", "45-49", "50-54", "55-59", "60-64", "65-69", "70-74", "75-79", "80-84", "85+")</f>
        <v>35-39</v>
      </c>
      <c r="D1295" t="s">
        <v>8</v>
      </c>
    </row>
    <row r="1296" spans="1:4">
      <c r="A1296" t="s">
        <v>6</v>
      </c>
      <c r="B1296">
        <v>33</v>
      </c>
      <c r="C1296" t="str">
        <f>CHOOSE(MATCH(B1296, {20,25,30,35,40,45,50,55,60,65,70,75,80,85}, 1), "20-24", "25-29", "30-34", "35-39", "40-44", "45-49", "50-54", "55-59", "60-64", "65-69", "70-74", "75-79", "80-84", "85+")</f>
        <v>30-34</v>
      </c>
      <c r="D1296" t="s">
        <v>7</v>
      </c>
    </row>
    <row r="1297" spans="1:4">
      <c r="A1297" t="s">
        <v>6</v>
      </c>
      <c r="B1297">
        <v>33</v>
      </c>
      <c r="C1297" t="str">
        <f>CHOOSE(MATCH(B1297, {20,25,30,35,40,45,50,55,60,65,70,75,80,85}, 1), "20-24", "25-29", "30-34", "35-39", "40-44", "45-49", "50-54", "55-59", "60-64", "65-69", "70-74", "75-79", "80-84", "85+")</f>
        <v>30-34</v>
      </c>
      <c r="D1297" t="s">
        <v>8</v>
      </c>
    </row>
    <row r="1298" spans="1:4">
      <c r="A1298" t="s">
        <v>6</v>
      </c>
      <c r="B1298">
        <v>56</v>
      </c>
      <c r="C1298" t="str">
        <f>CHOOSE(MATCH(B1298, {20,25,30,35,40,45,50,55,60,65,70,75,80,85}, 1), "20-24", "25-29", "30-34", "35-39", "40-44", "45-49", "50-54", "55-59", "60-64", "65-69", "70-74", "75-79", "80-84", "85+")</f>
        <v>55-59</v>
      </c>
      <c r="D1298" t="s">
        <v>8</v>
      </c>
    </row>
    <row r="1299" spans="1:4">
      <c r="A1299" t="s">
        <v>6</v>
      </c>
      <c r="B1299">
        <v>23</v>
      </c>
      <c r="C1299" t="str">
        <f>CHOOSE(MATCH(B1299, {20,25,30,35,40,45,50,55,60,65,70,75,80,85}, 1), "20-24", "25-29", "30-34", "35-39", "40-44", "45-49", "50-54", "55-59", "60-64", "65-69", "70-74", "75-79", "80-84", "85+")</f>
        <v>20-24</v>
      </c>
      <c r="D1299" t="s">
        <v>7</v>
      </c>
    </row>
    <row r="1300" spans="1:4">
      <c r="A1300" t="s">
        <v>6</v>
      </c>
      <c r="B1300">
        <v>69</v>
      </c>
      <c r="C1300" t="str">
        <f>CHOOSE(MATCH(B1300, {20,25,30,35,40,45,50,55,60,65,70,75,80,85}, 1), "20-24", "25-29", "30-34", "35-39", "40-44", "45-49", "50-54", "55-59", "60-64", "65-69", "70-74", "75-79", "80-84", "85+")</f>
        <v>65-69</v>
      </c>
      <c r="D1300" t="s">
        <v>7</v>
      </c>
    </row>
    <row r="1301" spans="1:4">
      <c r="A1301" t="s">
        <v>6</v>
      </c>
      <c r="B1301">
        <v>32</v>
      </c>
      <c r="C1301" t="str">
        <f>CHOOSE(MATCH(B1301, {20,25,30,35,40,45,50,55,60,65,70,75,80,85}, 1), "20-24", "25-29", "30-34", "35-39", "40-44", "45-49", "50-54", "55-59", "60-64", "65-69", "70-74", "75-79", "80-84", "85+")</f>
        <v>30-34</v>
      </c>
      <c r="D1301" t="s">
        <v>7</v>
      </c>
    </row>
    <row r="1302" spans="1:4">
      <c r="A1302" t="s">
        <v>6</v>
      </c>
      <c r="B1302">
        <v>30</v>
      </c>
      <c r="C1302" t="str">
        <f>CHOOSE(MATCH(B1302, {20,25,30,35,40,45,50,55,60,65,70,75,80,85}, 1), "20-24", "25-29", "30-34", "35-39", "40-44", "45-49", "50-54", "55-59", "60-64", "65-69", "70-74", "75-79", "80-84", "85+")</f>
        <v>30-34</v>
      </c>
      <c r="D1302" t="s">
        <v>7</v>
      </c>
    </row>
    <row r="1303" spans="1:4">
      <c r="A1303" t="s">
        <v>6</v>
      </c>
      <c r="B1303">
        <v>57</v>
      </c>
      <c r="C1303" t="str">
        <f>CHOOSE(MATCH(B1303, {20,25,30,35,40,45,50,55,60,65,70,75,80,85}, 1), "20-24", "25-29", "30-34", "35-39", "40-44", "45-49", "50-54", "55-59", "60-64", "65-69", "70-74", "75-79", "80-84", "85+")</f>
        <v>55-59</v>
      </c>
      <c r="D1303" t="s">
        <v>7</v>
      </c>
    </row>
    <row r="1304" spans="1:4">
      <c r="A1304" t="s">
        <v>6</v>
      </c>
      <c r="B1304">
        <v>24</v>
      </c>
      <c r="C1304" t="str">
        <f>CHOOSE(MATCH(B1304, {20,25,30,35,40,45,50,55,60,65,70,75,80,85}, 1), "20-24", "25-29", "30-34", "35-39", "40-44", "45-49", "50-54", "55-59", "60-64", "65-69", "70-74", "75-79", "80-84", "85+")</f>
        <v>20-24</v>
      </c>
      <c r="D1304" t="s">
        <v>7</v>
      </c>
    </row>
    <row r="1305" spans="1:4">
      <c r="A1305" t="s">
        <v>6</v>
      </c>
      <c r="B1305">
        <v>22</v>
      </c>
      <c r="C1305" t="str">
        <f>CHOOSE(MATCH(B1305, {20,25,30,35,40,45,50,55,60,65,70,75,80,85}, 1), "20-24", "25-29", "30-34", "35-39", "40-44", "45-49", "50-54", "55-59", "60-64", "65-69", "70-74", "75-79", "80-84", "85+")</f>
        <v>20-24</v>
      </c>
      <c r="D1305" t="s">
        <v>7</v>
      </c>
    </row>
    <row r="1306" spans="1:4">
      <c r="A1306" t="s">
        <v>6</v>
      </c>
      <c r="B1306">
        <v>76</v>
      </c>
      <c r="C1306" t="str">
        <f>CHOOSE(MATCH(B1306, {20,25,30,35,40,45,50,55,60,65,70,75,80,85}, 1), "20-24", "25-29", "30-34", "35-39", "40-44", "45-49", "50-54", "55-59", "60-64", "65-69", "70-74", "75-79", "80-84", "85+")</f>
        <v>75-79</v>
      </c>
      <c r="D1306" t="s">
        <v>8</v>
      </c>
    </row>
    <row r="1307" spans="1:4">
      <c r="A1307" t="s">
        <v>6</v>
      </c>
      <c r="B1307">
        <v>31</v>
      </c>
      <c r="C1307" t="str">
        <f>CHOOSE(MATCH(B1307, {20,25,30,35,40,45,50,55,60,65,70,75,80,85}, 1), "20-24", "25-29", "30-34", "35-39", "40-44", "45-49", "50-54", "55-59", "60-64", "65-69", "70-74", "75-79", "80-84", "85+")</f>
        <v>30-34</v>
      </c>
      <c r="D1307" t="s">
        <v>7</v>
      </c>
    </row>
    <row r="1308" spans="1:4">
      <c r="A1308" t="s">
        <v>6</v>
      </c>
      <c r="B1308">
        <v>41</v>
      </c>
      <c r="C1308" t="str">
        <f>CHOOSE(MATCH(B1308, {20,25,30,35,40,45,50,55,60,65,70,75,80,85}, 1), "20-24", "25-29", "30-34", "35-39", "40-44", "45-49", "50-54", "55-59", "60-64", "65-69", "70-74", "75-79", "80-84", "85+")</f>
        <v>40-44</v>
      </c>
      <c r="D1308" t="s">
        <v>8</v>
      </c>
    </row>
    <row r="1309" spans="1:4">
      <c r="A1309" t="s">
        <v>6</v>
      </c>
      <c r="B1309">
        <v>39</v>
      </c>
      <c r="C1309" t="str">
        <f>CHOOSE(MATCH(B1309, {20,25,30,35,40,45,50,55,60,65,70,75,80,85}, 1), "20-24", "25-29", "30-34", "35-39", "40-44", "45-49", "50-54", "55-59", "60-64", "65-69", "70-74", "75-79", "80-84", "85+")</f>
        <v>35-39</v>
      </c>
      <c r="D1309" t="s">
        <v>7</v>
      </c>
    </row>
    <row r="1310" spans="1:4">
      <c r="A1310" t="s">
        <v>6</v>
      </c>
      <c r="B1310">
        <v>31</v>
      </c>
      <c r="C1310" t="str">
        <f>CHOOSE(MATCH(B1310, {20,25,30,35,40,45,50,55,60,65,70,75,80,85}, 1), "20-24", "25-29", "30-34", "35-39", "40-44", "45-49", "50-54", "55-59", "60-64", "65-69", "70-74", "75-79", "80-84", "85+")</f>
        <v>30-34</v>
      </c>
      <c r="D1310" t="s">
        <v>7</v>
      </c>
    </row>
    <row r="1311" spans="1:4">
      <c r="A1311" t="s">
        <v>6</v>
      </c>
      <c r="B1311">
        <v>53</v>
      </c>
      <c r="C1311" t="str">
        <f>CHOOSE(MATCH(B1311, {20,25,30,35,40,45,50,55,60,65,70,75,80,85}, 1), "20-24", "25-29", "30-34", "35-39", "40-44", "45-49", "50-54", "55-59", "60-64", "65-69", "70-74", "75-79", "80-84", "85+")</f>
        <v>50-54</v>
      </c>
      <c r="D1311" t="s">
        <v>8</v>
      </c>
    </row>
    <row r="1312" spans="1:4">
      <c r="A1312" t="s">
        <v>6</v>
      </c>
      <c r="B1312">
        <v>84</v>
      </c>
      <c r="C1312" t="str">
        <f>CHOOSE(MATCH(B1312, {20,25,30,35,40,45,50,55,60,65,70,75,80,85}, 1), "20-24", "25-29", "30-34", "35-39", "40-44", "45-49", "50-54", "55-59", "60-64", "65-69", "70-74", "75-79", "80-84", "85+")</f>
        <v>80-84</v>
      </c>
      <c r="D1312" t="s">
        <v>8</v>
      </c>
    </row>
    <row r="1313" spans="1:4">
      <c r="A1313" t="s">
        <v>6</v>
      </c>
      <c r="B1313">
        <v>48</v>
      </c>
      <c r="C1313" t="str">
        <f>CHOOSE(MATCH(B1313, {20,25,30,35,40,45,50,55,60,65,70,75,80,85}, 1), "20-24", "25-29", "30-34", "35-39", "40-44", "45-49", "50-54", "55-59", "60-64", "65-69", "70-74", "75-79", "80-84", "85+")</f>
        <v>45-49</v>
      </c>
      <c r="D1313" t="s">
        <v>7</v>
      </c>
    </row>
    <row r="1314" spans="1:4">
      <c r="A1314" t="s">
        <v>6</v>
      </c>
      <c r="B1314">
        <v>36</v>
      </c>
      <c r="C1314" t="str">
        <f>CHOOSE(MATCH(B1314, {20,25,30,35,40,45,50,55,60,65,70,75,80,85}, 1), "20-24", "25-29", "30-34", "35-39", "40-44", "45-49", "50-54", "55-59", "60-64", "65-69", "70-74", "75-79", "80-84", "85+")</f>
        <v>35-39</v>
      </c>
      <c r="D1314" t="s">
        <v>8</v>
      </c>
    </row>
    <row r="1315" spans="1:4">
      <c r="A1315" t="s">
        <v>6</v>
      </c>
      <c r="B1315">
        <v>26</v>
      </c>
      <c r="C1315" t="str">
        <f>CHOOSE(MATCH(B1315, {20,25,30,35,40,45,50,55,60,65,70,75,80,85}, 1), "20-24", "25-29", "30-34", "35-39", "40-44", "45-49", "50-54", "55-59", "60-64", "65-69", "70-74", "75-79", "80-84", "85+")</f>
        <v>25-29</v>
      </c>
      <c r="D1315" t="s">
        <v>7</v>
      </c>
    </row>
    <row r="1316" spans="1:4">
      <c r="A1316" t="s">
        <v>6</v>
      </c>
      <c r="B1316">
        <v>40</v>
      </c>
      <c r="C1316" t="str">
        <f>CHOOSE(MATCH(B1316, {20,25,30,35,40,45,50,55,60,65,70,75,80,85}, 1), "20-24", "25-29", "30-34", "35-39", "40-44", "45-49", "50-54", "55-59", "60-64", "65-69", "70-74", "75-79", "80-84", "85+")</f>
        <v>40-44</v>
      </c>
      <c r="D1316" t="s">
        <v>8</v>
      </c>
    </row>
    <row r="1317" spans="1:4">
      <c r="A1317" t="s">
        <v>6</v>
      </c>
      <c r="B1317">
        <v>33</v>
      </c>
      <c r="C1317" t="str">
        <f>CHOOSE(MATCH(B1317, {20,25,30,35,40,45,50,55,60,65,70,75,80,85}, 1), "20-24", "25-29", "30-34", "35-39", "40-44", "45-49", "50-54", "55-59", "60-64", "65-69", "70-74", "75-79", "80-84", "85+")</f>
        <v>30-34</v>
      </c>
      <c r="D1317" t="s">
        <v>7</v>
      </c>
    </row>
    <row r="1318" spans="1:4">
      <c r="A1318" t="s">
        <v>6</v>
      </c>
      <c r="B1318">
        <v>25</v>
      </c>
      <c r="C1318" t="str">
        <f>CHOOSE(MATCH(B1318, {20,25,30,35,40,45,50,55,60,65,70,75,80,85}, 1), "20-24", "25-29", "30-34", "35-39", "40-44", "45-49", "50-54", "55-59", "60-64", "65-69", "70-74", "75-79", "80-84", "85+")</f>
        <v>25-29</v>
      </c>
      <c r="D1318" t="s">
        <v>7</v>
      </c>
    </row>
    <row r="1319" spans="1:4">
      <c r="A1319" t="s">
        <v>6</v>
      </c>
      <c r="B1319">
        <v>41</v>
      </c>
      <c r="C1319" t="str">
        <f>CHOOSE(MATCH(B1319, {20,25,30,35,40,45,50,55,60,65,70,75,80,85}, 1), "20-24", "25-29", "30-34", "35-39", "40-44", "45-49", "50-54", "55-59", "60-64", "65-69", "70-74", "75-79", "80-84", "85+")</f>
        <v>40-44</v>
      </c>
      <c r="D1319" t="s">
        <v>8</v>
      </c>
    </row>
    <row r="1320" spans="1:4">
      <c r="A1320" t="s">
        <v>6</v>
      </c>
      <c r="B1320">
        <v>37</v>
      </c>
      <c r="C1320" t="str">
        <f>CHOOSE(MATCH(B1320, {20,25,30,35,40,45,50,55,60,65,70,75,80,85}, 1), "20-24", "25-29", "30-34", "35-39", "40-44", "45-49", "50-54", "55-59", "60-64", "65-69", "70-74", "75-79", "80-84", "85+")</f>
        <v>35-39</v>
      </c>
      <c r="D1320" t="s">
        <v>7</v>
      </c>
    </row>
    <row r="1321" spans="1:4">
      <c r="A1321" t="s">
        <v>6</v>
      </c>
      <c r="B1321">
        <v>35</v>
      </c>
      <c r="C1321" t="str">
        <f>CHOOSE(MATCH(B1321, {20,25,30,35,40,45,50,55,60,65,70,75,80,85}, 1), "20-24", "25-29", "30-34", "35-39", "40-44", "45-49", "50-54", "55-59", "60-64", "65-69", "70-74", "75-79", "80-84", "85+")</f>
        <v>35-39</v>
      </c>
      <c r="D1321" t="s">
        <v>7</v>
      </c>
    </row>
    <row r="1322" spans="1:4">
      <c r="A1322" t="s">
        <v>6</v>
      </c>
      <c r="B1322">
        <v>56</v>
      </c>
      <c r="C1322" t="str">
        <f>CHOOSE(MATCH(B1322, {20,25,30,35,40,45,50,55,60,65,70,75,80,85}, 1), "20-24", "25-29", "30-34", "35-39", "40-44", "45-49", "50-54", "55-59", "60-64", "65-69", "70-74", "75-79", "80-84", "85+")</f>
        <v>55-59</v>
      </c>
      <c r="D1322" t="s">
        <v>8</v>
      </c>
    </row>
    <row r="1323" spans="1:4">
      <c r="A1323" t="s">
        <v>6</v>
      </c>
      <c r="B1323">
        <v>42</v>
      </c>
      <c r="C1323" t="str">
        <f>CHOOSE(MATCH(B1323, {20,25,30,35,40,45,50,55,60,65,70,75,80,85}, 1), "20-24", "25-29", "30-34", "35-39", "40-44", "45-49", "50-54", "55-59", "60-64", "65-69", "70-74", "75-79", "80-84", "85+")</f>
        <v>40-44</v>
      </c>
      <c r="D1323" t="s">
        <v>7</v>
      </c>
    </row>
    <row r="1324" spans="1:4">
      <c r="A1324" t="s">
        <v>6</v>
      </c>
      <c r="B1324">
        <v>74</v>
      </c>
      <c r="C1324" t="str">
        <f>CHOOSE(MATCH(B1324, {20,25,30,35,40,45,50,55,60,65,70,75,80,85}, 1), "20-24", "25-29", "30-34", "35-39", "40-44", "45-49", "50-54", "55-59", "60-64", "65-69", "70-74", "75-79", "80-84", "85+")</f>
        <v>70-74</v>
      </c>
      <c r="D1324" t="s">
        <v>8</v>
      </c>
    </row>
    <row r="1325" spans="1:4">
      <c r="A1325" t="s">
        <v>6</v>
      </c>
      <c r="B1325">
        <v>38</v>
      </c>
      <c r="C1325" t="str">
        <f>CHOOSE(MATCH(B1325, {20,25,30,35,40,45,50,55,60,65,70,75,80,85}, 1), "20-24", "25-29", "30-34", "35-39", "40-44", "45-49", "50-54", "55-59", "60-64", "65-69", "70-74", "75-79", "80-84", "85+")</f>
        <v>35-39</v>
      </c>
      <c r="D1325" t="s">
        <v>8</v>
      </c>
    </row>
    <row r="1326" spans="1:4">
      <c r="A1326" t="s">
        <v>6</v>
      </c>
      <c r="B1326">
        <v>42</v>
      </c>
      <c r="C1326" t="str">
        <f>CHOOSE(MATCH(B1326, {20,25,30,35,40,45,50,55,60,65,70,75,80,85}, 1), "20-24", "25-29", "30-34", "35-39", "40-44", "45-49", "50-54", "55-59", "60-64", "65-69", "70-74", "75-79", "80-84", "85+")</f>
        <v>40-44</v>
      </c>
      <c r="D1326" t="s">
        <v>7</v>
      </c>
    </row>
    <row r="1327" spans="1:4">
      <c r="A1327" t="s">
        <v>6</v>
      </c>
      <c r="B1327">
        <v>34</v>
      </c>
      <c r="C1327" t="str">
        <f>CHOOSE(MATCH(B1327, {20,25,30,35,40,45,50,55,60,65,70,75,80,85}, 1), "20-24", "25-29", "30-34", "35-39", "40-44", "45-49", "50-54", "55-59", "60-64", "65-69", "70-74", "75-79", "80-84", "85+")</f>
        <v>30-34</v>
      </c>
      <c r="D1327" t="s">
        <v>7</v>
      </c>
    </row>
    <row r="1328" spans="1:4">
      <c r="A1328" t="s">
        <v>6</v>
      </c>
      <c r="B1328">
        <v>38</v>
      </c>
      <c r="C1328" t="str">
        <f>CHOOSE(MATCH(B1328, {20,25,30,35,40,45,50,55,60,65,70,75,80,85}, 1), "20-24", "25-29", "30-34", "35-39", "40-44", "45-49", "50-54", "55-59", "60-64", "65-69", "70-74", "75-79", "80-84", "85+")</f>
        <v>35-39</v>
      </c>
      <c r="D1328" t="s">
        <v>7</v>
      </c>
    </row>
    <row r="1329" spans="1:4">
      <c r="A1329" t="s">
        <v>6</v>
      </c>
      <c r="B1329">
        <v>34</v>
      </c>
      <c r="C1329" t="str">
        <f>CHOOSE(MATCH(B1329, {20,25,30,35,40,45,50,55,60,65,70,75,80,85}, 1), "20-24", "25-29", "30-34", "35-39", "40-44", "45-49", "50-54", "55-59", "60-64", "65-69", "70-74", "75-79", "80-84", "85+")</f>
        <v>30-34</v>
      </c>
      <c r="D1329" t="s">
        <v>7</v>
      </c>
    </row>
    <row r="1330" spans="1:4">
      <c r="A1330" t="s">
        <v>6</v>
      </c>
      <c r="B1330">
        <v>31</v>
      </c>
      <c r="C1330" t="str">
        <f>CHOOSE(MATCH(B1330, {20,25,30,35,40,45,50,55,60,65,70,75,80,85}, 1), "20-24", "25-29", "30-34", "35-39", "40-44", "45-49", "50-54", "55-59", "60-64", "65-69", "70-74", "75-79", "80-84", "85+")</f>
        <v>30-34</v>
      </c>
      <c r="D1330" t="s">
        <v>7</v>
      </c>
    </row>
    <row r="1331" spans="1:4">
      <c r="A1331" t="s">
        <v>6</v>
      </c>
      <c r="B1331">
        <v>33</v>
      </c>
      <c r="C1331" t="str">
        <f>CHOOSE(MATCH(B1331, {20,25,30,35,40,45,50,55,60,65,70,75,80,85}, 1), "20-24", "25-29", "30-34", "35-39", "40-44", "45-49", "50-54", "55-59", "60-64", "65-69", "70-74", "75-79", "80-84", "85+")</f>
        <v>30-34</v>
      </c>
      <c r="D1331" t="s">
        <v>7</v>
      </c>
    </row>
    <row r="1332" spans="1:4">
      <c r="A1332" t="s">
        <v>6</v>
      </c>
      <c r="B1332">
        <v>30</v>
      </c>
      <c r="C1332" t="str">
        <f>CHOOSE(MATCH(B1332, {20,25,30,35,40,45,50,55,60,65,70,75,80,85}, 1), "20-24", "25-29", "30-34", "35-39", "40-44", "45-49", "50-54", "55-59", "60-64", "65-69", "70-74", "75-79", "80-84", "85+")</f>
        <v>30-34</v>
      </c>
      <c r="D1332" t="s">
        <v>7</v>
      </c>
    </row>
    <row r="1333" spans="1:4">
      <c r="A1333" t="s">
        <v>6</v>
      </c>
      <c r="B1333">
        <v>51</v>
      </c>
      <c r="C1333" t="str">
        <f>CHOOSE(MATCH(B1333, {20,25,30,35,40,45,50,55,60,65,70,75,80,85}, 1), "20-24", "25-29", "30-34", "35-39", "40-44", "45-49", "50-54", "55-59", "60-64", "65-69", "70-74", "75-79", "80-84", "85+")</f>
        <v>50-54</v>
      </c>
      <c r="D1333" t="s">
        <v>8</v>
      </c>
    </row>
    <row r="1334" spans="1:4">
      <c r="A1334" t="s">
        <v>6</v>
      </c>
      <c r="B1334">
        <v>32</v>
      </c>
      <c r="C1334" t="str">
        <f>CHOOSE(MATCH(B1334, {20,25,30,35,40,45,50,55,60,65,70,75,80,85}, 1), "20-24", "25-29", "30-34", "35-39", "40-44", "45-49", "50-54", "55-59", "60-64", "65-69", "70-74", "75-79", "80-84", "85+")</f>
        <v>30-34</v>
      </c>
      <c r="D1334" t="s">
        <v>8</v>
      </c>
    </row>
    <row r="1335" spans="1:4">
      <c r="A1335" t="s">
        <v>6</v>
      </c>
      <c r="B1335">
        <v>46</v>
      </c>
      <c r="C1335" t="str">
        <f>CHOOSE(MATCH(B1335, {20,25,30,35,40,45,50,55,60,65,70,75,80,85}, 1), "20-24", "25-29", "30-34", "35-39", "40-44", "45-49", "50-54", "55-59", "60-64", "65-69", "70-74", "75-79", "80-84", "85+")</f>
        <v>45-49</v>
      </c>
      <c r="D1335" t="s">
        <v>8</v>
      </c>
    </row>
    <row r="1336" spans="1:4">
      <c r="A1336" t="s">
        <v>6</v>
      </c>
      <c r="B1336">
        <v>52</v>
      </c>
      <c r="C1336" t="str">
        <f>CHOOSE(MATCH(B1336, {20,25,30,35,40,45,50,55,60,65,70,75,80,85}, 1), "20-24", "25-29", "30-34", "35-39", "40-44", "45-49", "50-54", "55-59", "60-64", "65-69", "70-74", "75-79", "80-84", "85+")</f>
        <v>50-54</v>
      </c>
      <c r="D1336" t="s">
        <v>7</v>
      </c>
    </row>
    <row r="1337" spans="1:4">
      <c r="A1337" t="s">
        <v>6</v>
      </c>
      <c r="B1337">
        <v>29</v>
      </c>
      <c r="C1337" t="str">
        <f>CHOOSE(MATCH(B1337, {20,25,30,35,40,45,50,55,60,65,70,75,80,85}, 1), "20-24", "25-29", "30-34", "35-39", "40-44", "45-49", "50-54", "55-59", "60-64", "65-69", "70-74", "75-79", "80-84", "85+")</f>
        <v>25-29</v>
      </c>
      <c r="D1337" t="s">
        <v>8</v>
      </c>
    </row>
    <row r="1338" spans="1:4">
      <c r="A1338" t="s">
        <v>6</v>
      </c>
      <c r="B1338">
        <v>40</v>
      </c>
      <c r="C1338" t="str">
        <f>CHOOSE(MATCH(B1338, {20,25,30,35,40,45,50,55,60,65,70,75,80,85}, 1), "20-24", "25-29", "30-34", "35-39", "40-44", "45-49", "50-54", "55-59", "60-64", "65-69", "70-74", "75-79", "80-84", "85+")</f>
        <v>40-44</v>
      </c>
      <c r="D1338" t="s">
        <v>8</v>
      </c>
    </row>
    <row r="1339" spans="1:4">
      <c r="A1339" t="s">
        <v>6</v>
      </c>
      <c r="B1339">
        <v>29</v>
      </c>
      <c r="C1339" t="str">
        <f>CHOOSE(MATCH(B1339, {20,25,30,35,40,45,50,55,60,65,70,75,80,85}, 1), "20-24", "25-29", "30-34", "35-39", "40-44", "45-49", "50-54", "55-59", "60-64", "65-69", "70-74", "75-79", "80-84", "85+")</f>
        <v>25-29</v>
      </c>
      <c r="D1339" t="s">
        <v>8</v>
      </c>
    </row>
    <row r="1340" spans="1:4">
      <c r="A1340" t="s">
        <v>6</v>
      </c>
      <c r="B1340">
        <v>32</v>
      </c>
      <c r="C1340" t="str">
        <f>CHOOSE(MATCH(B1340, {20,25,30,35,40,45,50,55,60,65,70,75,80,85}, 1), "20-24", "25-29", "30-34", "35-39", "40-44", "45-49", "50-54", "55-59", "60-64", "65-69", "70-74", "75-79", "80-84", "85+")</f>
        <v>30-34</v>
      </c>
      <c r="D1340" t="s">
        <v>8</v>
      </c>
    </row>
    <row r="1341" spans="1:4">
      <c r="A1341" t="s">
        <v>6</v>
      </c>
      <c r="B1341">
        <v>62</v>
      </c>
      <c r="C1341" t="str">
        <f>CHOOSE(MATCH(B1341, {20,25,30,35,40,45,50,55,60,65,70,75,80,85}, 1), "20-24", "25-29", "30-34", "35-39", "40-44", "45-49", "50-54", "55-59", "60-64", "65-69", "70-74", "75-79", "80-84", "85+")</f>
        <v>60-64</v>
      </c>
      <c r="D1341" t="s">
        <v>7</v>
      </c>
    </row>
    <row r="1342" spans="1:4">
      <c r="A1342" t="s">
        <v>6</v>
      </c>
      <c r="B1342">
        <v>27</v>
      </c>
      <c r="C1342" t="str">
        <f>CHOOSE(MATCH(B1342, {20,25,30,35,40,45,50,55,60,65,70,75,80,85}, 1), "20-24", "25-29", "30-34", "35-39", "40-44", "45-49", "50-54", "55-59", "60-64", "65-69", "70-74", "75-79", "80-84", "85+")</f>
        <v>25-29</v>
      </c>
      <c r="D1342" t="s">
        <v>8</v>
      </c>
    </row>
    <row r="1343" spans="1:4">
      <c r="A1343" t="s">
        <v>6</v>
      </c>
      <c r="B1343">
        <v>60</v>
      </c>
      <c r="C1343" t="str">
        <f>CHOOSE(MATCH(B1343, {20,25,30,35,40,45,50,55,60,65,70,75,80,85}, 1), "20-24", "25-29", "30-34", "35-39", "40-44", "45-49", "50-54", "55-59", "60-64", "65-69", "70-74", "75-79", "80-84", "85+")</f>
        <v>60-64</v>
      </c>
      <c r="D1343" t="s">
        <v>8</v>
      </c>
    </row>
    <row r="1344" spans="1:4">
      <c r="A1344" t="s">
        <v>6</v>
      </c>
      <c r="B1344">
        <v>44</v>
      </c>
      <c r="C1344" t="str">
        <f>CHOOSE(MATCH(B1344, {20,25,30,35,40,45,50,55,60,65,70,75,80,85}, 1), "20-24", "25-29", "30-34", "35-39", "40-44", "45-49", "50-54", "55-59", "60-64", "65-69", "70-74", "75-79", "80-84", "85+")</f>
        <v>40-44</v>
      </c>
      <c r="D1344" t="s">
        <v>7</v>
      </c>
    </row>
    <row r="1345" spans="1:4">
      <c r="A1345" t="s">
        <v>6</v>
      </c>
      <c r="B1345">
        <v>41</v>
      </c>
      <c r="C1345" t="str">
        <f>CHOOSE(MATCH(B1345, {20,25,30,35,40,45,50,55,60,65,70,75,80,85}, 1), "20-24", "25-29", "30-34", "35-39", "40-44", "45-49", "50-54", "55-59", "60-64", "65-69", "70-74", "75-79", "80-84", "85+")</f>
        <v>40-44</v>
      </c>
      <c r="D1345" t="s">
        <v>8</v>
      </c>
    </row>
    <row r="1346" spans="1:4">
      <c r="A1346" t="s">
        <v>6</v>
      </c>
      <c r="B1346">
        <v>60</v>
      </c>
      <c r="C1346" t="str">
        <f>CHOOSE(MATCH(B1346, {20,25,30,35,40,45,50,55,60,65,70,75,80,85}, 1), "20-24", "25-29", "30-34", "35-39", "40-44", "45-49", "50-54", "55-59", "60-64", "65-69", "70-74", "75-79", "80-84", "85+")</f>
        <v>60-64</v>
      </c>
      <c r="D1346" t="s">
        <v>7</v>
      </c>
    </row>
    <row r="1347" spans="1:4">
      <c r="A1347" t="s">
        <v>6</v>
      </c>
      <c r="B1347">
        <v>59</v>
      </c>
      <c r="C1347" t="str">
        <f>CHOOSE(MATCH(B1347, {20,25,30,35,40,45,50,55,60,65,70,75,80,85}, 1), "20-24", "25-29", "30-34", "35-39", "40-44", "45-49", "50-54", "55-59", "60-64", "65-69", "70-74", "75-79", "80-84", "85+")</f>
        <v>55-59</v>
      </c>
      <c r="D1347" t="s">
        <v>7</v>
      </c>
    </row>
    <row r="1348" spans="1:4">
      <c r="A1348" t="s">
        <v>6</v>
      </c>
      <c r="B1348">
        <v>31</v>
      </c>
      <c r="C1348" t="str">
        <f>CHOOSE(MATCH(B1348, {20,25,30,35,40,45,50,55,60,65,70,75,80,85}, 1), "20-24", "25-29", "30-34", "35-39", "40-44", "45-49", "50-54", "55-59", "60-64", "65-69", "70-74", "75-79", "80-84", "85+")</f>
        <v>30-34</v>
      </c>
      <c r="D1348" t="s">
        <v>8</v>
      </c>
    </row>
    <row r="1349" spans="1:4">
      <c r="A1349" t="s">
        <v>6</v>
      </c>
      <c r="B1349">
        <v>25</v>
      </c>
      <c r="C1349" t="str">
        <f>CHOOSE(MATCH(B1349, {20,25,30,35,40,45,50,55,60,65,70,75,80,85}, 1), "20-24", "25-29", "30-34", "35-39", "40-44", "45-49", "50-54", "55-59", "60-64", "65-69", "70-74", "75-79", "80-84", "85+")</f>
        <v>25-29</v>
      </c>
      <c r="D1349" t="s">
        <v>7</v>
      </c>
    </row>
    <row r="1350" spans="1:4">
      <c r="A1350" t="s">
        <v>6</v>
      </c>
      <c r="B1350">
        <v>36</v>
      </c>
      <c r="C1350" t="str">
        <f>CHOOSE(MATCH(B1350, {20,25,30,35,40,45,50,55,60,65,70,75,80,85}, 1), "20-24", "25-29", "30-34", "35-39", "40-44", "45-49", "50-54", "55-59", "60-64", "65-69", "70-74", "75-79", "80-84", "85+")</f>
        <v>35-39</v>
      </c>
      <c r="D1350" t="s">
        <v>7</v>
      </c>
    </row>
    <row r="1351" spans="1:4">
      <c r="A1351" t="s">
        <v>6</v>
      </c>
      <c r="B1351">
        <v>32</v>
      </c>
      <c r="C1351" t="str">
        <f>CHOOSE(MATCH(B1351, {20,25,30,35,40,45,50,55,60,65,70,75,80,85}, 1), "20-24", "25-29", "30-34", "35-39", "40-44", "45-49", "50-54", "55-59", "60-64", "65-69", "70-74", "75-79", "80-84", "85+")</f>
        <v>30-34</v>
      </c>
      <c r="D1351" t="s">
        <v>7</v>
      </c>
    </row>
    <row r="1352" spans="1:4">
      <c r="A1352" t="s">
        <v>6</v>
      </c>
      <c r="B1352">
        <v>39</v>
      </c>
      <c r="C1352" t="str">
        <f>CHOOSE(MATCH(B1352, {20,25,30,35,40,45,50,55,60,65,70,75,80,85}, 1), "20-24", "25-29", "30-34", "35-39", "40-44", "45-49", "50-54", "55-59", "60-64", "65-69", "70-74", "75-79", "80-84", "85+")</f>
        <v>35-39</v>
      </c>
      <c r="D1352" t="s">
        <v>8</v>
      </c>
    </row>
    <row r="1353" spans="1:4">
      <c r="A1353" t="s">
        <v>6</v>
      </c>
      <c r="B1353">
        <v>39</v>
      </c>
      <c r="C1353" t="str">
        <f>CHOOSE(MATCH(B1353, {20,25,30,35,40,45,50,55,60,65,70,75,80,85}, 1), "20-24", "25-29", "30-34", "35-39", "40-44", "45-49", "50-54", "55-59", "60-64", "65-69", "70-74", "75-79", "80-84", "85+")</f>
        <v>35-39</v>
      </c>
      <c r="D1353" t="s">
        <v>7</v>
      </c>
    </row>
    <row r="1354" spans="1:4">
      <c r="A1354" t="s">
        <v>6</v>
      </c>
      <c r="B1354">
        <v>45</v>
      </c>
      <c r="C1354" t="str">
        <f>CHOOSE(MATCH(B1354, {20,25,30,35,40,45,50,55,60,65,70,75,80,85}, 1), "20-24", "25-29", "30-34", "35-39", "40-44", "45-49", "50-54", "55-59", "60-64", "65-69", "70-74", "75-79", "80-84", "85+")</f>
        <v>45-49</v>
      </c>
      <c r="D1354" t="s">
        <v>8</v>
      </c>
    </row>
    <row r="1355" spans="1:4">
      <c r="A1355" t="s">
        <v>6</v>
      </c>
      <c r="B1355">
        <v>43</v>
      </c>
      <c r="C1355" t="str">
        <f>CHOOSE(MATCH(B1355, {20,25,30,35,40,45,50,55,60,65,70,75,80,85}, 1), "20-24", "25-29", "30-34", "35-39", "40-44", "45-49", "50-54", "55-59", "60-64", "65-69", "70-74", "75-79", "80-84", "85+")</f>
        <v>40-44</v>
      </c>
      <c r="D1355" t="s">
        <v>8</v>
      </c>
    </row>
    <row r="1356" spans="1:4">
      <c r="A1356" t="s">
        <v>6</v>
      </c>
      <c r="B1356">
        <v>20</v>
      </c>
      <c r="C1356" t="str">
        <f>CHOOSE(MATCH(B1356, {20,25,30,35,40,45,50,55,60,65,70,75,80,85}, 1), "20-24", "25-29", "30-34", "35-39", "40-44", "45-49", "50-54", "55-59", "60-64", "65-69", "70-74", "75-79", "80-84", "85+")</f>
        <v>20-24</v>
      </c>
      <c r="D1356" t="s">
        <v>8</v>
      </c>
    </row>
    <row r="1357" spans="1:4">
      <c r="A1357" t="s">
        <v>6</v>
      </c>
      <c r="B1357">
        <v>36</v>
      </c>
      <c r="C1357" t="str">
        <f>CHOOSE(MATCH(B1357, {20,25,30,35,40,45,50,55,60,65,70,75,80,85}, 1), "20-24", "25-29", "30-34", "35-39", "40-44", "45-49", "50-54", "55-59", "60-64", "65-69", "70-74", "75-79", "80-84", "85+")</f>
        <v>35-39</v>
      </c>
      <c r="D1357" t="s">
        <v>7</v>
      </c>
    </row>
    <row r="1358" spans="1:4">
      <c r="A1358" t="s">
        <v>6</v>
      </c>
      <c r="B1358">
        <v>73</v>
      </c>
      <c r="C1358" t="str">
        <f>CHOOSE(MATCH(B1358, {20,25,30,35,40,45,50,55,60,65,70,75,80,85}, 1), "20-24", "25-29", "30-34", "35-39", "40-44", "45-49", "50-54", "55-59", "60-64", "65-69", "70-74", "75-79", "80-84", "85+")</f>
        <v>70-74</v>
      </c>
      <c r="D1358" t="s">
        <v>7</v>
      </c>
    </row>
    <row r="1359" spans="1:4">
      <c r="A1359" t="s">
        <v>6</v>
      </c>
      <c r="B1359">
        <v>59</v>
      </c>
      <c r="C1359" t="str">
        <f>CHOOSE(MATCH(B1359, {20,25,30,35,40,45,50,55,60,65,70,75,80,85}, 1), "20-24", "25-29", "30-34", "35-39", "40-44", "45-49", "50-54", "55-59", "60-64", "65-69", "70-74", "75-79", "80-84", "85+")</f>
        <v>55-59</v>
      </c>
      <c r="D1359" t="s">
        <v>7</v>
      </c>
    </row>
    <row r="1360" spans="1:4">
      <c r="A1360" t="s">
        <v>6</v>
      </c>
      <c r="B1360">
        <v>25</v>
      </c>
      <c r="C1360" t="str">
        <f>CHOOSE(MATCH(B1360, {20,25,30,35,40,45,50,55,60,65,70,75,80,85}, 1), "20-24", "25-29", "30-34", "35-39", "40-44", "45-49", "50-54", "55-59", "60-64", "65-69", "70-74", "75-79", "80-84", "85+")</f>
        <v>25-29</v>
      </c>
      <c r="D1360" t="s">
        <v>8</v>
      </c>
    </row>
    <row r="1361" spans="1:4">
      <c r="A1361" t="s">
        <v>6</v>
      </c>
      <c r="B1361">
        <v>36</v>
      </c>
      <c r="C1361" t="str">
        <f>CHOOSE(MATCH(B1361, {20,25,30,35,40,45,50,55,60,65,70,75,80,85}, 1), "20-24", "25-29", "30-34", "35-39", "40-44", "45-49", "50-54", "55-59", "60-64", "65-69", "70-74", "75-79", "80-84", "85+")</f>
        <v>35-39</v>
      </c>
      <c r="D1361" t="s">
        <v>8</v>
      </c>
    </row>
    <row r="1362" spans="1:4">
      <c r="A1362" t="s">
        <v>6</v>
      </c>
      <c r="B1362">
        <v>25</v>
      </c>
      <c r="C1362" t="str">
        <f>CHOOSE(MATCH(B1362, {20,25,30,35,40,45,50,55,60,65,70,75,80,85}, 1), "20-24", "25-29", "30-34", "35-39", "40-44", "45-49", "50-54", "55-59", "60-64", "65-69", "70-74", "75-79", "80-84", "85+")</f>
        <v>25-29</v>
      </c>
      <c r="D1362" t="s">
        <v>7</v>
      </c>
    </row>
    <row r="1363" spans="1:4">
      <c r="A1363" t="s">
        <v>6</v>
      </c>
      <c r="B1363">
        <v>33</v>
      </c>
      <c r="C1363" t="str">
        <f>CHOOSE(MATCH(B1363, {20,25,30,35,40,45,50,55,60,65,70,75,80,85}, 1), "20-24", "25-29", "30-34", "35-39", "40-44", "45-49", "50-54", "55-59", "60-64", "65-69", "70-74", "75-79", "80-84", "85+")</f>
        <v>30-34</v>
      </c>
      <c r="D1363" t="s">
        <v>8</v>
      </c>
    </row>
    <row r="1364" spans="1:4">
      <c r="A1364" t="s">
        <v>6</v>
      </c>
      <c r="B1364">
        <v>41</v>
      </c>
      <c r="C1364" t="str">
        <f>CHOOSE(MATCH(B1364, {20,25,30,35,40,45,50,55,60,65,70,75,80,85}, 1), "20-24", "25-29", "30-34", "35-39", "40-44", "45-49", "50-54", "55-59", "60-64", "65-69", "70-74", "75-79", "80-84", "85+")</f>
        <v>40-44</v>
      </c>
      <c r="D1364" t="s">
        <v>8</v>
      </c>
    </row>
    <row r="1365" spans="1:4">
      <c r="A1365" t="s">
        <v>6</v>
      </c>
      <c r="B1365">
        <v>67</v>
      </c>
      <c r="C1365" t="str">
        <f>CHOOSE(MATCH(B1365, {20,25,30,35,40,45,50,55,60,65,70,75,80,85}, 1), "20-24", "25-29", "30-34", "35-39", "40-44", "45-49", "50-54", "55-59", "60-64", "65-69", "70-74", "75-79", "80-84", "85+")</f>
        <v>65-69</v>
      </c>
      <c r="D1365" t="s">
        <v>7</v>
      </c>
    </row>
    <row r="1366" spans="1:4">
      <c r="A1366" t="s">
        <v>6</v>
      </c>
      <c r="B1366">
        <v>71</v>
      </c>
      <c r="C1366" t="str">
        <f>CHOOSE(MATCH(B1366, {20,25,30,35,40,45,50,55,60,65,70,75,80,85}, 1), "20-24", "25-29", "30-34", "35-39", "40-44", "45-49", "50-54", "55-59", "60-64", "65-69", "70-74", "75-79", "80-84", "85+")</f>
        <v>70-74</v>
      </c>
      <c r="D1366" t="s">
        <v>7</v>
      </c>
    </row>
    <row r="1367" spans="1:4">
      <c r="A1367" t="s">
        <v>6</v>
      </c>
      <c r="B1367">
        <v>31</v>
      </c>
      <c r="C1367" t="str">
        <f>CHOOSE(MATCH(B1367, {20,25,30,35,40,45,50,55,60,65,70,75,80,85}, 1), "20-24", "25-29", "30-34", "35-39", "40-44", "45-49", "50-54", "55-59", "60-64", "65-69", "70-74", "75-79", "80-84", "85+")</f>
        <v>30-34</v>
      </c>
      <c r="D1367" t="s">
        <v>8</v>
      </c>
    </row>
    <row r="1368" spans="1:4">
      <c r="A1368" t="s">
        <v>6</v>
      </c>
      <c r="B1368">
        <v>50</v>
      </c>
      <c r="C1368" t="str">
        <f>CHOOSE(MATCH(B1368, {20,25,30,35,40,45,50,55,60,65,70,75,80,85}, 1), "20-24", "25-29", "30-34", "35-39", "40-44", "45-49", "50-54", "55-59", "60-64", "65-69", "70-74", "75-79", "80-84", "85+")</f>
        <v>50-54</v>
      </c>
      <c r="D1368" t="s">
        <v>8</v>
      </c>
    </row>
    <row r="1369" spans="1:4">
      <c r="A1369" t="s">
        <v>6</v>
      </c>
      <c r="B1369">
        <v>78</v>
      </c>
      <c r="C1369" t="str">
        <f>CHOOSE(MATCH(B1369, {20,25,30,35,40,45,50,55,60,65,70,75,80,85}, 1), "20-24", "25-29", "30-34", "35-39", "40-44", "45-49", "50-54", "55-59", "60-64", "65-69", "70-74", "75-79", "80-84", "85+")</f>
        <v>75-79</v>
      </c>
      <c r="D1369" t="s">
        <v>7</v>
      </c>
    </row>
    <row r="1370" spans="1:4">
      <c r="A1370" t="s">
        <v>6</v>
      </c>
      <c r="B1370">
        <v>28</v>
      </c>
      <c r="C1370" t="str">
        <f>CHOOSE(MATCH(B1370, {20,25,30,35,40,45,50,55,60,65,70,75,80,85}, 1), "20-24", "25-29", "30-34", "35-39", "40-44", "45-49", "50-54", "55-59", "60-64", "65-69", "70-74", "75-79", "80-84", "85+")</f>
        <v>25-29</v>
      </c>
      <c r="D1370" t="s">
        <v>7</v>
      </c>
    </row>
    <row r="1371" spans="1:4">
      <c r="A1371" t="s">
        <v>6</v>
      </c>
      <c r="B1371">
        <v>44</v>
      </c>
      <c r="C1371" t="str">
        <f>CHOOSE(MATCH(B1371, {20,25,30,35,40,45,50,55,60,65,70,75,80,85}, 1), "20-24", "25-29", "30-34", "35-39", "40-44", "45-49", "50-54", "55-59", "60-64", "65-69", "70-74", "75-79", "80-84", "85+")</f>
        <v>40-44</v>
      </c>
      <c r="D1371" t="s">
        <v>8</v>
      </c>
    </row>
    <row r="1372" spans="1:4">
      <c r="A1372" t="s">
        <v>6</v>
      </c>
      <c r="B1372">
        <v>56</v>
      </c>
      <c r="C1372" t="str">
        <f>CHOOSE(MATCH(B1372, {20,25,30,35,40,45,50,55,60,65,70,75,80,85}, 1), "20-24", "25-29", "30-34", "35-39", "40-44", "45-49", "50-54", "55-59", "60-64", "65-69", "70-74", "75-79", "80-84", "85+")</f>
        <v>55-59</v>
      </c>
      <c r="D1372" t="s">
        <v>7</v>
      </c>
    </row>
    <row r="1373" spans="1:4">
      <c r="A1373" t="s">
        <v>6</v>
      </c>
      <c r="B1373">
        <v>34</v>
      </c>
      <c r="C1373" t="str">
        <f>CHOOSE(MATCH(B1373, {20,25,30,35,40,45,50,55,60,65,70,75,80,85}, 1), "20-24", "25-29", "30-34", "35-39", "40-44", "45-49", "50-54", "55-59", "60-64", "65-69", "70-74", "75-79", "80-84", "85+")</f>
        <v>30-34</v>
      </c>
      <c r="D1373" t="s">
        <v>7</v>
      </c>
    </row>
    <row r="1374" spans="1:4">
      <c r="A1374" t="s">
        <v>6</v>
      </c>
      <c r="B1374">
        <v>39</v>
      </c>
      <c r="C1374" t="str">
        <f>CHOOSE(MATCH(B1374, {20,25,30,35,40,45,50,55,60,65,70,75,80,85}, 1), "20-24", "25-29", "30-34", "35-39", "40-44", "45-49", "50-54", "55-59", "60-64", "65-69", "70-74", "75-79", "80-84", "85+")</f>
        <v>35-39</v>
      </c>
      <c r="D1374" t="s">
        <v>8</v>
      </c>
    </row>
    <row r="1375" spans="1:4">
      <c r="A1375" t="s">
        <v>6</v>
      </c>
      <c r="B1375">
        <v>48</v>
      </c>
      <c r="C1375" t="str">
        <f>CHOOSE(MATCH(B1375, {20,25,30,35,40,45,50,55,60,65,70,75,80,85}, 1), "20-24", "25-29", "30-34", "35-39", "40-44", "45-49", "50-54", "55-59", "60-64", "65-69", "70-74", "75-79", "80-84", "85+")</f>
        <v>45-49</v>
      </c>
      <c r="D1375" t="s">
        <v>7</v>
      </c>
    </row>
    <row r="1376" spans="1:4">
      <c r="A1376" t="s">
        <v>6</v>
      </c>
      <c r="B1376">
        <v>30</v>
      </c>
      <c r="C1376" t="str">
        <f>CHOOSE(MATCH(B1376, {20,25,30,35,40,45,50,55,60,65,70,75,80,85}, 1), "20-24", "25-29", "30-34", "35-39", "40-44", "45-49", "50-54", "55-59", "60-64", "65-69", "70-74", "75-79", "80-84", "85+")</f>
        <v>30-34</v>
      </c>
      <c r="D1376" t="s">
        <v>7</v>
      </c>
    </row>
    <row r="1377" spans="1:4">
      <c r="A1377" t="s">
        <v>6</v>
      </c>
      <c r="B1377">
        <v>28</v>
      </c>
      <c r="C1377" t="str">
        <f>CHOOSE(MATCH(B1377, {20,25,30,35,40,45,50,55,60,65,70,75,80,85}, 1), "20-24", "25-29", "30-34", "35-39", "40-44", "45-49", "50-54", "55-59", "60-64", "65-69", "70-74", "75-79", "80-84", "85+")</f>
        <v>25-29</v>
      </c>
      <c r="D1377" t="s">
        <v>7</v>
      </c>
    </row>
    <row r="1378" spans="1:4">
      <c r="A1378" t="s">
        <v>6</v>
      </c>
      <c r="B1378">
        <v>31</v>
      </c>
      <c r="C1378" t="str">
        <f>CHOOSE(MATCH(B1378, {20,25,30,35,40,45,50,55,60,65,70,75,80,85}, 1), "20-24", "25-29", "30-34", "35-39", "40-44", "45-49", "50-54", "55-59", "60-64", "65-69", "70-74", "75-79", "80-84", "85+")</f>
        <v>30-34</v>
      </c>
      <c r="D1378" t="s">
        <v>7</v>
      </c>
    </row>
    <row r="1379" spans="1:4">
      <c r="A1379" t="s">
        <v>6</v>
      </c>
      <c r="B1379">
        <v>74</v>
      </c>
      <c r="C1379" t="str">
        <f>CHOOSE(MATCH(B1379, {20,25,30,35,40,45,50,55,60,65,70,75,80,85}, 1), "20-24", "25-29", "30-34", "35-39", "40-44", "45-49", "50-54", "55-59", "60-64", "65-69", "70-74", "75-79", "80-84", "85+")</f>
        <v>70-74</v>
      </c>
      <c r="D1379" t="s">
        <v>7</v>
      </c>
    </row>
    <row r="1380" spans="1:4">
      <c r="A1380" t="s">
        <v>6</v>
      </c>
      <c r="B1380">
        <v>35</v>
      </c>
      <c r="C1380" t="str">
        <f>CHOOSE(MATCH(B1380, {20,25,30,35,40,45,50,55,60,65,70,75,80,85}, 1), "20-24", "25-29", "30-34", "35-39", "40-44", "45-49", "50-54", "55-59", "60-64", "65-69", "70-74", "75-79", "80-84", "85+")</f>
        <v>35-39</v>
      </c>
      <c r="D1380" t="s">
        <v>7</v>
      </c>
    </row>
    <row r="1381" spans="1:4">
      <c r="A1381" t="s">
        <v>6</v>
      </c>
      <c r="B1381">
        <v>30</v>
      </c>
      <c r="C1381" t="str">
        <f>CHOOSE(MATCH(B1381, {20,25,30,35,40,45,50,55,60,65,70,75,80,85}, 1), "20-24", "25-29", "30-34", "35-39", "40-44", "45-49", "50-54", "55-59", "60-64", "65-69", "70-74", "75-79", "80-84", "85+")</f>
        <v>30-34</v>
      </c>
      <c r="D1381" t="s">
        <v>7</v>
      </c>
    </row>
    <row r="1382" spans="1:4">
      <c r="A1382" t="s">
        <v>6</v>
      </c>
      <c r="B1382">
        <v>54</v>
      </c>
      <c r="C1382" t="str">
        <f>CHOOSE(MATCH(B1382, {20,25,30,35,40,45,50,55,60,65,70,75,80,85}, 1), "20-24", "25-29", "30-34", "35-39", "40-44", "45-49", "50-54", "55-59", "60-64", "65-69", "70-74", "75-79", "80-84", "85+")</f>
        <v>50-54</v>
      </c>
      <c r="D1382" t="s">
        <v>8</v>
      </c>
    </row>
    <row r="1383" spans="1:4">
      <c r="A1383" t="s">
        <v>6</v>
      </c>
      <c r="B1383">
        <v>36</v>
      </c>
      <c r="C1383" t="str">
        <f>CHOOSE(MATCH(B1383, {20,25,30,35,40,45,50,55,60,65,70,75,80,85}, 1), "20-24", "25-29", "30-34", "35-39", "40-44", "45-49", "50-54", "55-59", "60-64", "65-69", "70-74", "75-79", "80-84", "85+")</f>
        <v>35-39</v>
      </c>
      <c r="D1383" t="s">
        <v>7</v>
      </c>
    </row>
    <row r="1384" spans="1:4">
      <c r="A1384" t="s">
        <v>6</v>
      </c>
      <c r="B1384">
        <v>27</v>
      </c>
      <c r="C1384" t="str">
        <f>CHOOSE(MATCH(B1384, {20,25,30,35,40,45,50,55,60,65,70,75,80,85}, 1), "20-24", "25-29", "30-34", "35-39", "40-44", "45-49", "50-54", "55-59", "60-64", "65-69", "70-74", "75-79", "80-84", "85+")</f>
        <v>25-29</v>
      </c>
      <c r="D1384" t="s">
        <v>8</v>
      </c>
    </row>
    <row r="1385" spans="1:4">
      <c r="A1385" t="s">
        <v>6</v>
      </c>
      <c r="B1385">
        <v>48</v>
      </c>
      <c r="C1385" t="str">
        <f>CHOOSE(MATCH(B1385, {20,25,30,35,40,45,50,55,60,65,70,75,80,85}, 1), "20-24", "25-29", "30-34", "35-39", "40-44", "45-49", "50-54", "55-59", "60-64", "65-69", "70-74", "75-79", "80-84", "85+")</f>
        <v>45-49</v>
      </c>
      <c r="D1385" t="s">
        <v>8</v>
      </c>
    </row>
    <row r="1386" spans="1:4">
      <c r="A1386" t="s">
        <v>6</v>
      </c>
      <c r="B1386">
        <v>48</v>
      </c>
      <c r="C1386" t="str">
        <f>CHOOSE(MATCH(B1386, {20,25,30,35,40,45,50,55,60,65,70,75,80,85}, 1), "20-24", "25-29", "30-34", "35-39", "40-44", "45-49", "50-54", "55-59", "60-64", "65-69", "70-74", "75-79", "80-84", "85+")</f>
        <v>45-49</v>
      </c>
      <c r="D1386" t="s">
        <v>8</v>
      </c>
    </row>
    <row r="1387" spans="1:4">
      <c r="A1387" t="s">
        <v>6</v>
      </c>
      <c r="B1387">
        <v>59</v>
      </c>
      <c r="C1387" t="str">
        <f>CHOOSE(MATCH(B1387, {20,25,30,35,40,45,50,55,60,65,70,75,80,85}, 1), "20-24", "25-29", "30-34", "35-39", "40-44", "45-49", "50-54", "55-59", "60-64", "65-69", "70-74", "75-79", "80-84", "85+")</f>
        <v>55-59</v>
      </c>
      <c r="D1387" t="s">
        <v>8</v>
      </c>
    </row>
    <row r="1388" spans="1:4">
      <c r="A1388" t="s">
        <v>6</v>
      </c>
      <c r="B1388">
        <v>46</v>
      </c>
      <c r="C1388" t="str">
        <f>CHOOSE(MATCH(B1388, {20,25,30,35,40,45,50,55,60,65,70,75,80,85}, 1), "20-24", "25-29", "30-34", "35-39", "40-44", "45-49", "50-54", "55-59", "60-64", "65-69", "70-74", "75-79", "80-84", "85+")</f>
        <v>45-49</v>
      </c>
      <c r="D1388" t="s">
        <v>7</v>
      </c>
    </row>
    <row r="1389" spans="1:4">
      <c r="A1389" t="s">
        <v>6</v>
      </c>
      <c r="B1389">
        <v>63</v>
      </c>
      <c r="C1389" t="str">
        <f>CHOOSE(MATCH(B1389, {20,25,30,35,40,45,50,55,60,65,70,75,80,85}, 1), "20-24", "25-29", "30-34", "35-39", "40-44", "45-49", "50-54", "55-59", "60-64", "65-69", "70-74", "75-79", "80-84", "85+")</f>
        <v>60-64</v>
      </c>
      <c r="D1389" t="s">
        <v>7</v>
      </c>
    </row>
    <row r="1390" spans="1:4">
      <c r="A1390" t="s">
        <v>6</v>
      </c>
      <c r="B1390">
        <v>36</v>
      </c>
      <c r="C1390" t="str">
        <f>CHOOSE(MATCH(B1390, {20,25,30,35,40,45,50,55,60,65,70,75,80,85}, 1), "20-24", "25-29", "30-34", "35-39", "40-44", "45-49", "50-54", "55-59", "60-64", "65-69", "70-74", "75-79", "80-84", "85+")</f>
        <v>35-39</v>
      </c>
      <c r="D1390" t="s">
        <v>8</v>
      </c>
    </row>
    <row r="1391" spans="1:4">
      <c r="A1391" t="s">
        <v>6</v>
      </c>
      <c r="B1391">
        <v>31</v>
      </c>
      <c r="C1391" t="str">
        <f>CHOOSE(MATCH(B1391, {20,25,30,35,40,45,50,55,60,65,70,75,80,85}, 1), "20-24", "25-29", "30-34", "35-39", "40-44", "45-49", "50-54", "55-59", "60-64", "65-69", "70-74", "75-79", "80-84", "85+")</f>
        <v>30-34</v>
      </c>
      <c r="D1391" t="s">
        <v>8</v>
      </c>
    </row>
    <row r="1392" spans="1:4">
      <c r="A1392" t="s">
        <v>6</v>
      </c>
      <c r="B1392">
        <v>22</v>
      </c>
      <c r="C1392" t="str">
        <f>CHOOSE(MATCH(B1392, {20,25,30,35,40,45,50,55,60,65,70,75,80,85}, 1), "20-24", "25-29", "30-34", "35-39", "40-44", "45-49", "50-54", "55-59", "60-64", "65-69", "70-74", "75-79", "80-84", "85+")</f>
        <v>20-24</v>
      </c>
      <c r="D1392" t="s">
        <v>7</v>
      </c>
    </row>
    <row r="1393" spans="1:4">
      <c r="A1393" t="s">
        <v>6</v>
      </c>
      <c r="B1393">
        <v>28</v>
      </c>
      <c r="C1393" t="str">
        <f>CHOOSE(MATCH(B1393, {20,25,30,35,40,45,50,55,60,65,70,75,80,85}, 1), "20-24", "25-29", "30-34", "35-39", "40-44", "45-49", "50-54", "55-59", "60-64", "65-69", "70-74", "75-79", "80-84", "85+")</f>
        <v>25-29</v>
      </c>
      <c r="D1393" t="s">
        <v>7</v>
      </c>
    </row>
    <row r="1394" spans="1:4">
      <c r="A1394" t="s">
        <v>6</v>
      </c>
      <c r="B1394">
        <v>41</v>
      </c>
      <c r="C1394" t="str">
        <f>CHOOSE(MATCH(B1394, {20,25,30,35,40,45,50,55,60,65,70,75,80,85}, 1), "20-24", "25-29", "30-34", "35-39", "40-44", "45-49", "50-54", "55-59", "60-64", "65-69", "70-74", "75-79", "80-84", "85+")</f>
        <v>40-44</v>
      </c>
      <c r="D1394" t="s">
        <v>8</v>
      </c>
    </row>
    <row r="1395" spans="1:4">
      <c r="A1395" t="s">
        <v>6</v>
      </c>
      <c r="B1395">
        <v>41</v>
      </c>
      <c r="C1395" t="str">
        <f>CHOOSE(MATCH(B1395, {20,25,30,35,40,45,50,55,60,65,70,75,80,85}, 1), "20-24", "25-29", "30-34", "35-39", "40-44", "45-49", "50-54", "55-59", "60-64", "65-69", "70-74", "75-79", "80-84", "85+")</f>
        <v>40-44</v>
      </c>
      <c r="D1395" t="s">
        <v>8</v>
      </c>
    </row>
    <row r="1396" spans="1:4">
      <c r="A1396" t="s">
        <v>6</v>
      </c>
      <c r="B1396">
        <v>49</v>
      </c>
      <c r="C1396" t="str">
        <f>CHOOSE(MATCH(B1396, {20,25,30,35,40,45,50,55,60,65,70,75,80,85}, 1), "20-24", "25-29", "30-34", "35-39", "40-44", "45-49", "50-54", "55-59", "60-64", "65-69", "70-74", "75-79", "80-84", "85+")</f>
        <v>45-49</v>
      </c>
      <c r="D1396" t="s">
        <v>7</v>
      </c>
    </row>
    <row r="1397" spans="1:4">
      <c r="A1397" t="s">
        <v>6</v>
      </c>
      <c r="B1397">
        <v>36</v>
      </c>
      <c r="C1397" t="str">
        <f>CHOOSE(MATCH(B1397, {20,25,30,35,40,45,50,55,60,65,70,75,80,85}, 1), "20-24", "25-29", "30-34", "35-39", "40-44", "45-49", "50-54", "55-59", "60-64", "65-69", "70-74", "75-79", "80-84", "85+")</f>
        <v>35-39</v>
      </c>
      <c r="D1397" t="s">
        <v>7</v>
      </c>
    </row>
    <row r="1398" spans="1:4">
      <c r="A1398" t="s">
        <v>6</v>
      </c>
      <c r="B1398">
        <v>27</v>
      </c>
      <c r="C1398" t="str">
        <f>CHOOSE(MATCH(B1398, {20,25,30,35,40,45,50,55,60,65,70,75,80,85}, 1), "20-24", "25-29", "30-34", "35-39", "40-44", "45-49", "50-54", "55-59", "60-64", "65-69", "70-74", "75-79", "80-84", "85+")</f>
        <v>25-29</v>
      </c>
      <c r="D1398" t="s">
        <v>8</v>
      </c>
    </row>
    <row r="1399" spans="1:4">
      <c r="A1399" t="s">
        <v>6</v>
      </c>
      <c r="B1399">
        <v>24</v>
      </c>
      <c r="C1399" t="str">
        <f>CHOOSE(MATCH(B1399, {20,25,30,35,40,45,50,55,60,65,70,75,80,85}, 1), "20-24", "25-29", "30-34", "35-39", "40-44", "45-49", "50-54", "55-59", "60-64", "65-69", "70-74", "75-79", "80-84", "85+")</f>
        <v>20-24</v>
      </c>
      <c r="D1399" t="s">
        <v>7</v>
      </c>
    </row>
    <row r="1400" spans="1:4">
      <c r="A1400" t="s">
        <v>6</v>
      </c>
      <c r="B1400">
        <v>61</v>
      </c>
      <c r="C1400" t="str">
        <f>CHOOSE(MATCH(B1400, {20,25,30,35,40,45,50,55,60,65,70,75,80,85}, 1), "20-24", "25-29", "30-34", "35-39", "40-44", "45-49", "50-54", "55-59", "60-64", "65-69", "70-74", "75-79", "80-84", "85+")</f>
        <v>60-64</v>
      </c>
      <c r="D1400" t="s">
        <v>8</v>
      </c>
    </row>
    <row r="1401" spans="1:4">
      <c r="A1401" t="s">
        <v>6</v>
      </c>
      <c r="B1401">
        <v>21</v>
      </c>
      <c r="C1401" t="str">
        <f>CHOOSE(MATCH(B1401, {20,25,30,35,40,45,50,55,60,65,70,75,80,85}, 1), "20-24", "25-29", "30-34", "35-39", "40-44", "45-49", "50-54", "55-59", "60-64", "65-69", "70-74", "75-79", "80-84", "85+")</f>
        <v>20-24</v>
      </c>
      <c r="D1401" t="s">
        <v>8</v>
      </c>
    </row>
    <row r="1402" spans="1:4">
      <c r="A1402" t="s">
        <v>6</v>
      </c>
      <c r="B1402">
        <v>81</v>
      </c>
      <c r="C1402" t="str">
        <f>CHOOSE(MATCH(B1402, {20,25,30,35,40,45,50,55,60,65,70,75,80,85}, 1), "20-24", "25-29", "30-34", "35-39", "40-44", "45-49", "50-54", "55-59", "60-64", "65-69", "70-74", "75-79", "80-84", "85+")</f>
        <v>80-84</v>
      </c>
      <c r="D1402" t="s">
        <v>7</v>
      </c>
    </row>
    <row r="1403" spans="1:4">
      <c r="A1403" t="s">
        <v>6</v>
      </c>
      <c r="B1403">
        <v>64</v>
      </c>
      <c r="C1403" t="str">
        <f>CHOOSE(MATCH(B1403, {20,25,30,35,40,45,50,55,60,65,70,75,80,85}, 1), "20-24", "25-29", "30-34", "35-39", "40-44", "45-49", "50-54", "55-59", "60-64", "65-69", "70-74", "75-79", "80-84", "85+")</f>
        <v>60-64</v>
      </c>
      <c r="D1403" t="s">
        <v>7</v>
      </c>
    </row>
    <row r="1404" spans="1:4">
      <c r="A1404" t="s">
        <v>6</v>
      </c>
      <c r="B1404">
        <v>52</v>
      </c>
      <c r="C1404" t="str">
        <f>CHOOSE(MATCH(B1404, {20,25,30,35,40,45,50,55,60,65,70,75,80,85}, 1), "20-24", "25-29", "30-34", "35-39", "40-44", "45-49", "50-54", "55-59", "60-64", "65-69", "70-74", "75-79", "80-84", "85+")</f>
        <v>50-54</v>
      </c>
      <c r="D1404" t="s">
        <v>8</v>
      </c>
    </row>
    <row r="1405" spans="1:4">
      <c r="A1405" t="s">
        <v>6</v>
      </c>
      <c r="B1405">
        <v>28</v>
      </c>
      <c r="C1405" t="str">
        <f>CHOOSE(MATCH(B1405, {20,25,30,35,40,45,50,55,60,65,70,75,80,85}, 1), "20-24", "25-29", "30-34", "35-39", "40-44", "45-49", "50-54", "55-59", "60-64", "65-69", "70-74", "75-79", "80-84", "85+")</f>
        <v>25-29</v>
      </c>
      <c r="D1405" t="s">
        <v>8</v>
      </c>
    </row>
    <row r="1406" spans="1:4">
      <c r="A1406" t="s">
        <v>6</v>
      </c>
      <c r="B1406">
        <v>48</v>
      </c>
      <c r="C1406" t="str">
        <f>CHOOSE(MATCH(B1406, {20,25,30,35,40,45,50,55,60,65,70,75,80,85}, 1), "20-24", "25-29", "30-34", "35-39", "40-44", "45-49", "50-54", "55-59", "60-64", "65-69", "70-74", "75-79", "80-84", "85+")</f>
        <v>45-49</v>
      </c>
      <c r="D1406" t="s">
        <v>7</v>
      </c>
    </row>
    <row r="1407" spans="1:4">
      <c r="A1407" t="s">
        <v>6</v>
      </c>
      <c r="B1407">
        <v>31</v>
      </c>
      <c r="C1407" t="str">
        <f>CHOOSE(MATCH(B1407, {20,25,30,35,40,45,50,55,60,65,70,75,80,85}, 1), "20-24", "25-29", "30-34", "35-39", "40-44", "45-49", "50-54", "55-59", "60-64", "65-69", "70-74", "75-79", "80-84", "85+")</f>
        <v>30-34</v>
      </c>
      <c r="D1407" t="s">
        <v>8</v>
      </c>
    </row>
    <row r="1408" spans="1:4">
      <c r="A1408" t="s">
        <v>6</v>
      </c>
      <c r="B1408">
        <v>39</v>
      </c>
      <c r="C1408" t="str">
        <f>CHOOSE(MATCH(B1408, {20,25,30,35,40,45,50,55,60,65,70,75,80,85}, 1), "20-24", "25-29", "30-34", "35-39", "40-44", "45-49", "50-54", "55-59", "60-64", "65-69", "70-74", "75-79", "80-84", "85+")</f>
        <v>35-39</v>
      </c>
      <c r="D1408" t="s">
        <v>7</v>
      </c>
    </row>
    <row r="1409" spans="1:4">
      <c r="A1409" t="s">
        <v>6</v>
      </c>
      <c r="B1409">
        <v>39</v>
      </c>
      <c r="C1409" t="str">
        <f>CHOOSE(MATCH(B1409, {20,25,30,35,40,45,50,55,60,65,70,75,80,85}, 1), "20-24", "25-29", "30-34", "35-39", "40-44", "45-49", "50-54", "55-59", "60-64", "65-69", "70-74", "75-79", "80-84", "85+")</f>
        <v>35-39</v>
      </c>
      <c r="D1409" t="s">
        <v>8</v>
      </c>
    </row>
    <row r="1410" spans="1:4">
      <c r="A1410" t="s">
        <v>6</v>
      </c>
      <c r="B1410">
        <v>33</v>
      </c>
      <c r="C1410" t="str">
        <f>CHOOSE(MATCH(B1410, {20,25,30,35,40,45,50,55,60,65,70,75,80,85}, 1), "20-24", "25-29", "30-34", "35-39", "40-44", "45-49", "50-54", "55-59", "60-64", "65-69", "70-74", "75-79", "80-84", "85+")</f>
        <v>30-34</v>
      </c>
      <c r="D1410" t="s">
        <v>7</v>
      </c>
    </row>
    <row r="1411" spans="1:4">
      <c r="A1411" t="s">
        <v>6</v>
      </c>
      <c r="B1411">
        <v>36</v>
      </c>
      <c r="C1411" t="str">
        <f>CHOOSE(MATCH(B1411, {20,25,30,35,40,45,50,55,60,65,70,75,80,85}, 1), "20-24", "25-29", "30-34", "35-39", "40-44", "45-49", "50-54", "55-59", "60-64", "65-69", "70-74", "75-79", "80-84", "85+")</f>
        <v>35-39</v>
      </c>
      <c r="D1411" t="s">
        <v>7</v>
      </c>
    </row>
    <row r="1412" spans="1:4">
      <c r="A1412" t="s">
        <v>6</v>
      </c>
      <c r="B1412">
        <v>41</v>
      </c>
      <c r="C1412" t="str">
        <f>CHOOSE(MATCH(B1412, {20,25,30,35,40,45,50,55,60,65,70,75,80,85}, 1), "20-24", "25-29", "30-34", "35-39", "40-44", "45-49", "50-54", "55-59", "60-64", "65-69", "70-74", "75-79", "80-84", "85+")</f>
        <v>40-44</v>
      </c>
      <c r="D1412" t="s">
        <v>7</v>
      </c>
    </row>
    <row r="1413" spans="1:4">
      <c r="A1413" t="s">
        <v>6</v>
      </c>
      <c r="B1413">
        <v>37</v>
      </c>
      <c r="C1413" t="str">
        <f>CHOOSE(MATCH(B1413, {20,25,30,35,40,45,50,55,60,65,70,75,80,85}, 1), "20-24", "25-29", "30-34", "35-39", "40-44", "45-49", "50-54", "55-59", "60-64", "65-69", "70-74", "75-79", "80-84", "85+")</f>
        <v>35-39</v>
      </c>
      <c r="D1413" t="s">
        <v>7</v>
      </c>
    </row>
    <row r="1414" spans="1:4">
      <c r="A1414" t="s">
        <v>6</v>
      </c>
      <c r="B1414">
        <v>30</v>
      </c>
      <c r="C1414" t="str">
        <f>CHOOSE(MATCH(B1414, {20,25,30,35,40,45,50,55,60,65,70,75,80,85}, 1), "20-24", "25-29", "30-34", "35-39", "40-44", "45-49", "50-54", "55-59", "60-64", "65-69", "70-74", "75-79", "80-84", "85+")</f>
        <v>30-34</v>
      </c>
      <c r="D1414" t="s">
        <v>8</v>
      </c>
    </row>
    <row r="1415" spans="1:4">
      <c r="A1415" t="s">
        <v>6</v>
      </c>
      <c r="B1415">
        <v>62</v>
      </c>
      <c r="C1415" t="str">
        <f>CHOOSE(MATCH(B1415, {20,25,30,35,40,45,50,55,60,65,70,75,80,85}, 1), "20-24", "25-29", "30-34", "35-39", "40-44", "45-49", "50-54", "55-59", "60-64", "65-69", "70-74", "75-79", "80-84", "85+")</f>
        <v>60-64</v>
      </c>
      <c r="D1415" t="s">
        <v>7</v>
      </c>
    </row>
    <row r="1416" spans="1:4">
      <c r="A1416" t="s">
        <v>6</v>
      </c>
      <c r="B1416">
        <v>23</v>
      </c>
      <c r="C1416" t="str">
        <f>CHOOSE(MATCH(B1416, {20,25,30,35,40,45,50,55,60,65,70,75,80,85}, 1), "20-24", "25-29", "30-34", "35-39", "40-44", "45-49", "50-54", "55-59", "60-64", "65-69", "70-74", "75-79", "80-84", "85+")</f>
        <v>20-24</v>
      </c>
      <c r="D1416" t="s">
        <v>7</v>
      </c>
    </row>
    <row r="1417" spans="1:4">
      <c r="A1417" t="s">
        <v>6</v>
      </c>
      <c r="B1417">
        <v>30</v>
      </c>
      <c r="C1417" t="str">
        <f>CHOOSE(MATCH(B1417, {20,25,30,35,40,45,50,55,60,65,70,75,80,85}, 1), "20-24", "25-29", "30-34", "35-39", "40-44", "45-49", "50-54", "55-59", "60-64", "65-69", "70-74", "75-79", "80-84", "85+")</f>
        <v>30-34</v>
      </c>
      <c r="D1417" t="s">
        <v>7</v>
      </c>
    </row>
    <row r="1418" spans="1:4">
      <c r="A1418" t="s">
        <v>6</v>
      </c>
      <c r="B1418">
        <v>25</v>
      </c>
      <c r="C1418" t="str">
        <f>CHOOSE(MATCH(B1418, {20,25,30,35,40,45,50,55,60,65,70,75,80,85}, 1), "20-24", "25-29", "30-34", "35-39", "40-44", "45-49", "50-54", "55-59", "60-64", "65-69", "70-74", "75-79", "80-84", "85+")</f>
        <v>25-29</v>
      </c>
      <c r="D1418" t="s">
        <v>7</v>
      </c>
    </row>
    <row r="1419" spans="1:4">
      <c r="A1419" t="s">
        <v>6</v>
      </c>
      <c r="B1419">
        <v>86</v>
      </c>
      <c r="C1419" t="str">
        <f>CHOOSE(MATCH(B1419, {20,25,30,35,40,45,50,55,60,65,70,75,80,85}, 1), "20-24", "25-29", "30-34", "35-39", "40-44", "45-49", "50-54", "55-59", "60-64", "65-69", "70-74", "75-79", "80-84", "85+")</f>
        <v>85+</v>
      </c>
      <c r="D1419" t="s">
        <v>7</v>
      </c>
    </row>
    <row r="1420" spans="1:4">
      <c r="A1420" t="s">
        <v>6</v>
      </c>
      <c r="B1420">
        <v>32</v>
      </c>
      <c r="C1420" t="str">
        <f>CHOOSE(MATCH(B1420, {20,25,30,35,40,45,50,55,60,65,70,75,80,85}, 1), "20-24", "25-29", "30-34", "35-39", "40-44", "45-49", "50-54", "55-59", "60-64", "65-69", "70-74", "75-79", "80-84", "85+")</f>
        <v>30-34</v>
      </c>
      <c r="D1420" t="s">
        <v>8</v>
      </c>
    </row>
    <row r="1421" spans="1:4">
      <c r="A1421" t="s">
        <v>6</v>
      </c>
      <c r="B1421">
        <v>58</v>
      </c>
      <c r="C1421" t="str">
        <f>CHOOSE(MATCH(B1421, {20,25,30,35,40,45,50,55,60,65,70,75,80,85}, 1), "20-24", "25-29", "30-34", "35-39", "40-44", "45-49", "50-54", "55-59", "60-64", "65-69", "70-74", "75-79", "80-84", "85+")</f>
        <v>55-59</v>
      </c>
      <c r="D1421" t="s">
        <v>7</v>
      </c>
    </row>
    <row r="1422" spans="1:4">
      <c r="A1422" t="s">
        <v>6</v>
      </c>
      <c r="B1422">
        <v>56</v>
      </c>
      <c r="C1422" t="str">
        <f>CHOOSE(MATCH(B1422, {20,25,30,35,40,45,50,55,60,65,70,75,80,85}, 1), "20-24", "25-29", "30-34", "35-39", "40-44", "45-49", "50-54", "55-59", "60-64", "65-69", "70-74", "75-79", "80-84", "85+")</f>
        <v>55-59</v>
      </c>
      <c r="D1422" t="s">
        <v>8</v>
      </c>
    </row>
    <row r="1423" spans="1:4">
      <c r="A1423" t="s">
        <v>6</v>
      </c>
      <c r="B1423">
        <v>29</v>
      </c>
      <c r="C1423" t="str">
        <f>CHOOSE(MATCH(B1423, {20,25,30,35,40,45,50,55,60,65,70,75,80,85}, 1), "20-24", "25-29", "30-34", "35-39", "40-44", "45-49", "50-54", "55-59", "60-64", "65-69", "70-74", "75-79", "80-84", "85+")</f>
        <v>25-29</v>
      </c>
      <c r="D1423" t="s">
        <v>7</v>
      </c>
    </row>
    <row r="1424" spans="1:4">
      <c r="A1424" t="s">
        <v>6</v>
      </c>
      <c r="B1424">
        <v>63</v>
      </c>
      <c r="C1424" t="str">
        <f>CHOOSE(MATCH(B1424, {20,25,30,35,40,45,50,55,60,65,70,75,80,85}, 1), "20-24", "25-29", "30-34", "35-39", "40-44", "45-49", "50-54", "55-59", "60-64", "65-69", "70-74", "75-79", "80-84", "85+")</f>
        <v>60-64</v>
      </c>
      <c r="D1424" t="s">
        <v>7</v>
      </c>
    </row>
    <row r="1425" spans="1:4">
      <c r="A1425" t="s">
        <v>6</v>
      </c>
      <c r="B1425">
        <v>25</v>
      </c>
      <c r="C1425" t="str">
        <f>CHOOSE(MATCH(B1425, {20,25,30,35,40,45,50,55,60,65,70,75,80,85}, 1), "20-24", "25-29", "30-34", "35-39", "40-44", "45-49", "50-54", "55-59", "60-64", "65-69", "70-74", "75-79", "80-84", "85+")</f>
        <v>25-29</v>
      </c>
      <c r="D1425" t="s">
        <v>7</v>
      </c>
    </row>
    <row r="1426" spans="1:4">
      <c r="A1426" t="s">
        <v>6</v>
      </c>
      <c r="B1426">
        <v>49</v>
      </c>
      <c r="C1426" t="str">
        <f>CHOOSE(MATCH(B1426, {20,25,30,35,40,45,50,55,60,65,70,75,80,85}, 1), "20-24", "25-29", "30-34", "35-39", "40-44", "45-49", "50-54", "55-59", "60-64", "65-69", "70-74", "75-79", "80-84", "85+")</f>
        <v>45-49</v>
      </c>
      <c r="D1426" t="s">
        <v>8</v>
      </c>
    </row>
    <row r="1427" spans="1:4">
      <c r="A1427" t="s">
        <v>6</v>
      </c>
      <c r="B1427">
        <v>34</v>
      </c>
      <c r="C1427" t="str">
        <f>CHOOSE(MATCH(B1427, {20,25,30,35,40,45,50,55,60,65,70,75,80,85}, 1), "20-24", "25-29", "30-34", "35-39", "40-44", "45-49", "50-54", "55-59", "60-64", "65-69", "70-74", "75-79", "80-84", "85+")</f>
        <v>30-34</v>
      </c>
      <c r="D1427" t="s">
        <v>7</v>
      </c>
    </row>
    <row r="1428" spans="1:4">
      <c r="A1428" t="s">
        <v>6</v>
      </c>
      <c r="B1428">
        <v>37</v>
      </c>
      <c r="C1428" t="str">
        <f>CHOOSE(MATCH(B1428, {20,25,30,35,40,45,50,55,60,65,70,75,80,85}, 1), "20-24", "25-29", "30-34", "35-39", "40-44", "45-49", "50-54", "55-59", "60-64", "65-69", "70-74", "75-79", "80-84", "85+")</f>
        <v>35-39</v>
      </c>
      <c r="D1428" t="s">
        <v>8</v>
      </c>
    </row>
    <row r="1429" spans="1:4">
      <c r="A1429" t="s">
        <v>6</v>
      </c>
      <c r="B1429">
        <v>55</v>
      </c>
      <c r="C1429" t="str">
        <f>CHOOSE(MATCH(B1429, {20,25,30,35,40,45,50,55,60,65,70,75,80,85}, 1), "20-24", "25-29", "30-34", "35-39", "40-44", "45-49", "50-54", "55-59", "60-64", "65-69", "70-74", "75-79", "80-84", "85+")</f>
        <v>55-59</v>
      </c>
      <c r="D1429" t="s">
        <v>7</v>
      </c>
    </row>
    <row r="1430" spans="1:4">
      <c r="A1430" t="s">
        <v>6</v>
      </c>
      <c r="B1430">
        <v>50</v>
      </c>
      <c r="C1430" t="str">
        <f>CHOOSE(MATCH(B1430, {20,25,30,35,40,45,50,55,60,65,70,75,80,85}, 1), "20-24", "25-29", "30-34", "35-39", "40-44", "45-49", "50-54", "55-59", "60-64", "65-69", "70-74", "75-79", "80-84", "85+")</f>
        <v>50-54</v>
      </c>
      <c r="D1430" t="s">
        <v>7</v>
      </c>
    </row>
    <row r="1431" spans="1:4">
      <c r="A1431" t="s">
        <v>6</v>
      </c>
      <c r="B1431">
        <v>32</v>
      </c>
      <c r="C1431" t="str">
        <f>CHOOSE(MATCH(B1431, {20,25,30,35,40,45,50,55,60,65,70,75,80,85}, 1), "20-24", "25-29", "30-34", "35-39", "40-44", "45-49", "50-54", "55-59", "60-64", "65-69", "70-74", "75-79", "80-84", "85+")</f>
        <v>30-34</v>
      </c>
      <c r="D1431" t="s">
        <v>7</v>
      </c>
    </row>
    <row r="1432" spans="1:4">
      <c r="A1432" t="s">
        <v>6</v>
      </c>
      <c r="B1432">
        <v>28</v>
      </c>
      <c r="C1432" t="str">
        <f>CHOOSE(MATCH(B1432, {20,25,30,35,40,45,50,55,60,65,70,75,80,85}, 1), "20-24", "25-29", "30-34", "35-39", "40-44", "45-49", "50-54", "55-59", "60-64", "65-69", "70-74", "75-79", "80-84", "85+")</f>
        <v>25-29</v>
      </c>
      <c r="D1432" t="s">
        <v>7</v>
      </c>
    </row>
    <row r="1433" spans="1:4">
      <c r="A1433" t="s">
        <v>6</v>
      </c>
      <c r="B1433">
        <v>35</v>
      </c>
      <c r="C1433" t="str">
        <f>CHOOSE(MATCH(B1433, {20,25,30,35,40,45,50,55,60,65,70,75,80,85}, 1), "20-24", "25-29", "30-34", "35-39", "40-44", "45-49", "50-54", "55-59", "60-64", "65-69", "70-74", "75-79", "80-84", "85+")</f>
        <v>35-39</v>
      </c>
      <c r="D1433" t="s">
        <v>7</v>
      </c>
    </row>
    <row r="1434" spans="1:4">
      <c r="A1434" t="s">
        <v>6</v>
      </c>
      <c r="B1434">
        <v>36</v>
      </c>
      <c r="C1434" t="str">
        <f>CHOOSE(MATCH(B1434, {20,25,30,35,40,45,50,55,60,65,70,75,80,85}, 1), "20-24", "25-29", "30-34", "35-39", "40-44", "45-49", "50-54", "55-59", "60-64", "65-69", "70-74", "75-79", "80-84", "85+")</f>
        <v>35-39</v>
      </c>
      <c r="D1434" t="s">
        <v>7</v>
      </c>
    </row>
    <row r="1435" spans="1:4">
      <c r="A1435" t="s">
        <v>6</v>
      </c>
      <c r="B1435">
        <v>55</v>
      </c>
      <c r="C1435" t="str">
        <f>CHOOSE(MATCH(B1435, {20,25,30,35,40,45,50,55,60,65,70,75,80,85}, 1), "20-24", "25-29", "30-34", "35-39", "40-44", "45-49", "50-54", "55-59", "60-64", "65-69", "70-74", "75-79", "80-84", "85+")</f>
        <v>55-59</v>
      </c>
      <c r="D1435" t="s">
        <v>8</v>
      </c>
    </row>
    <row r="1436" spans="1:4">
      <c r="A1436" t="s">
        <v>6</v>
      </c>
      <c r="B1436">
        <v>38</v>
      </c>
      <c r="C1436" t="str">
        <f>CHOOSE(MATCH(B1436, {20,25,30,35,40,45,50,55,60,65,70,75,80,85}, 1), "20-24", "25-29", "30-34", "35-39", "40-44", "45-49", "50-54", "55-59", "60-64", "65-69", "70-74", "75-79", "80-84", "85+")</f>
        <v>35-39</v>
      </c>
      <c r="D1436" t="s">
        <v>7</v>
      </c>
    </row>
    <row r="1437" spans="1:4">
      <c r="A1437" t="s">
        <v>6</v>
      </c>
      <c r="B1437">
        <v>45</v>
      </c>
      <c r="C1437" t="str">
        <f>CHOOSE(MATCH(B1437, {20,25,30,35,40,45,50,55,60,65,70,75,80,85}, 1), "20-24", "25-29", "30-34", "35-39", "40-44", "45-49", "50-54", "55-59", "60-64", "65-69", "70-74", "75-79", "80-84", "85+")</f>
        <v>45-49</v>
      </c>
      <c r="D1437" t="s">
        <v>7</v>
      </c>
    </row>
    <row r="1438" spans="1:4">
      <c r="A1438" t="s">
        <v>6</v>
      </c>
      <c r="B1438">
        <v>38</v>
      </c>
      <c r="C1438" t="str">
        <f>CHOOSE(MATCH(B1438, {20,25,30,35,40,45,50,55,60,65,70,75,80,85}, 1), "20-24", "25-29", "30-34", "35-39", "40-44", "45-49", "50-54", "55-59", "60-64", "65-69", "70-74", "75-79", "80-84", "85+")</f>
        <v>35-39</v>
      </c>
      <c r="D1438" t="s">
        <v>7</v>
      </c>
    </row>
    <row r="1439" spans="1:4">
      <c r="A1439" t="s">
        <v>6</v>
      </c>
      <c r="B1439">
        <v>28</v>
      </c>
      <c r="C1439" t="str">
        <f>CHOOSE(MATCH(B1439, {20,25,30,35,40,45,50,55,60,65,70,75,80,85}, 1), "20-24", "25-29", "30-34", "35-39", "40-44", "45-49", "50-54", "55-59", "60-64", "65-69", "70-74", "75-79", "80-84", "85+")</f>
        <v>25-29</v>
      </c>
      <c r="D1439" t="s">
        <v>7</v>
      </c>
    </row>
    <row r="1440" spans="1:4">
      <c r="A1440" t="s">
        <v>6</v>
      </c>
      <c r="B1440">
        <v>41</v>
      </c>
      <c r="C1440" t="str">
        <f>CHOOSE(MATCH(B1440, {20,25,30,35,40,45,50,55,60,65,70,75,80,85}, 1), "20-24", "25-29", "30-34", "35-39", "40-44", "45-49", "50-54", "55-59", "60-64", "65-69", "70-74", "75-79", "80-84", "85+")</f>
        <v>40-44</v>
      </c>
      <c r="D1440" t="s">
        <v>8</v>
      </c>
    </row>
    <row r="1441" spans="1:4">
      <c r="A1441" t="s">
        <v>6</v>
      </c>
      <c r="B1441">
        <v>23</v>
      </c>
      <c r="C1441" t="str">
        <f>CHOOSE(MATCH(B1441, {20,25,30,35,40,45,50,55,60,65,70,75,80,85}, 1), "20-24", "25-29", "30-34", "35-39", "40-44", "45-49", "50-54", "55-59", "60-64", "65-69", "70-74", "75-79", "80-84", "85+")</f>
        <v>20-24</v>
      </c>
      <c r="D1441" t="s">
        <v>7</v>
      </c>
    </row>
    <row r="1442" spans="1:4">
      <c r="A1442" t="s">
        <v>6</v>
      </c>
      <c r="B1442">
        <v>41</v>
      </c>
      <c r="C1442" t="str">
        <f>CHOOSE(MATCH(B1442, {20,25,30,35,40,45,50,55,60,65,70,75,80,85}, 1), "20-24", "25-29", "30-34", "35-39", "40-44", "45-49", "50-54", "55-59", "60-64", "65-69", "70-74", "75-79", "80-84", "85+")</f>
        <v>40-44</v>
      </c>
      <c r="D1442" t="s">
        <v>7</v>
      </c>
    </row>
    <row r="1443" spans="1:4">
      <c r="A1443" t="s">
        <v>6</v>
      </c>
      <c r="B1443">
        <v>57</v>
      </c>
      <c r="C1443" t="str">
        <f>CHOOSE(MATCH(B1443, {20,25,30,35,40,45,50,55,60,65,70,75,80,85}, 1), "20-24", "25-29", "30-34", "35-39", "40-44", "45-49", "50-54", "55-59", "60-64", "65-69", "70-74", "75-79", "80-84", "85+")</f>
        <v>55-59</v>
      </c>
      <c r="D1443" t="s">
        <v>7</v>
      </c>
    </row>
    <row r="1444" spans="1:4">
      <c r="A1444" t="s">
        <v>6</v>
      </c>
      <c r="B1444">
        <v>44</v>
      </c>
      <c r="C1444" t="str">
        <f>CHOOSE(MATCH(B1444, {20,25,30,35,40,45,50,55,60,65,70,75,80,85}, 1), "20-24", "25-29", "30-34", "35-39", "40-44", "45-49", "50-54", "55-59", "60-64", "65-69", "70-74", "75-79", "80-84", "85+")</f>
        <v>40-44</v>
      </c>
      <c r="D1444" t="s">
        <v>8</v>
      </c>
    </row>
    <row r="1445" spans="1:4">
      <c r="A1445" t="s">
        <v>6</v>
      </c>
      <c r="B1445">
        <v>33</v>
      </c>
      <c r="C1445" t="str">
        <f>CHOOSE(MATCH(B1445, {20,25,30,35,40,45,50,55,60,65,70,75,80,85}, 1), "20-24", "25-29", "30-34", "35-39", "40-44", "45-49", "50-54", "55-59", "60-64", "65-69", "70-74", "75-79", "80-84", "85+")</f>
        <v>30-34</v>
      </c>
      <c r="D1445" t="s">
        <v>7</v>
      </c>
    </row>
    <row r="1446" spans="1:4">
      <c r="A1446" t="s">
        <v>6</v>
      </c>
      <c r="B1446">
        <v>44</v>
      </c>
      <c r="C1446" t="str">
        <f>CHOOSE(MATCH(B1446, {20,25,30,35,40,45,50,55,60,65,70,75,80,85}, 1), "20-24", "25-29", "30-34", "35-39", "40-44", "45-49", "50-54", "55-59", "60-64", "65-69", "70-74", "75-79", "80-84", "85+")</f>
        <v>40-44</v>
      </c>
      <c r="D1446" t="s">
        <v>7</v>
      </c>
    </row>
    <row r="1447" spans="1:4">
      <c r="A1447" t="s">
        <v>6</v>
      </c>
      <c r="B1447">
        <v>32</v>
      </c>
      <c r="C1447" t="str">
        <f>CHOOSE(MATCH(B1447, {20,25,30,35,40,45,50,55,60,65,70,75,80,85}, 1), "20-24", "25-29", "30-34", "35-39", "40-44", "45-49", "50-54", "55-59", "60-64", "65-69", "70-74", "75-79", "80-84", "85+")</f>
        <v>30-34</v>
      </c>
      <c r="D1447" t="s">
        <v>7</v>
      </c>
    </row>
    <row r="1448" spans="1:4">
      <c r="A1448" t="s">
        <v>6</v>
      </c>
      <c r="B1448">
        <v>24</v>
      </c>
      <c r="C1448" t="str">
        <f>CHOOSE(MATCH(B1448, {20,25,30,35,40,45,50,55,60,65,70,75,80,85}, 1), "20-24", "25-29", "30-34", "35-39", "40-44", "45-49", "50-54", "55-59", "60-64", "65-69", "70-74", "75-79", "80-84", "85+")</f>
        <v>20-24</v>
      </c>
      <c r="D1448" t="s">
        <v>7</v>
      </c>
    </row>
    <row r="1449" spans="1:4">
      <c r="A1449" t="s">
        <v>6</v>
      </c>
      <c r="B1449">
        <v>39</v>
      </c>
      <c r="C1449" t="str">
        <f>CHOOSE(MATCH(B1449, {20,25,30,35,40,45,50,55,60,65,70,75,80,85}, 1), "20-24", "25-29", "30-34", "35-39", "40-44", "45-49", "50-54", "55-59", "60-64", "65-69", "70-74", "75-79", "80-84", "85+")</f>
        <v>35-39</v>
      </c>
      <c r="D1449" t="s">
        <v>8</v>
      </c>
    </row>
    <row r="1450" spans="1:4">
      <c r="A1450" t="s">
        <v>6</v>
      </c>
      <c r="B1450">
        <v>32</v>
      </c>
      <c r="C1450" t="str">
        <f>CHOOSE(MATCH(B1450, {20,25,30,35,40,45,50,55,60,65,70,75,80,85}, 1), "20-24", "25-29", "30-34", "35-39", "40-44", "45-49", "50-54", "55-59", "60-64", "65-69", "70-74", "75-79", "80-84", "85+")</f>
        <v>30-34</v>
      </c>
      <c r="D1450" t="s">
        <v>7</v>
      </c>
    </row>
    <row r="1451" spans="1:4">
      <c r="A1451" t="s">
        <v>6</v>
      </c>
      <c r="B1451">
        <v>24</v>
      </c>
      <c r="C1451" t="str">
        <f>CHOOSE(MATCH(B1451, {20,25,30,35,40,45,50,55,60,65,70,75,80,85}, 1), "20-24", "25-29", "30-34", "35-39", "40-44", "45-49", "50-54", "55-59", "60-64", "65-69", "70-74", "75-79", "80-84", "85+")</f>
        <v>20-24</v>
      </c>
      <c r="D1451" t="s">
        <v>7</v>
      </c>
    </row>
    <row r="1452" spans="1:4">
      <c r="A1452" t="s">
        <v>6</v>
      </c>
      <c r="B1452">
        <v>40</v>
      </c>
      <c r="C1452" t="str">
        <f>CHOOSE(MATCH(B1452, {20,25,30,35,40,45,50,55,60,65,70,75,80,85}, 1), "20-24", "25-29", "30-34", "35-39", "40-44", "45-49", "50-54", "55-59", "60-64", "65-69", "70-74", "75-79", "80-84", "85+")</f>
        <v>40-44</v>
      </c>
      <c r="D1452" t="s">
        <v>8</v>
      </c>
    </row>
    <row r="1453" spans="1:4">
      <c r="A1453" t="s">
        <v>6</v>
      </c>
      <c r="B1453">
        <v>25</v>
      </c>
      <c r="C1453" t="str">
        <f>CHOOSE(MATCH(B1453, {20,25,30,35,40,45,50,55,60,65,70,75,80,85}, 1), "20-24", "25-29", "30-34", "35-39", "40-44", "45-49", "50-54", "55-59", "60-64", "65-69", "70-74", "75-79", "80-84", "85+")</f>
        <v>25-29</v>
      </c>
      <c r="D1453" t="s">
        <v>8</v>
      </c>
    </row>
    <row r="1454" spans="1:4">
      <c r="A1454" t="s">
        <v>6</v>
      </c>
      <c r="B1454">
        <v>29</v>
      </c>
      <c r="C1454" t="str">
        <f>CHOOSE(MATCH(B1454, {20,25,30,35,40,45,50,55,60,65,70,75,80,85}, 1), "20-24", "25-29", "30-34", "35-39", "40-44", "45-49", "50-54", "55-59", "60-64", "65-69", "70-74", "75-79", "80-84", "85+")</f>
        <v>25-29</v>
      </c>
      <c r="D1454" t="s">
        <v>8</v>
      </c>
    </row>
    <row r="1455" spans="1:4">
      <c r="A1455" t="s">
        <v>6</v>
      </c>
      <c r="B1455">
        <v>33</v>
      </c>
      <c r="C1455" t="str">
        <f>CHOOSE(MATCH(B1455, {20,25,30,35,40,45,50,55,60,65,70,75,80,85}, 1), "20-24", "25-29", "30-34", "35-39", "40-44", "45-49", "50-54", "55-59", "60-64", "65-69", "70-74", "75-79", "80-84", "85+")</f>
        <v>30-34</v>
      </c>
      <c r="D1455" t="s">
        <v>7</v>
      </c>
    </row>
    <row r="1456" spans="1:4">
      <c r="A1456" t="s">
        <v>6</v>
      </c>
      <c r="B1456">
        <v>30</v>
      </c>
      <c r="C1456" t="str">
        <f>CHOOSE(MATCH(B1456, {20,25,30,35,40,45,50,55,60,65,70,75,80,85}, 1), "20-24", "25-29", "30-34", "35-39", "40-44", "45-49", "50-54", "55-59", "60-64", "65-69", "70-74", "75-79", "80-84", "85+")</f>
        <v>30-34</v>
      </c>
      <c r="D1456" t="s">
        <v>8</v>
      </c>
    </row>
    <row r="1457" spans="1:4">
      <c r="A1457" t="s">
        <v>6</v>
      </c>
      <c r="B1457">
        <v>24</v>
      </c>
      <c r="C1457" t="str">
        <f>CHOOSE(MATCH(B1457, {20,25,30,35,40,45,50,55,60,65,70,75,80,85}, 1), "20-24", "25-29", "30-34", "35-39", "40-44", "45-49", "50-54", "55-59", "60-64", "65-69", "70-74", "75-79", "80-84", "85+")</f>
        <v>20-24</v>
      </c>
      <c r="D1457" t="s">
        <v>7</v>
      </c>
    </row>
    <row r="1458" spans="1:4">
      <c r="A1458" t="s">
        <v>6</v>
      </c>
      <c r="B1458">
        <v>53</v>
      </c>
      <c r="C1458" t="str">
        <f>CHOOSE(MATCH(B1458, {20,25,30,35,40,45,50,55,60,65,70,75,80,85}, 1), "20-24", "25-29", "30-34", "35-39", "40-44", "45-49", "50-54", "55-59", "60-64", "65-69", "70-74", "75-79", "80-84", "85+")</f>
        <v>50-54</v>
      </c>
      <c r="D1458" t="s">
        <v>8</v>
      </c>
    </row>
    <row r="1459" spans="1:4">
      <c r="A1459" t="s">
        <v>6</v>
      </c>
      <c r="B1459">
        <v>29</v>
      </c>
      <c r="C1459" t="str">
        <f>CHOOSE(MATCH(B1459, {20,25,30,35,40,45,50,55,60,65,70,75,80,85}, 1), "20-24", "25-29", "30-34", "35-39", "40-44", "45-49", "50-54", "55-59", "60-64", "65-69", "70-74", "75-79", "80-84", "85+")</f>
        <v>25-29</v>
      </c>
      <c r="D1459" t="s">
        <v>7</v>
      </c>
    </row>
    <row r="1460" spans="1:4">
      <c r="A1460" t="s">
        <v>6</v>
      </c>
      <c r="B1460">
        <v>40</v>
      </c>
      <c r="C1460" t="str">
        <f>CHOOSE(MATCH(B1460, {20,25,30,35,40,45,50,55,60,65,70,75,80,85}, 1), "20-24", "25-29", "30-34", "35-39", "40-44", "45-49", "50-54", "55-59", "60-64", "65-69", "70-74", "75-79", "80-84", "85+")</f>
        <v>40-44</v>
      </c>
      <c r="D1460" t="s">
        <v>8</v>
      </c>
    </row>
    <row r="1461" spans="1:4">
      <c r="A1461" t="s">
        <v>6</v>
      </c>
      <c r="B1461">
        <v>66</v>
      </c>
      <c r="C1461" t="str">
        <f>CHOOSE(MATCH(B1461, {20,25,30,35,40,45,50,55,60,65,70,75,80,85}, 1), "20-24", "25-29", "30-34", "35-39", "40-44", "45-49", "50-54", "55-59", "60-64", "65-69", "70-74", "75-79", "80-84", "85+")</f>
        <v>65-69</v>
      </c>
      <c r="D1461" t="s">
        <v>8</v>
      </c>
    </row>
    <row r="1462" spans="1:4">
      <c r="A1462" t="s">
        <v>6</v>
      </c>
      <c r="B1462">
        <v>36</v>
      </c>
      <c r="C1462" t="str">
        <f>CHOOSE(MATCH(B1462, {20,25,30,35,40,45,50,55,60,65,70,75,80,85}, 1), "20-24", "25-29", "30-34", "35-39", "40-44", "45-49", "50-54", "55-59", "60-64", "65-69", "70-74", "75-79", "80-84", "85+")</f>
        <v>35-39</v>
      </c>
      <c r="D1462" t="s">
        <v>7</v>
      </c>
    </row>
    <row r="1463" spans="1:4">
      <c r="A1463" t="s">
        <v>6</v>
      </c>
      <c r="B1463">
        <v>57</v>
      </c>
      <c r="C1463" t="str">
        <f>CHOOSE(MATCH(B1463, {20,25,30,35,40,45,50,55,60,65,70,75,80,85}, 1), "20-24", "25-29", "30-34", "35-39", "40-44", "45-49", "50-54", "55-59", "60-64", "65-69", "70-74", "75-79", "80-84", "85+")</f>
        <v>55-59</v>
      </c>
      <c r="D1463" t="s">
        <v>8</v>
      </c>
    </row>
    <row r="1464" spans="1:4">
      <c r="A1464" t="s">
        <v>6</v>
      </c>
      <c r="B1464">
        <v>52</v>
      </c>
      <c r="C1464" t="str">
        <f>CHOOSE(MATCH(B1464, {20,25,30,35,40,45,50,55,60,65,70,75,80,85}, 1), "20-24", "25-29", "30-34", "35-39", "40-44", "45-49", "50-54", "55-59", "60-64", "65-69", "70-74", "75-79", "80-84", "85+")</f>
        <v>50-54</v>
      </c>
      <c r="D1464" t="s">
        <v>7</v>
      </c>
    </row>
    <row r="1465" spans="1:4">
      <c r="A1465" t="s">
        <v>6</v>
      </c>
      <c r="B1465">
        <v>49</v>
      </c>
      <c r="C1465" t="str">
        <f>CHOOSE(MATCH(B1465, {20,25,30,35,40,45,50,55,60,65,70,75,80,85}, 1), "20-24", "25-29", "30-34", "35-39", "40-44", "45-49", "50-54", "55-59", "60-64", "65-69", "70-74", "75-79", "80-84", "85+")</f>
        <v>45-49</v>
      </c>
      <c r="D1465" t="s">
        <v>7</v>
      </c>
    </row>
    <row r="1466" spans="1:4">
      <c r="A1466" t="s">
        <v>6</v>
      </c>
      <c r="B1466">
        <v>21</v>
      </c>
      <c r="C1466" t="str">
        <f>CHOOSE(MATCH(B1466, {20,25,30,35,40,45,50,55,60,65,70,75,80,85}, 1), "20-24", "25-29", "30-34", "35-39", "40-44", "45-49", "50-54", "55-59", "60-64", "65-69", "70-74", "75-79", "80-84", "85+")</f>
        <v>20-24</v>
      </c>
      <c r="D1466" t="s">
        <v>8</v>
      </c>
    </row>
    <row r="1467" spans="1:4">
      <c r="A1467" t="s">
        <v>6</v>
      </c>
      <c r="B1467">
        <v>64</v>
      </c>
      <c r="C1467" t="str">
        <f>CHOOSE(MATCH(B1467, {20,25,30,35,40,45,50,55,60,65,70,75,80,85}, 1), "20-24", "25-29", "30-34", "35-39", "40-44", "45-49", "50-54", "55-59", "60-64", "65-69", "70-74", "75-79", "80-84", "85+")</f>
        <v>60-64</v>
      </c>
      <c r="D1467" t="s">
        <v>7</v>
      </c>
    </row>
    <row r="1468" spans="1:4">
      <c r="A1468" t="s">
        <v>6</v>
      </c>
      <c r="B1468">
        <v>30</v>
      </c>
      <c r="C1468" t="str">
        <f>CHOOSE(MATCH(B1468, {20,25,30,35,40,45,50,55,60,65,70,75,80,85}, 1), "20-24", "25-29", "30-34", "35-39", "40-44", "45-49", "50-54", "55-59", "60-64", "65-69", "70-74", "75-79", "80-84", "85+")</f>
        <v>30-34</v>
      </c>
      <c r="D1468" t="s">
        <v>8</v>
      </c>
    </row>
    <row r="1469" spans="1:4">
      <c r="A1469" t="s">
        <v>6</v>
      </c>
      <c r="B1469">
        <v>49</v>
      </c>
      <c r="C1469" t="str">
        <f>CHOOSE(MATCH(B1469, {20,25,30,35,40,45,50,55,60,65,70,75,80,85}, 1), "20-24", "25-29", "30-34", "35-39", "40-44", "45-49", "50-54", "55-59", "60-64", "65-69", "70-74", "75-79", "80-84", "85+")</f>
        <v>45-49</v>
      </c>
      <c r="D1469" t="s">
        <v>7</v>
      </c>
    </row>
    <row r="1470" spans="1:4">
      <c r="A1470" t="s">
        <v>6</v>
      </c>
      <c r="B1470">
        <v>35</v>
      </c>
      <c r="C1470" t="str">
        <f>CHOOSE(MATCH(B1470, {20,25,30,35,40,45,50,55,60,65,70,75,80,85}, 1), "20-24", "25-29", "30-34", "35-39", "40-44", "45-49", "50-54", "55-59", "60-64", "65-69", "70-74", "75-79", "80-84", "85+")</f>
        <v>35-39</v>
      </c>
      <c r="D1470" t="s">
        <v>7</v>
      </c>
    </row>
    <row r="1471" spans="1:4">
      <c r="A1471" t="s">
        <v>6</v>
      </c>
      <c r="B1471">
        <v>55</v>
      </c>
      <c r="C1471" t="str">
        <f>CHOOSE(MATCH(B1471, {20,25,30,35,40,45,50,55,60,65,70,75,80,85}, 1), "20-24", "25-29", "30-34", "35-39", "40-44", "45-49", "50-54", "55-59", "60-64", "65-69", "70-74", "75-79", "80-84", "85+")</f>
        <v>55-59</v>
      </c>
      <c r="D1471" t="s">
        <v>8</v>
      </c>
    </row>
    <row r="1472" spans="1:4">
      <c r="A1472" t="s">
        <v>6</v>
      </c>
      <c r="B1472">
        <v>35</v>
      </c>
      <c r="C1472" t="str">
        <f>CHOOSE(MATCH(B1472, {20,25,30,35,40,45,50,55,60,65,70,75,80,85}, 1), "20-24", "25-29", "30-34", "35-39", "40-44", "45-49", "50-54", "55-59", "60-64", "65-69", "70-74", "75-79", "80-84", "85+")</f>
        <v>35-39</v>
      </c>
      <c r="D1472" t="s">
        <v>8</v>
      </c>
    </row>
    <row r="1473" spans="1:4">
      <c r="A1473" t="s">
        <v>6</v>
      </c>
      <c r="B1473">
        <v>34</v>
      </c>
      <c r="C1473" t="str">
        <f>CHOOSE(MATCH(B1473, {20,25,30,35,40,45,50,55,60,65,70,75,80,85}, 1), "20-24", "25-29", "30-34", "35-39", "40-44", "45-49", "50-54", "55-59", "60-64", "65-69", "70-74", "75-79", "80-84", "85+")</f>
        <v>30-34</v>
      </c>
      <c r="D1473" t="s">
        <v>7</v>
      </c>
    </row>
    <row r="1474" spans="1:4">
      <c r="A1474" t="s">
        <v>6</v>
      </c>
      <c r="B1474">
        <v>43</v>
      </c>
      <c r="C1474" t="str">
        <f>CHOOSE(MATCH(B1474, {20,25,30,35,40,45,50,55,60,65,70,75,80,85}, 1), "20-24", "25-29", "30-34", "35-39", "40-44", "45-49", "50-54", "55-59", "60-64", "65-69", "70-74", "75-79", "80-84", "85+")</f>
        <v>40-44</v>
      </c>
      <c r="D1474" t="s">
        <v>7</v>
      </c>
    </row>
    <row r="1475" spans="1:4">
      <c r="A1475" t="s">
        <v>6</v>
      </c>
      <c r="B1475">
        <v>33</v>
      </c>
      <c r="C1475" t="str">
        <f>CHOOSE(MATCH(B1475, {20,25,30,35,40,45,50,55,60,65,70,75,80,85}, 1), "20-24", "25-29", "30-34", "35-39", "40-44", "45-49", "50-54", "55-59", "60-64", "65-69", "70-74", "75-79", "80-84", "85+")</f>
        <v>30-34</v>
      </c>
      <c r="D1475" t="s">
        <v>7</v>
      </c>
    </row>
    <row r="1476" spans="1:4">
      <c r="A1476" t="s">
        <v>6</v>
      </c>
      <c r="B1476">
        <v>25</v>
      </c>
      <c r="C1476" t="str">
        <f>CHOOSE(MATCH(B1476, {20,25,30,35,40,45,50,55,60,65,70,75,80,85}, 1), "20-24", "25-29", "30-34", "35-39", "40-44", "45-49", "50-54", "55-59", "60-64", "65-69", "70-74", "75-79", "80-84", "85+")</f>
        <v>25-29</v>
      </c>
      <c r="D1476" t="s">
        <v>8</v>
      </c>
    </row>
    <row r="1477" spans="1:4">
      <c r="A1477" t="s">
        <v>6</v>
      </c>
      <c r="B1477">
        <v>49</v>
      </c>
      <c r="C1477" t="str">
        <f>CHOOSE(MATCH(B1477, {20,25,30,35,40,45,50,55,60,65,70,75,80,85}, 1), "20-24", "25-29", "30-34", "35-39", "40-44", "45-49", "50-54", "55-59", "60-64", "65-69", "70-74", "75-79", "80-84", "85+")</f>
        <v>45-49</v>
      </c>
      <c r="D1477" t="s">
        <v>8</v>
      </c>
    </row>
    <row r="1478" spans="1:4">
      <c r="A1478" t="s">
        <v>6</v>
      </c>
      <c r="B1478">
        <v>33</v>
      </c>
      <c r="C1478" t="str">
        <f>CHOOSE(MATCH(B1478, {20,25,30,35,40,45,50,55,60,65,70,75,80,85}, 1), "20-24", "25-29", "30-34", "35-39", "40-44", "45-49", "50-54", "55-59", "60-64", "65-69", "70-74", "75-79", "80-84", "85+")</f>
        <v>30-34</v>
      </c>
      <c r="D1478" t="s">
        <v>8</v>
      </c>
    </row>
    <row r="1479" spans="1:4">
      <c r="A1479" t="s">
        <v>6</v>
      </c>
      <c r="B1479">
        <v>30</v>
      </c>
      <c r="C1479" t="str">
        <f>CHOOSE(MATCH(B1479, {20,25,30,35,40,45,50,55,60,65,70,75,80,85}, 1), "20-24", "25-29", "30-34", "35-39", "40-44", "45-49", "50-54", "55-59", "60-64", "65-69", "70-74", "75-79", "80-84", "85+")</f>
        <v>30-34</v>
      </c>
      <c r="D1479" t="s">
        <v>7</v>
      </c>
    </row>
    <row r="1480" spans="1:4">
      <c r="A1480" t="s">
        <v>6</v>
      </c>
      <c r="B1480">
        <v>46</v>
      </c>
      <c r="C1480" t="str">
        <f>CHOOSE(MATCH(B1480, {20,25,30,35,40,45,50,55,60,65,70,75,80,85}, 1), "20-24", "25-29", "30-34", "35-39", "40-44", "45-49", "50-54", "55-59", "60-64", "65-69", "70-74", "75-79", "80-84", "85+")</f>
        <v>45-49</v>
      </c>
      <c r="D1480" t="s">
        <v>8</v>
      </c>
    </row>
    <row r="1481" spans="1:4">
      <c r="A1481" t="s">
        <v>6</v>
      </c>
      <c r="B1481">
        <v>31</v>
      </c>
      <c r="C1481" t="str">
        <f>CHOOSE(MATCH(B1481, {20,25,30,35,40,45,50,55,60,65,70,75,80,85}, 1), "20-24", "25-29", "30-34", "35-39", "40-44", "45-49", "50-54", "55-59", "60-64", "65-69", "70-74", "75-79", "80-84", "85+")</f>
        <v>30-34</v>
      </c>
      <c r="D1481" t="s">
        <v>8</v>
      </c>
    </row>
    <row r="1482" spans="1:4">
      <c r="A1482" t="s">
        <v>6</v>
      </c>
      <c r="B1482">
        <v>36</v>
      </c>
      <c r="C1482" t="str">
        <f>CHOOSE(MATCH(B1482, {20,25,30,35,40,45,50,55,60,65,70,75,80,85}, 1), "20-24", "25-29", "30-34", "35-39", "40-44", "45-49", "50-54", "55-59", "60-64", "65-69", "70-74", "75-79", "80-84", "85+")</f>
        <v>35-39</v>
      </c>
      <c r="D1482" t="s">
        <v>8</v>
      </c>
    </row>
    <row r="1483" spans="1:4">
      <c r="A1483" t="s">
        <v>6</v>
      </c>
      <c r="B1483">
        <v>54</v>
      </c>
      <c r="C1483" t="str">
        <f>CHOOSE(MATCH(B1483, {20,25,30,35,40,45,50,55,60,65,70,75,80,85}, 1), "20-24", "25-29", "30-34", "35-39", "40-44", "45-49", "50-54", "55-59", "60-64", "65-69", "70-74", "75-79", "80-84", "85+")</f>
        <v>50-54</v>
      </c>
      <c r="D1483" t="s">
        <v>8</v>
      </c>
    </row>
    <row r="1484" spans="1:4">
      <c r="A1484" t="s">
        <v>6</v>
      </c>
      <c r="B1484">
        <v>41</v>
      </c>
      <c r="C1484" t="str">
        <f>CHOOSE(MATCH(B1484, {20,25,30,35,40,45,50,55,60,65,70,75,80,85}, 1), "20-24", "25-29", "30-34", "35-39", "40-44", "45-49", "50-54", "55-59", "60-64", "65-69", "70-74", "75-79", "80-84", "85+")</f>
        <v>40-44</v>
      </c>
      <c r="D1484" t="s">
        <v>7</v>
      </c>
    </row>
    <row r="1485" spans="1:4">
      <c r="A1485" t="s">
        <v>6</v>
      </c>
      <c r="B1485">
        <v>33</v>
      </c>
      <c r="C1485" t="str">
        <f>CHOOSE(MATCH(B1485, {20,25,30,35,40,45,50,55,60,65,70,75,80,85}, 1), "20-24", "25-29", "30-34", "35-39", "40-44", "45-49", "50-54", "55-59", "60-64", "65-69", "70-74", "75-79", "80-84", "85+")</f>
        <v>30-34</v>
      </c>
      <c r="D1485" t="s">
        <v>7</v>
      </c>
    </row>
    <row r="1486" spans="1:4">
      <c r="A1486" t="s">
        <v>6</v>
      </c>
      <c r="B1486">
        <v>34</v>
      </c>
      <c r="C1486" t="str">
        <f>CHOOSE(MATCH(B1486, {20,25,30,35,40,45,50,55,60,65,70,75,80,85}, 1), "20-24", "25-29", "30-34", "35-39", "40-44", "45-49", "50-54", "55-59", "60-64", "65-69", "70-74", "75-79", "80-84", "85+")</f>
        <v>30-34</v>
      </c>
      <c r="D1486" t="s">
        <v>8</v>
      </c>
    </row>
    <row r="1487" spans="1:4">
      <c r="A1487" t="s">
        <v>6</v>
      </c>
      <c r="B1487">
        <v>33</v>
      </c>
      <c r="C1487" t="str">
        <f>CHOOSE(MATCH(B1487, {20,25,30,35,40,45,50,55,60,65,70,75,80,85}, 1), "20-24", "25-29", "30-34", "35-39", "40-44", "45-49", "50-54", "55-59", "60-64", "65-69", "70-74", "75-79", "80-84", "85+")</f>
        <v>30-34</v>
      </c>
      <c r="D1487" t="s">
        <v>8</v>
      </c>
    </row>
    <row r="1488" spans="1:4">
      <c r="A1488" t="s">
        <v>6</v>
      </c>
      <c r="B1488">
        <v>32</v>
      </c>
      <c r="C1488" t="str">
        <f>CHOOSE(MATCH(B1488, {20,25,30,35,40,45,50,55,60,65,70,75,80,85}, 1), "20-24", "25-29", "30-34", "35-39", "40-44", "45-49", "50-54", "55-59", "60-64", "65-69", "70-74", "75-79", "80-84", "85+")</f>
        <v>30-34</v>
      </c>
      <c r="D1488" t="s">
        <v>8</v>
      </c>
    </row>
    <row r="1489" spans="1:4">
      <c r="A1489" t="s">
        <v>6</v>
      </c>
      <c r="B1489">
        <v>59</v>
      </c>
      <c r="C1489" t="str">
        <f>CHOOSE(MATCH(B1489, {20,25,30,35,40,45,50,55,60,65,70,75,80,85}, 1), "20-24", "25-29", "30-34", "35-39", "40-44", "45-49", "50-54", "55-59", "60-64", "65-69", "70-74", "75-79", "80-84", "85+")</f>
        <v>55-59</v>
      </c>
      <c r="D1489" t="s">
        <v>7</v>
      </c>
    </row>
    <row r="1490" spans="1:4">
      <c r="A1490" t="s">
        <v>6</v>
      </c>
      <c r="B1490">
        <v>45</v>
      </c>
      <c r="C1490" t="str">
        <f>CHOOSE(MATCH(B1490, {20,25,30,35,40,45,50,55,60,65,70,75,80,85}, 1), "20-24", "25-29", "30-34", "35-39", "40-44", "45-49", "50-54", "55-59", "60-64", "65-69", "70-74", "75-79", "80-84", "85+")</f>
        <v>45-49</v>
      </c>
      <c r="D1490" t="s">
        <v>7</v>
      </c>
    </row>
    <row r="1491" spans="1:4">
      <c r="A1491" t="s">
        <v>6</v>
      </c>
      <c r="B1491">
        <v>32</v>
      </c>
      <c r="C1491" t="str">
        <f>CHOOSE(MATCH(B1491, {20,25,30,35,40,45,50,55,60,65,70,75,80,85}, 1), "20-24", "25-29", "30-34", "35-39", "40-44", "45-49", "50-54", "55-59", "60-64", "65-69", "70-74", "75-79", "80-84", "85+")</f>
        <v>30-34</v>
      </c>
      <c r="D1491" t="s">
        <v>7</v>
      </c>
    </row>
    <row r="1492" spans="1:4">
      <c r="A1492" t="s">
        <v>6</v>
      </c>
      <c r="B1492">
        <v>89</v>
      </c>
      <c r="C1492" t="str">
        <f>CHOOSE(MATCH(B1492, {20,25,30,35,40,45,50,55,60,65,70,75,80,85}, 1), "20-24", "25-29", "30-34", "35-39", "40-44", "45-49", "50-54", "55-59", "60-64", "65-69", "70-74", "75-79", "80-84", "85+")</f>
        <v>85+</v>
      </c>
      <c r="D1492" t="s">
        <v>7</v>
      </c>
    </row>
    <row r="1493" spans="1:4">
      <c r="A1493" t="s">
        <v>6</v>
      </c>
      <c r="B1493">
        <v>20</v>
      </c>
      <c r="C1493" t="str">
        <f>CHOOSE(MATCH(B1493, {20,25,30,35,40,45,50,55,60,65,70,75,80,85}, 1), "20-24", "25-29", "30-34", "35-39", "40-44", "45-49", "50-54", "55-59", "60-64", "65-69", "70-74", "75-79", "80-84", "85+")</f>
        <v>20-24</v>
      </c>
      <c r="D1493" t="s">
        <v>7</v>
      </c>
    </row>
    <row r="1494" spans="1:4">
      <c r="A1494" t="s">
        <v>6</v>
      </c>
      <c r="B1494">
        <v>61</v>
      </c>
      <c r="C1494" t="str">
        <f>CHOOSE(MATCH(B1494, {20,25,30,35,40,45,50,55,60,65,70,75,80,85}, 1), "20-24", "25-29", "30-34", "35-39", "40-44", "45-49", "50-54", "55-59", "60-64", "65-69", "70-74", "75-79", "80-84", "85+")</f>
        <v>60-64</v>
      </c>
      <c r="D1494" t="s">
        <v>8</v>
      </c>
    </row>
    <row r="1495" spans="1:4">
      <c r="A1495" t="s">
        <v>6</v>
      </c>
      <c r="B1495">
        <v>58</v>
      </c>
      <c r="C1495" t="str">
        <f>CHOOSE(MATCH(B1495, {20,25,30,35,40,45,50,55,60,65,70,75,80,85}, 1), "20-24", "25-29", "30-34", "35-39", "40-44", "45-49", "50-54", "55-59", "60-64", "65-69", "70-74", "75-79", "80-84", "85+")</f>
        <v>55-59</v>
      </c>
      <c r="D1495" t="s">
        <v>8</v>
      </c>
    </row>
    <row r="1496" spans="1:4">
      <c r="A1496" t="s">
        <v>6</v>
      </c>
      <c r="B1496">
        <v>28</v>
      </c>
      <c r="C1496" t="str">
        <f>CHOOSE(MATCH(B1496, {20,25,30,35,40,45,50,55,60,65,70,75,80,85}, 1), "20-24", "25-29", "30-34", "35-39", "40-44", "45-49", "50-54", "55-59", "60-64", "65-69", "70-74", "75-79", "80-84", "85+")</f>
        <v>25-29</v>
      </c>
      <c r="D1496" t="s">
        <v>7</v>
      </c>
    </row>
    <row r="1497" spans="1:4">
      <c r="A1497" t="s">
        <v>6</v>
      </c>
      <c r="B1497">
        <v>32</v>
      </c>
      <c r="C1497" t="str">
        <f>CHOOSE(MATCH(B1497, {20,25,30,35,40,45,50,55,60,65,70,75,80,85}, 1), "20-24", "25-29", "30-34", "35-39", "40-44", "45-49", "50-54", "55-59", "60-64", "65-69", "70-74", "75-79", "80-84", "85+")</f>
        <v>30-34</v>
      </c>
      <c r="D1497" t="s">
        <v>8</v>
      </c>
    </row>
    <row r="1498" spans="1:4">
      <c r="A1498" t="s">
        <v>6</v>
      </c>
      <c r="B1498">
        <v>47</v>
      </c>
      <c r="C1498" t="str">
        <f>CHOOSE(MATCH(B1498, {20,25,30,35,40,45,50,55,60,65,70,75,80,85}, 1), "20-24", "25-29", "30-34", "35-39", "40-44", "45-49", "50-54", "55-59", "60-64", "65-69", "70-74", "75-79", "80-84", "85+")</f>
        <v>45-49</v>
      </c>
      <c r="D1498" t="s">
        <v>7</v>
      </c>
    </row>
    <row r="1499" spans="1:4">
      <c r="A1499" t="s">
        <v>6</v>
      </c>
      <c r="B1499">
        <v>32</v>
      </c>
      <c r="C1499" t="str">
        <f>CHOOSE(MATCH(B1499, {20,25,30,35,40,45,50,55,60,65,70,75,80,85}, 1), "20-24", "25-29", "30-34", "35-39", "40-44", "45-49", "50-54", "55-59", "60-64", "65-69", "70-74", "75-79", "80-84", "85+")</f>
        <v>30-34</v>
      </c>
      <c r="D1499" t="s">
        <v>7</v>
      </c>
    </row>
    <row r="1500" spans="1:4">
      <c r="A1500" t="s">
        <v>6</v>
      </c>
      <c r="B1500">
        <v>31</v>
      </c>
      <c r="C1500" t="str">
        <f>CHOOSE(MATCH(B1500, {20,25,30,35,40,45,50,55,60,65,70,75,80,85}, 1), "20-24", "25-29", "30-34", "35-39", "40-44", "45-49", "50-54", "55-59", "60-64", "65-69", "70-74", "75-79", "80-84", "85+")</f>
        <v>30-34</v>
      </c>
      <c r="D1500" t="s">
        <v>7</v>
      </c>
    </row>
    <row r="1501" spans="1:4">
      <c r="A1501" t="s">
        <v>6</v>
      </c>
      <c r="B1501">
        <v>31</v>
      </c>
      <c r="C1501" t="str">
        <f>CHOOSE(MATCH(B1501, {20,25,30,35,40,45,50,55,60,65,70,75,80,85}, 1), "20-24", "25-29", "30-34", "35-39", "40-44", "45-49", "50-54", "55-59", "60-64", "65-69", "70-74", "75-79", "80-84", "85+")</f>
        <v>30-34</v>
      </c>
      <c r="D1501" t="s">
        <v>7</v>
      </c>
    </row>
    <row r="1502" spans="1:4">
      <c r="A1502" t="s">
        <v>6</v>
      </c>
      <c r="B1502">
        <v>35</v>
      </c>
      <c r="C1502" t="str">
        <f>CHOOSE(MATCH(B1502, {20,25,30,35,40,45,50,55,60,65,70,75,80,85}, 1), "20-24", "25-29", "30-34", "35-39", "40-44", "45-49", "50-54", "55-59", "60-64", "65-69", "70-74", "75-79", "80-84", "85+")</f>
        <v>35-39</v>
      </c>
      <c r="D1502" t="s">
        <v>7</v>
      </c>
    </row>
    <row r="1503" spans="1:4">
      <c r="A1503" t="s">
        <v>6</v>
      </c>
      <c r="B1503">
        <v>25</v>
      </c>
      <c r="C1503" t="str">
        <f>CHOOSE(MATCH(B1503, {20,25,30,35,40,45,50,55,60,65,70,75,80,85}, 1), "20-24", "25-29", "30-34", "35-39", "40-44", "45-49", "50-54", "55-59", "60-64", "65-69", "70-74", "75-79", "80-84", "85+")</f>
        <v>25-29</v>
      </c>
      <c r="D1503" t="s">
        <v>7</v>
      </c>
    </row>
    <row r="1504" spans="1:4">
      <c r="A1504" t="s">
        <v>6</v>
      </c>
      <c r="B1504">
        <v>36</v>
      </c>
      <c r="C1504" t="str">
        <f>CHOOSE(MATCH(B1504, {20,25,30,35,40,45,50,55,60,65,70,75,80,85}, 1), "20-24", "25-29", "30-34", "35-39", "40-44", "45-49", "50-54", "55-59", "60-64", "65-69", "70-74", "75-79", "80-84", "85+")</f>
        <v>35-39</v>
      </c>
      <c r="D1504" t="s">
        <v>8</v>
      </c>
    </row>
    <row r="1505" spans="1:4">
      <c r="A1505" t="s">
        <v>6</v>
      </c>
      <c r="B1505">
        <v>29</v>
      </c>
      <c r="C1505" t="str">
        <f>CHOOSE(MATCH(B1505, {20,25,30,35,40,45,50,55,60,65,70,75,80,85}, 1), "20-24", "25-29", "30-34", "35-39", "40-44", "45-49", "50-54", "55-59", "60-64", "65-69", "70-74", "75-79", "80-84", "85+")</f>
        <v>25-29</v>
      </c>
      <c r="D1505" t="s">
        <v>7</v>
      </c>
    </row>
    <row r="1506" spans="1:4">
      <c r="A1506" t="s">
        <v>6</v>
      </c>
      <c r="B1506">
        <v>35</v>
      </c>
      <c r="C1506" t="str">
        <f>CHOOSE(MATCH(B1506, {20,25,30,35,40,45,50,55,60,65,70,75,80,85}, 1), "20-24", "25-29", "30-34", "35-39", "40-44", "45-49", "50-54", "55-59", "60-64", "65-69", "70-74", "75-79", "80-84", "85+")</f>
        <v>35-39</v>
      </c>
      <c r="D1506" t="s">
        <v>7</v>
      </c>
    </row>
    <row r="1507" spans="1:4">
      <c r="A1507" t="s">
        <v>6</v>
      </c>
      <c r="B1507">
        <v>36</v>
      </c>
      <c r="C1507" t="str">
        <f>CHOOSE(MATCH(B1507, {20,25,30,35,40,45,50,55,60,65,70,75,80,85}, 1), "20-24", "25-29", "30-34", "35-39", "40-44", "45-49", "50-54", "55-59", "60-64", "65-69", "70-74", "75-79", "80-84", "85+")</f>
        <v>35-39</v>
      </c>
      <c r="D1507" t="s">
        <v>7</v>
      </c>
    </row>
    <row r="1508" spans="1:4">
      <c r="A1508" t="s">
        <v>6</v>
      </c>
      <c r="B1508">
        <v>35</v>
      </c>
      <c r="C1508" t="str">
        <f>CHOOSE(MATCH(B1508, {20,25,30,35,40,45,50,55,60,65,70,75,80,85}, 1), "20-24", "25-29", "30-34", "35-39", "40-44", "45-49", "50-54", "55-59", "60-64", "65-69", "70-74", "75-79", "80-84", "85+")</f>
        <v>35-39</v>
      </c>
      <c r="D1508" t="s">
        <v>7</v>
      </c>
    </row>
    <row r="1509" spans="1:4">
      <c r="A1509" t="s">
        <v>6</v>
      </c>
      <c r="B1509">
        <v>72</v>
      </c>
      <c r="C1509" t="str">
        <f>CHOOSE(MATCH(B1509, {20,25,30,35,40,45,50,55,60,65,70,75,80,85}, 1), "20-24", "25-29", "30-34", "35-39", "40-44", "45-49", "50-54", "55-59", "60-64", "65-69", "70-74", "75-79", "80-84", "85+")</f>
        <v>70-74</v>
      </c>
      <c r="D1509" t="s">
        <v>8</v>
      </c>
    </row>
    <row r="1510" spans="1:4">
      <c r="A1510" t="s">
        <v>6</v>
      </c>
      <c r="B1510">
        <v>33</v>
      </c>
      <c r="C1510" t="str">
        <f>CHOOSE(MATCH(B1510, {20,25,30,35,40,45,50,55,60,65,70,75,80,85}, 1), "20-24", "25-29", "30-34", "35-39", "40-44", "45-49", "50-54", "55-59", "60-64", "65-69", "70-74", "75-79", "80-84", "85+")</f>
        <v>30-34</v>
      </c>
      <c r="D1510" t="s">
        <v>7</v>
      </c>
    </row>
    <row r="1511" spans="1:4">
      <c r="A1511" t="s">
        <v>6</v>
      </c>
      <c r="B1511">
        <v>37</v>
      </c>
      <c r="C1511" t="str">
        <f>CHOOSE(MATCH(B1511, {20,25,30,35,40,45,50,55,60,65,70,75,80,85}, 1), "20-24", "25-29", "30-34", "35-39", "40-44", "45-49", "50-54", "55-59", "60-64", "65-69", "70-74", "75-79", "80-84", "85+")</f>
        <v>35-39</v>
      </c>
      <c r="D1511" t="s">
        <v>8</v>
      </c>
    </row>
    <row r="1512" spans="1:4">
      <c r="A1512" t="s">
        <v>6</v>
      </c>
      <c r="B1512">
        <v>29</v>
      </c>
      <c r="C1512" t="str">
        <f>CHOOSE(MATCH(B1512, {20,25,30,35,40,45,50,55,60,65,70,75,80,85}, 1), "20-24", "25-29", "30-34", "35-39", "40-44", "45-49", "50-54", "55-59", "60-64", "65-69", "70-74", "75-79", "80-84", "85+")</f>
        <v>25-29</v>
      </c>
      <c r="D1512" t="s">
        <v>7</v>
      </c>
    </row>
    <row r="1513" spans="1:4">
      <c r="A1513" t="s">
        <v>6</v>
      </c>
      <c r="B1513">
        <v>28</v>
      </c>
      <c r="C1513" t="str">
        <f>CHOOSE(MATCH(B1513, {20,25,30,35,40,45,50,55,60,65,70,75,80,85}, 1), "20-24", "25-29", "30-34", "35-39", "40-44", "45-49", "50-54", "55-59", "60-64", "65-69", "70-74", "75-79", "80-84", "85+")</f>
        <v>25-29</v>
      </c>
      <c r="D1513" t="s">
        <v>7</v>
      </c>
    </row>
    <row r="1514" spans="1:4">
      <c r="A1514" t="s">
        <v>6</v>
      </c>
      <c r="B1514">
        <v>37</v>
      </c>
      <c r="C1514" t="str">
        <f>CHOOSE(MATCH(B1514, {20,25,30,35,40,45,50,55,60,65,70,75,80,85}, 1), "20-24", "25-29", "30-34", "35-39", "40-44", "45-49", "50-54", "55-59", "60-64", "65-69", "70-74", "75-79", "80-84", "85+")</f>
        <v>35-39</v>
      </c>
      <c r="D1514" t="s">
        <v>7</v>
      </c>
    </row>
    <row r="1515" spans="1:4">
      <c r="A1515" t="s">
        <v>6</v>
      </c>
      <c r="B1515">
        <v>32</v>
      </c>
      <c r="C1515" t="str">
        <f>CHOOSE(MATCH(B1515, {20,25,30,35,40,45,50,55,60,65,70,75,80,85}, 1), "20-24", "25-29", "30-34", "35-39", "40-44", "45-49", "50-54", "55-59", "60-64", "65-69", "70-74", "75-79", "80-84", "85+")</f>
        <v>30-34</v>
      </c>
      <c r="D1515" t="s">
        <v>7</v>
      </c>
    </row>
    <row r="1516" spans="1:4">
      <c r="A1516" t="s">
        <v>6</v>
      </c>
      <c r="B1516">
        <v>83</v>
      </c>
      <c r="C1516" t="str">
        <f>CHOOSE(MATCH(B1516, {20,25,30,35,40,45,50,55,60,65,70,75,80,85}, 1), "20-24", "25-29", "30-34", "35-39", "40-44", "45-49", "50-54", "55-59", "60-64", "65-69", "70-74", "75-79", "80-84", "85+")</f>
        <v>80-84</v>
      </c>
      <c r="D1516" t="s">
        <v>8</v>
      </c>
    </row>
    <row r="1517" spans="1:4">
      <c r="A1517" t="s">
        <v>6</v>
      </c>
      <c r="B1517">
        <v>65</v>
      </c>
      <c r="C1517" t="str">
        <f>CHOOSE(MATCH(B1517, {20,25,30,35,40,45,50,55,60,65,70,75,80,85}, 1), "20-24", "25-29", "30-34", "35-39", "40-44", "45-49", "50-54", "55-59", "60-64", "65-69", "70-74", "75-79", "80-84", "85+")</f>
        <v>65-69</v>
      </c>
      <c r="D1517" t="s">
        <v>8</v>
      </c>
    </row>
    <row r="1518" spans="1:4">
      <c r="A1518" t="s">
        <v>6</v>
      </c>
      <c r="B1518">
        <v>40</v>
      </c>
      <c r="C1518" t="str">
        <f>CHOOSE(MATCH(B1518, {20,25,30,35,40,45,50,55,60,65,70,75,80,85}, 1), "20-24", "25-29", "30-34", "35-39", "40-44", "45-49", "50-54", "55-59", "60-64", "65-69", "70-74", "75-79", "80-84", "85+")</f>
        <v>40-44</v>
      </c>
      <c r="D1518" t="s">
        <v>7</v>
      </c>
    </row>
    <row r="1519" spans="1:4">
      <c r="A1519" t="s">
        <v>6</v>
      </c>
      <c r="B1519">
        <v>57</v>
      </c>
      <c r="C1519" t="str">
        <f>CHOOSE(MATCH(B1519, {20,25,30,35,40,45,50,55,60,65,70,75,80,85}, 1), "20-24", "25-29", "30-34", "35-39", "40-44", "45-49", "50-54", "55-59", "60-64", "65-69", "70-74", "75-79", "80-84", "85+")</f>
        <v>55-59</v>
      </c>
      <c r="D1519" t="s">
        <v>8</v>
      </c>
    </row>
    <row r="1520" spans="1:4">
      <c r="A1520" t="s">
        <v>6</v>
      </c>
      <c r="B1520">
        <v>30</v>
      </c>
      <c r="C1520" t="str">
        <f>CHOOSE(MATCH(B1520, {20,25,30,35,40,45,50,55,60,65,70,75,80,85}, 1), "20-24", "25-29", "30-34", "35-39", "40-44", "45-49", "50-54", "55-59", "60-64", "65-69", "70-74", "75-79", "80-84", "85+")</f>
        <v>30-34</v>
      </c>
      <c r="D1520" t="s">
        <v>7</v>
      </c>
    </row>
    <row r="1521" spans="1:4">
      <c r="A1521" t="s">
        <v>6</v>
      </c>
      <c r="B1521">
        <v>40</v>
      </c>
      <c r="C1521" t="str">
        <f>CHOOSE(MATCH(B1521, {20,25,30,35,40,45,50,55,60,65,70,75,80,85}, 1), "20-24", "25-29", "30-34", "35-39", "40-44", "45-49", "50-54", "55-59", "60-64", "65-69", "70-74", "75-79", "80-84", "85+")</f>
        <v>40-44</v>
      </c>
      <c r="D1521" t="s">
        <v>7</v>
      </c>
    </row>
    <row r="1522" spans="1:4">
      <c r="A1522" t="s">
        <v>6</v>
      </c>
      <c r="B1522">
        <v>45</v>
      </c>
      <c r="C1522" t="str">
        <f>CHOOSE(MATCH(B1522, {20,25,30,35,40,45,50,55,60,65,70,75,80,85}, 1), "20-24", "25-29", "30-34", "35-39", "40-44", "45-49", "50-54", "55-59", "60-64", "65-69", "70-74", "75-79", "80-84", "85+")</f>
        <v>45-49</v>
      </c>
      <c r="D1522" t="s">
        <v>8</v>
      </c>
    </row>
    <row r="1523" spans="1:4">
      <c r="A1523" t="s">
        <v>6</v>
      </c>
      <c r="B1523">
        <v>55</v>
      </c>
      <c r="C1523" t="str">
        <f>CHOOSE(MATCH(B1523, {20,25,30,35,40,45,50,55,60,65,70,75,80,85}, 1), "20-24", "25-29", "30-34", "35-39", "40-44", "45-49", "50-54", "55-59", "60-64", "65-69", "70-74", "75-79", "80-84", "85+")</f>
        <v>55-59</v>
      </c>
      <c r="D1523" t="s">
        <v>7</v>
      </c>
    </row>
    <row r="1524" spans="1:4">
      <c r="A1524" t="s">
        <v>6</v>
      </c>
      <c r="B1524">
        <v>48</v>
      </c>
      <c r="C1524" t="str">
        <f>CHOOSE(MATCH(B1524, {20,25,30,35,40,45,50,55,60,65,70,75,80,85}, 1), "20-24", "25-29", "30-34", "35-39", "40-44", "45-49", "50-54", "55-59", "60-64", "65-69", "70-74", "75-79", "80-84", "85+")</f>
        <v>45-49</v>
      </c>
      <c r="D1524" t="s">
        <v>8</v>
      </c>
    </row>
    <row r="1525" spans="1:4">
      <c r="A1525" t="s">
        <v>6</v>
      </c>
      <c r="B1525">
        <v>64</v>
      </c>
      <c r="C1525" t="str">
        <f>CHOOSE(MATCH(B1525, {20,25,30,35,40,45,50,55,60,65,70,75,80,85}, 1), "20-24", "25-29", "30-34", "35-39", "40-44", "45-49", "50-54", "55-59", "60-64", "65-69", "70-74", "75-79", "80-84", "85+")</f>
        <v>60-64</v>
      </c>
      <c r="D1525" t="s">
        <v>7</v>
      </c>
    </row>
    <row r="1526" spans="1:4">
      <c r="A1526" t="s">
        <v>6</v>
      </c>
      <c r="B1526">
        <v>39</v>
      </c>
      <c r="C1526" t="str">
        <f>CHOOSE(MATCH(B1526, {20,25,30,35,40,45,50,55,60,65,70,75,80,85}, 1), "20-24", "25-29", "30-34", "35-39", "40-44", "45-49", "50-54", "55-59", "60-64", "65-69", "70-74", "75-79", "80-84", "85+")</f>
        <v>35-39</v>
      </c>
      <c r="D1526" t="s">
        <v>7</v>
      </c>
    </row>
    <row r="1527" spans="1:4">
      <c r="A1527" t="s">
        <v>6</v>
      </c>
      <c r="B1527">
        <v>61</v>
      </c>
      <c r="C1527" t="str">
        <f>CHOOSE(MATCH(B1527, {20,25,30,35,40,45,50,55,60,65,70,75,80,85}, 1), "20-24", "25-29", "30-34", "35-39", "40-44", "45-49", "50-54", "55-59", "60-64", "65-69", "70-74", "75-79", "80-84", "85+")</f>
        <v>60-64</v>
      </c>
      <c r="D1527" t="s">
        <v>7</v>
      </c>
    </row>
    <row r="1528" spans="1:4">
      <c r="A1528" t="s">
        <v>6</v>
      </c>
      <c r="B1528">
        <v>47</v>
      </c>
      <c r="C1528" t="str">
        <f>CHOOSE(MATCH(B1528, {20,25,30,35,40,45,50,55,60,65,70,75,80,85}, 1), "20-24", "25-29", "30-34", "35-39", "40-44", "45-49", "50-54", "55-59", "60-64", "65-69", "70-74", "75-79", "80-84", "85+")</f>
        <v>45-49</v>
      </c>
      <c r="D1528" t="s">
        <v>7</v>
      </c>
    </row>
    <row r="1529" spans="1:4">
      <c r="A1529" t="s">
        <v>6</v>
      </c>
      <c r="B1529">
        <v>34</v>
      </c>
      <c r="C1529" t="str">
        <f>CHOOSE(MATCH(B1529, {20,25,30,35,40,45,50,55,60,65,70,75,80,85}, 1), "20-24", "25-29", "30-34", "35-39", "40-44", "45-49", "50-54", "55-59", "60-64", "65-69", "70-74", "75-79", "80-84", "85+")</f>
        <v>30-34</v>
      </c>
      <c r="D1529" t="s">
        <v>8</v>
      </c>
    </row>
    <row r="1530" spans="1:4">
      <c r="A1530" t="s">
        <v>6</v>
      </c>
      <c r="B1530">
        <v>49</v>
      </c>
      <c r="C1530" t="str">
        <f>CHOOSE(MATCH(B1530, {20,25,30,35,40,45,50,55,60,65,70,75,80,85}, 1), "20-24", "25-29", "30-34", "35-39", "40-44", "45-49", "50-54", "55-59", "60-64", "65-69", "70-74", "75-79", "80-84", "85+")</f>
        <v>45-49</v>
      </c>
      <c r="D1530" t="s">
        <v>7</v>
      </c>
    </row>
    <row r="1531" spans="1:4">
      <c r="A1531" t="s">
        <v>6</v>
      </c>
      <c r="B1531">
        <v>27</v>
      </c>
      <c r="C1531" t="str">
        <f>CHOOSE(MATCH(B1531, {20,25,30,35,40,45,50,55,60,65,70,75,80,85}, 1), "20-24", "25-29", "30-34", "35-39", "40-44", "45-49", "50-54", "55-59", "60-64", "65-69", "70-74", "75-79", "80-84", "85+")</f>
        <v>25-29</v>
      </c>
      <c r="D1531" t="s">
        <v>8</v>
      </c>
    </row>
    <row r="1532" spans="1:4">
      <c r="A1532" t="s">
        <v>6</v>
      </c>
      <c r="B1532">
        <v>42</v>
      </c>
      <c r="C1532" t="str">
        <f>CHOOSE(MATCH(B1532, {20,25,30,35,40,45,50,55,60,65,70,75,80,85}, 1), "20-24", "25-29", "30-34", "35-39", "40-44", "45-49", "50-54", "55-59", "60-64", "65-69", "70-74", "75-79", "80-84", "85+")</f>
        <v>40-44</v>
      </c>
      <c r="D1532" t="s">
        <v>7</v>
      </c>
    </row>
    <row r="1533" spans="1:4">
      <c r="A1533" t="s">
        <v>6</v>
      </c>
      <c r="B1533">
        <v>32</v>
      </c>
      <c r="C1533" t="str">
        <f>CHOOSE(MATCH(B1533, {20,25,30,35,40,45,50,55,60,65,70,75,80,85}, 1), "20-24", "25-29", "30-34", "35-39", "40-44", "45-49", "50-54", "55-59", "60-64", "65-69", "70-74", "75-79", "80-84", "85+")</f>
        <v>30-34</v>
      </c>
      <c r="D1533" t="s">
        <v>7</v>
      </c>
    </row>
    <row r="1534" spans="1:4">
      <c r="A1534" t="s">
        <v>6</v>
      </c>
      <c r="B1534">
        <v>39</v>
      </c>
      <c r="C1534" t="str">
        <f>CHOOSE(MATCH(B1534, {20,25,30,35,40,45,50,55,60,65,70,75,80,85}, 1), "20-24", "25-29", "30-34", "35-39", "40-44", "45-49", "50-54", "55-59", "60-64", "65-69", "70-74", "75-79", "80-84", "85+")</f>
        <v>35-39</v>
      </c>
      <c r="D1534" t="s">
        <v>7</v>
      </c>
    </row>
    <row r="1535" spans="1:4">
      <c r="A1535" t="s">
        <v>6</v>
      </c>
      <c r="B1535">
        <v>30</v>
      </c>
      <c r="C1535" t="str">
        <f>CHOOSE(MATCH(B1535, {20,25,30,35,40,45,50,55,60,65,70,75,80,85}, 1), "20-24", "25-29", "30-34", "35-39", "40-44", "45-49", "50-54", "55-59", "60-64", "65-69", "70-74", "75-79", "80-84", "85+")</f>
        <v>30-34</v>
      </c>
      <c r="D1535" t="s">
        <v>7</v>
      </c>
    </row>
    <row r="1536" spans="1:4">
      <c r="A1536" t="s">
        <v>6</v>
      </c>
      <c r="B1536">
        <v>27</v>
      </c>
      <c r="C1536" t="str">
        <f>CHOOSE(MATCH(B1536, {20,25,30,35,40,45,50,55,60,65,70,75,80,85}, 1), "20-24", "25-29", "30-34", "35-39", "40-44", "45-49", "50-54", "55-59", "60-64", "65-69", "70-74", "75-79", "80-84", "85+")</f>
        <v>25-29</v>
      </c>
      <c r="D1536" t="s">
        <v>8</v>
      </c>
    </row>
    <row r="1537" spans="1:4">
      <c r="A1537" t="s">
        <v>6</v>
      </c>
      <c r="B1537">
        <v>40</v>
      </c>
      <c r="C1537" t="str">
        <f>CHOOSE(MATCH(B1537, {20,25,30,35,40,45,50,55,60,65,70,75,80,85}, 1), "20-24", "25-29", "30-34", "35-39", "40-44", "45-49", "50-54", "55-59", "60-64", "65-69", "70-74", "75-79", "80-84", "85+")</f>
        <v>40-44</v>
      </c>
      <c r="D1537" t="s">
        <v>8</v>
      </c>
    </row>
    <row r="1538" spans="1:4">
      <c r="A1538" t="s">
        <v>6</v>
      </c>
      <c r="B1538">
        <v>25</v>
      </c>
      <c r="C1538" t="str">
        <f>CHOOSE(MATCH(B1538, {20,25,30,35,40,45,50,55,60,65,70,75,80,85}, 1), "20-24", "25-29", "30-34", "35-39", "40-44", "45-49", "50-54", "55-59", "60-64", "65-69", "70-74", "75-79", "80-84", "85+")</f>
        <v>25-29</v>
      </c>
      <c r="D1538" t="s">
        <v>8</v>
      </c>
    </row>
    <row r="1539" spans="1:4">
      <c r="A1539" t="s">
        <v>6</v>
      </c>
      <c r="B1539">
        <v>64</v>
      </c>
      <c r="C1539" t="str">
        <f>CHOOSE(MATCH(B1539, {20,25,30,35,40,45,50,55,60,65,70,75,80,85}, 1), "20-24", "25-29", "30-34", "35-39", "40-44", "45-49", "50-54", "55-59", "60-64", "65-69", "70-74", "75-79", "80-84", "85+")</f>
        <v>60-64</v>
      </c>
      <c r="D1539" t="s">
        <v>8</v>
      </c>
    </row>
    <row r="1540" spans="1:4">
      <c r="A1540" t="s">
        <v>6</v>
      </c>
      <c r="B1540">
        <v>27</v>
      </c>
      <c r="C1540" t="str">
        <f>CHOOSE(MATCH(B1540, {20,25,30,35,40,45,50,55,60,65,70,75,80,85}, 1), "20-24", "25-29", "30-34", "35-39", "40-44", "45-49", "50-54", "55-59", "60-64", "65-69", "70-74", "75-79", "80-84", "85+")</f>
        <v>25-29</v>
      </c>
      <c r="D1540" t="s">
        <v>7</v>
      </c>
    </row>
    <row r="1541" spans="1:4">
      <c r="A1541" t="s">
        <v>6</v>
      </c>
      <c r="B1541">
        <v>68</v>
      </c>
      <c r="C1541" t="str">
        <f>CHOOSE(MATCH(B1541, {20,25,30,35,40,45,50,55,60,65,70,75,80,85}, 1), "20-24", "25-29", "30-34", "35-39", "40-44", "45-49", "50-54", "55-59", "60-64", "65-69", "70-74", "75-79", "80-84", "85+")</f>
        <v>65-69</v>
      </c>
      <c r="D1541" t="s">
        <v>7</v>
      </c>
    </row>
    <row r="1542" spans="1:4">
      <c r="A1542" t="s">
        <v>6</v>
      </c>
      <c r="B1542">
        <v>55</v>
      </c>
      <c r="C1542" t="str">
        <f>CHOOSE(MATCH(B1542, {20,25,30,35,40,45,50,55,60,65,70,75,80,85}, 1), "20-24", "25-29", "30-34", "35-39", "40-44", "45-49", "50-54", "55-59", "60-64", "65-69", "70-74", "75-79", "80-84", "85+")</f>
        <v>55-59</v>
      </c>
      <c r="D1542" t="s">
        <v>8</v>
      </c>
    </row>
    <row r="1543" spans="1:4">
      <c r="A1543" t="s">
        <v>6</v>
      </c>
      <c r="B1543">
        <v>76</v>
      </c>
      <c r="C1543" t="str">
        <f>CHOOSE(MATCH(B1543, {20,25,30,35,40,45,50,55,60,65,70,75,80,85}, 1), "20-24", "25-29", "30-34", "35-39", "40-44", "45-49", "50-54", "55-59", "60-64", "65-69", "70-74", "75-79", "80-84", "85+")</f>
        <v>75-79</v>
      </c>
      <c r="D1543" t="s">
        <v>8</v>
      </c>
    </row>
    <row r="1544" spans="1:4">
      <c r="A1544" t="s">
        <v>6</v>
      </c>
      <c r="B1544">
        <v>60</v>
      </c>
      <c r="C1544" t="str">
        <f>CHOOSE(MATCH(B1544, {20,25,30,35,40,45,50,55,60,65,70,75,80,85}, 1), "20-24", "25-29", "30-34", "35-39", "40-44", "45-49", "50-54", "55-59", "60-64", "65-69", "70-74", "75-79", "80-84", "85+")</f>
        <v>60-64</v>
      </c>
      <c r="D1544" t="s">
        <v>8</v>
      </c>
    </row>
    <row r="1545" spans="1:4">
      <c r="A1545" t="s">
        <v>6</v>
      </c>
      <c r="B1545">
        <v>22</v>
      </c>
      <c r="C1545" t="str">
        <f>CHOOSE(MATCH(B1545, {20,25,30,35,40,45,50,55,60,65,70,75,80,85}, 1), "20-24", "25-29", "30-34", "35-39", "40-44", "45-49", "50-54", "55-59", "60-64", "65-69", "70-74", "75-79", "80-84", "85+")</f>
        <v>20-24</v>
      </c>
      <c r="D1545" t="s">
        <v>7</v>
      </c>
    </row>
    <row r="1546" spans="1:4">
      <c r="A1546" t="s">
        <v>6</v>
      </c>
      <c r="B1546">
        <v>40</v>
      </c>
      <c r="C1546" t="str">
        <f>CHOOSE(MATCH(B1546, {20,25,30,35,40,45,50,55,60,65,70,75,80,85}, 1), "20-24", "25-29", "30-34", "35-39", "40-44", "45-49", "50-54", "55-59", "60-64", "65-69", "70-74", "75-79", "80-84", "85+")</f>
        <v>40-44</v>
      </c>
      <c r="D1546" t="s">
        <v>7</v>
      </c>
    </row>
    <row r="1547" spans="1:4">
      <c r="A1547" t="s">
        <v>6</v>
      </c>
      <c r="B1547">
        <v>69</v>
      </c>
      <c r="C1547" t="str">
        <f>CHOOSE(MATCH(B1547, {20,25,30,35,40,45,50,55,60,65,70,75,80,85}, 1), "20-24", "25-29", "30-34", "35-39", "40-44", "45-49", "50-54", "55-59", "60-64", "65-69", "70-74", "75-79", "80-84", "85+")</f>
        <v>65-69</v>
      </c>
      <c r="D1547" t="s">
        <v>7</v>
      </c>
    </row>
    <row r="1548" spans="1:4">
      <c r="A1548" t="s">
        <v>6</v>
      </c>
      <c r="B1548">
        <v>44</v>
      </c>
      <c r="C1548" t="str">
        <f>CHOOSE(MATCH(B1548, {20,25,30,35,40,45,50,55,60,65,70,75,80,85}, 1), "20-24", "25-29", "30-34", "35-39", "40-44", "45-49", "50-54", "55-59", "60-64", "65-69", "70-74", "75-79", "80-84", "85+")</f>
        <v>40-44</v>
      </c>
      <c r="D1548" t="s">
        <v>7</v>
      </c>
    </row>
    <row r="1549" spans="1:4">
      <c r="A1549" t="s">
        <v>6</v>
      </c>
      <c r="B1549">
        <v>37</v>
      </c>
      <c r="C1549" t="str">
        <f>CHOOSE(MATCH(B1549, {20,25,30,35,40,45,50,55,60,65,70,75,80,85}, 1), "20-24", "25-29", "30-34", "35-39", "40-44", "45-49", "50-54", "55-59", "60-64", "65-69", "70-74", "75-79", "80-84", "85+")</f>
        <v>35-39</v>
      </c>
      <c r="D1549" t="s">
        <v>7</v>
      </c>
    </row>
    <row r="1550" spans="1:4">
      <c r="A1550" t="s">
        <v>6</v>
      </c>
      <c r="B1550">
        <v>31</v>
      </c>
      <c r="C1550" t="str">
        <f>CHOOSE(MATCH(B1550, {20,25,30,35,40,45,50,55,60,65,70,75,80,85}, 1), "20-24", "25-29", "30-34", "35-39", "40-44", "45-49", "50-54", "55-59", "60-64", "65-69", "70-74", "75-79", "80-84", "85+")</f>
        <v>30-34</v>
      </c>
      <c r="D1550" t="s">
        <v>8</v>
      </c>
    </row>
    <row r="1551" spans="1:4">
      <c r="A1551" t="s">
        <v>6</v>
      </c>
      <c r="B1551">
        <v>21</v>
      </c>
      <c r="C1551" t="str">
        <f>CHOOSE(MATCH(B1551, {20,25,30,35,40,45,50,55,60,65,70,75,80,85}, 1), "20-24", "25-29", "30-34", "35-39", "40-44", "45-49", "50-54", "55-59", "60-64", "65-69", "70-74", "75-79", "80-84", "85+")</f>
        <v>20-24</v>
      </c>
      <c r="D1551" t="s">
        <v>8</v>
      </c>
    </row>
    <row r="1552" spans="1:4">
      <c r="A1552" t="s">
        <v>6</v>
      </c>
      <c r="B1552">
        <v>40</v>
      </c>
      <c r="C1552" t="str">
        <f>CHOOSE(MATCH(B1552, {20,25,30,35,40,45,50,55,60,65,70,75,80,85}, 1), "20-24", "25-29", "30-34", "35-39", "40-44", "45-49", "50-54", "55-59", "60-64", "65-69", "70-74", "75-79", "80-84", "85+")</f>
        <v>40-44</v>
      </c>
      <c r="D1552" t="s">
        <v>8</v>
      </c>
    </row>
    <row r="1553" spans="1:4">
      <c r="A1553" t="s">
        <v>6</v>
      </c>
      <c r="B1553">
        <v>50</v>
      </c>
      <c r="C1553" t="str">
        <f>CHOOSE(MATCH(B1553, {20,25,30,35,40,45,50,55,60,65,70,75,80,85}, 1), "20-24", "25-29", "30-34", "35-39", "40-44", "45-49", "50-54", "55-59", "60-64", "65-69", "70-74", "75-79", "80-84", "85+")</f>
        <v>50-54</v>
      </c>
      <c r="D1553" t="s">
        <v>8</v>
      </c>
    </row>
    <row r="1554" spans="1:4">
      <c r="A1554" t="s">
        <v>6</v>
      </c>
      <c r="B1554">
        <v>62</v>
      </c>
      <c r="C1554" t="str">
        <f>CHOOSE(MATCH(B1554, {20,25,30,35,40,45,50,55,60,65,70,75,80,85}, 1), "20-24", "25-29", "30-34", "35-39", "40-44", "45-49", "50-54", "55-59", "60-64", "65-69", "70-74", "75-79", "80-84", "85+")</f>
        <v>60-64</v>
      </c>
      <c r="D1554" t="s">
        <v>8</v>
      </c>
    </row>
    <row r="1555" spans="1:4">
      <c r="A1555" t="s">
        <v>6</v>
      </c>
      <c r="B1555">
        <v>35</v>
      </c>
      <c r="C1555" t="str">
        <f>CHOOSE(MATCH(B1555, {20,25,30,35,40,45,50,55,60,65,70,75,80,85}, 1), "20-24", "25-29", "30-34", "35-39", "40-44", "45-49", "50-54", "55-59", "60-64", "65-69", "70-74", "75-79", "80-84", "85+")</f>
        <v>35-39</v>
      </c>
      <c r="D1555" t="s">
        <v>8</v>
      </c>
    </row>
    <row r="1556" spans="1:4">
      <c r="A1556" t="s">
        <v>6</v>
      </c>
      <c r="B1556">
        <v>61</v>
      </c>
      <c r="C1556" t="str">
        <f>CHOOSE(MATCH(B1556, {20,25,30,35,40,45,50,55,60,65,70,75,80,85}, 1), "20-24", "25-29", "30-34", "35-39", "40-44", "45-49", "50-54", "55-59", "60-64", "65-69", "70-74", "75-79", "80-84", "85+")</f>
        <v>60-64</v>
      </c>
      <c r="D1556" t="s">
        <v>7</v>
      </c>
    </row>
    <row r="1557" spans="1:4">
      <c r="A1557" t="s">
        <v>6</v>
      </c>
      <c r="B1557">
        <v>36</v>
      </c>
      <c r="C1557" t="str">
        <f>CHOOSE(MATCH(B1557, {20,25,30,35,40,45,50,55,60,65,70,75,80,85}, 1), "20-24", "25-29", "30-34", "35-39", "40-44", "45-49", "50-54", "55-59", "60-64", "65-69", "70-74", "75-79", "80-84", "85+")</f>
        <v>35-39</v>
      </c>
      <c r="D1557" t="s">
        <v>7</v>
      </c>
    </row>
    <row r="1558" spans="1:4">
      <c r="A1558" t="s">
        <v>6</v>
      </c>
      <c r="B1558">
        <v>70</v>
      </c>
      <c r="C1558" t="str">
        <f>CHOOSE(MATCH(B1558, {20,25,30,35,40,45,50,55,60,65,70,75,80,85}, 1), "20-24", "25-29", "30-34", "35-39", "40-44", "45-49", "50-54", "55-59", "60-64", "65-69", "70-74", "75-79", "80-84", "85+")</f>
        <v>70-74</v>
      </c>
      <c r="D1558" t="s">
        <v>7</v>
      </c>
    </row>
    <row r="1559" spans="1:4">
      <c r="A1559" t="s">
        <v>6</v>
      </c>
      <c r="B1559">
        <v>38</v>
      </c>
      <c r="C1559" t="str">
        <f>CHOOSE(MATCH(B1559, {20,25,30,35,40,45,50,55,60,65,70,75,80,85}, 1), "20-24", "25-29", "30-34", "35-39", "40-44", "45-49", "50-54", "55-59", "60-64", "65-69", "70-74", "75-79", "80-84", "85+")</f>
        <v>35-39</v>
      </c>
      <c r="D1559" t="s">
        <v>8</v>
      </c>
    </row>
    <row r="1560" spans="1:4">
      <c r="A1560" t="s">
        <v>6</v>
      </c>
      <c r="B1560">
        <v>53</v>
      </c>
      <c r="C1560" t="str">
        <f>CHOOSE(MATCH(B1560, {20,25,30,35,40,45,50,55,60,65,70,75,80,85}, 1), "20-24", "25-29", "30-34", "35-39", "40-44", "45-49", "50-54", "55-59", "60-64", "65-69", "70-74", "75-79", "80-84", "85+")</f>
        <v>50-54</v>
      </c>
      <c r="D1560" t="s">
        <v>7</v>
      </c>
    </row>
    <row r="1561" spans="1:4">
      <c r="A1561" t="s">
        <v>6</v>
      </c>
      <c r="B1561">
        <v>20</v>
      </c>
      <c r="C1561" t="str">
        <f>CHOOSE(MATCH(B1561, {20,25,30,35,40,45,50,55,60,65,70,75,80,85}, 1), "20-24", "25-29", "30-34", "35-39", "40-44", "45-49", "50-54", "55-59", "60-64", "65-69", "70-74", "75-79", "80-84", "85+")</f>
        <v>20-24</v>
      </c>
      <c r="D1561" t="s">
        <v>7</v>
      </c>
    </row>
    <row r="1562" spans="1:4">
      <c r="A1562" t="s">
        <v>6</v>
      </c>
      <c r="B1562">
        <v>59</v>
      </c>
      <c r="C1562" t="str">
        <f>CHOOSE(MATCH(B1562, {20,25,30,35,40,45,50,55,60,65,70,75,80,85}, 1), "20-24", "25-29", "30-34", "35-39", "40-44", "45-49", "50-54", "55-59", "60-64", "65-69", "70-74", "75-79", "80-84", "85+")</f>
        <v>55-59</v>
      </c>
      <c r="D1562" t="s">
        <v>8</v>
      </c>
    </row>
    <row r="1563" spans="1:4">
      <c r="A1563" t="s">
        <v>6</v>
      </c>
      <c r="B1563">
        <v>57</v>
      </c>
      <c r="C1563" t="str">
        <f>CHOOSE(MATCH(B1563, {20,25,30,35,40,45,50,55,60,65,70,75,80,85}, 1), "20-24", "25-29", "30-34", "35-39", "40-44", "45-49", "50-54", "55-59", "60-64", "65-69", "70-74", "75-79", "80-84", "85+")</f>
        <v>55-59</v>
      </c>
      <c r="D1563" t="s">
        <v>8</v>
      </c>
    </row>
    <row r="1564" spans="1:4">
      <c r="A1564" t="s">
        <v>6</v>
      </c>
      <c r="B1564">
        <v>75</v>
      </c>
      <c r="C1564" t="str">
        <f>CHOOSE(MATCH(B1564, {20,25,30,35,40,45,50,55,60,65,70,75,80,85}, 1), "20-24", "25-29", "30-34", "35-39", "40-44", "45-49", "50-54", "55-59", "60-64", "65-69", "70-74", "75-79", "80-84", "85+")</f>
        <v>75-79</v>
      </c>
      <c r="D1564" t="s">
        <v>8</v>
      </c>
    </row>
    <row r="1565" spans="1:4">
      <c r="A1565" t="s">
        <v>6</v>
      </c>
      <c r="B1565">
        <v>28</v>
      </c>
      <c r="C1565" t="str">
        <f>CHOOSE(MATCH(B1565, {20,25,30,35,40,45,50,55,60,65,70,75,80,85}, 1), "20-24", "25-29", "30-34", "35-39", "40-44", "45-49", "50-54", "55-59", "60-64", "65-69", "70-74", "75-79", "80-84", "85+")</f>
        <v>25-29</v>
      </c>
      <c r="D1565" t="s">
        <v>7</v>
      </c>
    </row>
    <row r="1566" spans="1:4">
      <c r="A1566" t="s">
        <v>6</v>
      </c>
      <c r="B1566">
        <v>28</v>
      </c>
      <c r="C1566" t="str">
        <f>CHOOSE(MATCH(B1566, {20,25,30,35,40,45,50,55,60,65,70,75,80,85}, 1), "20-24", "25-29", "30-34", "35-39", "40-44", "45-49", "50-54", "55-59", "60-64", "65-69", "70-74", "75-79", "80-84", "85+")</f>
        <v>25-29</v>
      </c>
      <c r="D1566" t="s">
        <v>7</v>
      </c>
    </row>
    <row r="1567" spans="1:4">
      <c r="A1567" t="s">
        <v>6</v>
      </c>
      <c r="B1567">
        <v>67</v>
      </c>
      <c r="C1567" t="str">
        <f>CHOOSE(MATCH(B1567, {20,25,30,35,40,45,50,55,60,65,70,75,80,85}, 1), "20-24", "25-29", "30-34", "35-39", "40-44", "45-49", "50-54", "55-59", "60-64", "65-69", "70-74", "75-79", "80-84", "85+")</f>
        <v>65-69</v>
      </c>
      <c r="D1567" t="s">
        <v>7</v>
      </c>
    </row>
    <row r="1568" spans="1:4">
      <c r="A1568" t="s">
        <v>6</v>
      </c>
      <c r="B1568">
        <v>29</v>
      </c>
      <c r="C1568" t="str">
        <f>CHOOSE(MATCH(B1568, {20,25,30,35,40,45,50,55,60,65,70,75,80,85}, 1), "20-24", "25-29", "30-34", "35-39", "40-44", "45-49", "50-54", "55-59", "60-64", "65-69", "70-74", "75-79", "80-84", "85+")</f>
        <v>25-29</v>
      </c>
      <c r="D1568" t="s">
        <v>7</v>
      </c>
    </row>
    <row r="1569" spans="1:4">
      <c r="A1569" t="s">
        <v>6</v>
      </c>
      <c r="B1569">
        <v>38</v>
      </c>
      <c r="C1569" t="str">
        <f>CHOOSE(MATCH(B1569, {20,25,30,35,40,45,50,55,60,65,70,75,80,85}, 1), "20-24", "25-29", "30-34", "35-39", "40-44", "45-49", "50-54", "55-59", "60-64", "65-69", "70-74", "75-79", "80-84", "85+")</f>
        <v>35-39</v>
      </c>
      <c r="D1569" t="s">
        <v>8</v>
      </c>
    </row>
    <row r="1570" spans="1:4">
      <c r="A1570" t="s">
        <v>6</v>
      </c>
      <c r="B1570">
        <v>51</v>
      </c>
      <c r="C1570" t="str">
        <f>CHOOSE(MATCH(B1570, {20,25,30,35,40,45,50,55,60,65,70,75,80,85}, 1), "20-24", "25-29", "30-34", "35-39", "40-44", "45-49", "50-54", "55-59", "60-64", "65-69", "70-74", "75-79", "80-84", "85+")</f>
        <v>50-54</v>
      </c>
      <c r="D1570" t="s">
        <v>7</v>
      </c>
    </row>
    <row r="1571" spans="1:4">
      <c r="A1571" t="s">
        <v>6</v>
      </c>
      <c r="B1571">
        <v>23</v>
      </c>
      <c r="C1571" t="str">
        <f>CHOOSE(MATCH(B1571, {20,25,30,35,40,45,50,55,60,65,70,75,80,85}, 1), "20-24", "25-29", "30-34", "35-39", "40-44", "45-49", "50-54", "55-59", "60-64", "65-69", "70-74", "75-79", "80-84", "85+")</f>
        <v>20-24</v>
      </c>
      <c r="D1571" t="s">
        <v>7</v>
      </c>
    </row>
    <row r="1572" spans="1:4">
      <c r="A1572" t="s">
        <v>6</v>
      </c>
      <c r="B1572">
        <v>76</v>
      </c>
      <c r="C1572" t="str">
        <f>CHOOSE(MATCH(B1572, {20,25,30,35,40,45,50,55,60,65,70,75,80,85}, 1), "20-24", "25-29", "30-34", "35-39", "40-44", "45-49", "50-54", "55-59", "60-64", "65-69", "70-74", "75-79", "80-84", "85+")</f>
        <v>75-79</v>
      </c>
      <c r="D1572" t="s">
        <v>7</v>
      </c>
    </row>
    <row r="1573" spans="1:4">
      <c r="A1573" t="s">
        <v>6</v>
      </c>
      <c r="B1573">
        <v>48</v>
      </c>
      <c r="C1573" t="str">
        <f>CHOOSE(MATCH(B1573, {20,25,30,35,40,45,50,55,60,65,70,75,80,85}, 1), "20-24", "25-29", "30-34", "35-39", "40-44", "45-49", "50-54", "55-59", "60-64", "65-69", "70-74", "75-79", "80-84", "85+")</f>
        <v>45-49</v>
      </c>
      <c r="D1573" t="s">
        <v>7</v>
      </c>
    </row>
    <row r="1574" spans="1:4">
      <c r="A1574" t="s">
        <v>6</v>
      </c>
      <c r="B1574">
        <v>35</v>
      </c>
      <c r="C1574" t="str">
        <f>CHOOSE(MATCH(B1574, {20,25,30,35,40,45,50,55,60,65,70,75,80,85}, 1), "20-24", "25-29", "30-34", "35-39", "40-44", "45-49", "50-54", "55-59", "60-64", "65-69", "70-74", "75-79", "80-84", "85+")</f>
        <v>35-39</v>
      </c>
      <c r="D1574" t="s">
        <v>7</v>
      </c>
    </row>
    <row r="1575" spans="1:4">
      <c r="A1575" t="s">
        <v>6</v>
      </c>
      <c r="B1575">
        <v>34</v>
      </c>
      <c r="C1575" t="str">
        <f>CHOOSE(MATCH(B1575, {20,25,30,35,40,45,50,55,60,65,70,75,80,85}, 1), "20-24", "25-29", "30-34", "35-39", "40-44", "45-49", "50-54", "55-59", "60-64", "65-69", "70-74", "75-79", "80-84", "85+")</f>
        <v>30-34</v>
      </c>
      <c r="D1575" t="s">
        <v>7</v>
      </c>
    </row>
    <row r="1576" spans="1:4">
      <c r="A1576" t="s">
        <v>6</v>
      </c>
      <c r="B1576">
        <v>28</v>
      </c>
      <c r="C1576" t="str">
        <f>CHOOSE(MATCH(B1576, {20,25,30,35,40,45,50,55,60,65,70,75,80,85}, 1), "20-24", "25-29", "30-34", "35-39", "40-44", "45-49", "50-54", "55-59", "60-64", "65-69", "70-74", "75-79", "80-84", "85+")</f>
        <v>25-29</v>
      </c>
      <c r="D1576" t="s">
        <v>8</v>
      </c>
    </row>
    <row r="1577" spans="1:4">
      <c r="A1577" t="s">
        <v>6</v>
      </c>
      <c r="B1577">
        <v>35</v>
      </c>
      <c r="C1577" t="str">
        <f>CHOOSE(MATCH(B1577, {20,25,30,35,40,45,50,55,60,65,70,75,80,85}, 1), "20-24", "25-29", "30-34", "35-39", "40-44", "45-49", "50-54", "55-59", "60-64", "65-69", "70-74", "75-79", "80-84", "85+")</f>
        <v>35-39</v>
      </c>
      <c r="D1577" t="s">
        <v>8</v>
      </c>
    </row>
    <row r="1578" spans="1:4">
      <c r="A1578" t="s">
        <v>6</v>
      </c>
      <c r="B1578">
        <v>45</v>
      </c>
      <c r="C1578" t="str">
        <f>CHOOSE(MATCH(B1578, {20,25,30,35,40,45,50,55,60,65,70,75,80,85}, 1), "20-24", "25-29", "30-34", "35-39", "40-44", "45-49", "50-54", "55-59", "60-64", "65-69", "70-74", "75-79", "80-84", "85+")</f>
        <v>45-49</v>
      </c>
      <c r="D1578" t="s">
        <v>8</v>
      </c>
    </row>
    <row r="1579" spans="1:4">
      <c r="A1579" t="s">
        <v>6</v>
      </c>
      <c r="B1579">
        <v>31</v>
      </c>
      <c r="C1579" t="str">
        <f>CHOOSE(MATCH(B1579, {20,25,30,35,40,45,50,55,60,65,70,75,80,85}, 1), "20-24", "25-29", "30-34", "35-39", "40-44", "45-49", "50-54", "55-59", "60-64", "65-69", "70-74", "75-79", "80-84", "85+")</f>
        <v>30-34</v>
      </c>
      <c r="D1579" t="s">
        <v>7</v>
      </c>
    </row>
    <row r="1580" spans="1:4">
      <c r="A1580" t="s">
        <v>6</v>
      </c>
      <c r="B1580">
        <v>29</v>
      </c>
      <c r="C1580" t="str">
        <f>CHOOSE(MATCH(B1580, {20,25,30,35,40,45,50,55,60,65,70,75,80,85}, 1), "20-24", "25-29", "30-34", "35-39", "40-44", "45-49", "50-54", "55-59", "60-64", "65-69", "70-74", "75-79", "80-84", "85+")</f>
        <v>25-29</v>
      </c>
      <c r="D1580" t="s">
        <v>7</v>
      </c>
    </row>
    <row r="1581" spans="1:4">
      <c r="A1581" t="s">
        <v>6</v>
      </c>
      <c r="B1581">
        <v>28</v>
      </c>
      <c r="C1581" t="str">
        <f>CHOOSE(MATCH(B1581, {20,25,30,35,40,45,50,55,60,65,70,75,80,85}, 1), "20-24", "25-29", "30-34", "35-39", "40-44", "45-49", "50-54", "55-59", "60-64", "65-69", "70-74", "75-79", "80-84", "85+")</f>
        <v>25-29</v>
      </c>
      <c r="D1581" t="s">
        <v>7</v>
      </c>
    </row>
    <row r="1582" spans="1:4">
      <c r="A1582" t="s">
        <v>6</v>
      </c>
      <c r="B1582">
        <v>27</v>
      </c>
      <c r="C1582" t="str">
        <f>CHOOSE(MATCH(B1582, {20,25,30,35,40,45,50,55,60,65,70,75,80,85}, 1), "20-24", "25-29", "30-34", "35-39", "40-44", "45-49", "50-54", "55-59", "60-64", "65-69", "70-74", "75-79", "80-84", "85+")</f>
        <v>25-29</v>
      </c>
      <c r="D1582" t="s">
        <v>8</v>
      </c>
    </row>
    <row r="1583" spans="1:4">
      <c r="A1583" t="s">
        <v>6</v>
      </c>
      <c r="B1583">
        <v>36</v>
      </c>
      <c r="C1583" t="str">
        <f>CHOOSE(MATCH(B1583, {20,25,30,35,40,45,50,55,60,65,70,75,80,85}, 1), "20-24", "25-29", "30-34", "35-39", "40-44", "45-49", "50-54", "55-59", "60-64", "65-69", "70-74", "75-79", "80-84", "85+")</f>
        <v>35-39</v>
      </c>
      <c r="D1583" t="s">
        <v>7</v>
      </c>
    </row>
    <row r="1584" spans="1:4">
      <c r="A1584" t="s">
        <v>6</v>
      </c>
      <c r="B1584">
        <v>29</v>
      </c>
      <c r="C1584" t="str">
        <f>CHOOSE(MATCH(B1584, {20,25,30,35,40,45,50,55,60,65,70,75,80,85}, 1), "20-24", "25-29", "30-34", "35-39", "40-44", "45-49", "50-54", "55-59", "60-64", "65-69", "70-74", "75-79", "80-84", "85+")</f>
        <v>25-29</v>
      </c>
      <c r="D1584" t="s">
        <v>8</v>
      </c>
    </row>
    <row r="1585" spans="1:4">
      <c r="A1585" t="s">
        <v>6</v>
      </c>
      <c r="B1585">
        <v>39</v>
      </c>
      <c r="C1585" t="str">
        <f>CHOOSE(MATCH(B1585, {20,25,30,35,40,45,50,55,60,65,70,75,80,85}, 1), "20-24", "25-29", "30-34", "35-39", "40-44", "45-49", "50-54", "55-59", "60-64", "65-69", "70-74", "75-79", "80-84", "85+")</f>
        <v>35-39</v>
      </c>
      <c r="D1585" t="s">
        <v>8</v>
      </c>
    </row>
    <row r="1586" spans="1:4">
      <c r="A1586" t="s">
        <v>6</v>
      </c>
      <c r="B1586">
        <v>26</v>
      </c>
      <c r="C1586" t="str">
        <f>CHOOSE(MATCH(B1586, {20,25,30,35,40,45,50,55,60,65,70,75,80,85}, 1), "20-24", "25-29", "30-34", "35-39", "40-44", "45-49", "50-54", "55-59", "60-64", "65-69", "70-74", "75-79", "80-84", "85+")</f>
        <v>25-29</v>
      </c>
      <c r="D1586" t="s">
        <v>7</v>
      </c>
    </row>
    <row r="1587" spans="1:4">
      <c r="A1587" t="s">
        <v>6</v>
      </c>
      <c r="B1587">
        <v>64</v>
      </c>
      <c r="C1587" t="str">
        <f>CHOOSE(MATCH(B1587, {20,25,30,35,40,45,50,55,60,65,70,75,80,85}, 1), "20-24", "25-29", "30-34", "35-39", "40-44", "45-49", "50-54", "55-59", "60-64", "65-69", "70-74", "75-79", "80-84", "85+")</f>
        <v>60-64</v>
      </c>
      <c r="D1587" t="s">
        <v>8</v>
      </c>
    </row>
    <row r="1588" spans="1:4">
      <c r="A1588" t="s">
        <v>6</v>
      </c>
      <c r="B1588">
        <v>79</v>
      </c>
      <c r="C1588" t="str">
        <f>CHOOSE(MATCH(B1588, {20,25,30,35,40,45,50,55,60,65,70,75,80,85}, 1), "20-24", "25-29", "30-34", "35-39", "40-44", "45-49", "50-54", "55-59", "60-64", "65-69", "70-74", "75-79", "80-84", "85+")</f>
        <v>75-79</v>
      </c>
      <c r="D1588" t="s">
        <v>7</v>
      </c>
    </row>
    <row r="1589" spans="1:4">
      <c r="A1589" t="s">
        <v>6</v>
      </c>
      <c r="B1589">
        <v>36</v>
      </c>
      <c r="C1589" t="str">
        <f>CHOOSE(MATCH(B1589, {20,25,30,35,40,45,50,55,60,65,70,75,80,85}, 1), "20-24", "25-29", "30-34", "35-39", "40-44", "45-49", "50-54", "55-59", "60-64", "65-69", "70-74", "75-79", "80-84", "85+")</f>
        <v>35-39</v>
      </c>
      <c r="D1589" t="s">
        <v>8</v>
      </c>
    </row>
    <row r="1590" spans="1:4">
      <c r="A1590" t="s">
        <v>6</v>
      </c>
      <c r="B1590">
        <v>34</v>
      </c>
      <c r="C1590" t="str">
        <f>CHOOSE(MATCH(B1590, {20,25,30,35,40,45,50,55,60,65,70,75,80,85}, 1), "20-24", "25-29", "30-34", "35-39", "40-44", "45-49", "50-54", "55-59", "60-64", "65-69", "70-74", "75-79", "80-84", "85+")</f>
        <v>30-34</v>
      </c>
      <c r="D1590" t="s">
        <v>7</v>
      </c>
    </row>
    <row r="1591" spans="1:4">
      <c r="A1591" t="s">
        <v>6</v>
      </c>
      <c r="B1591">
        <v>51</v>
      </c>
      <c r="C1591" t="str">
        <f>CHOOSE(MATCH(B1591, {20,25,30,35,40,45,50,55,60,65,70,75,80,85}, 1), "20-24", "25-29", "30-34", "35-39", "40-44", "45-49", "50-54", "55-59", "60-64", "65-69", "70-74", "75-79", "80-84", "85+")</f>
        <v>50-54</v>
      </c>
      <c r="D1591" t="s">
        <v>7</v>
      </c>
    </row>
    <row r="1592" spans="1:4">
      <c r="A1592" t="s">
        <v>6</v>
      </c>
      <c r="B1592">
        <v>35</v>
      </c>
      <c r="C1592" t="str">
        <f>CHOOSE(MATCH(B1592, {20,25,30,35,40,45,50,55,60,65,70,75,80,85}, 1), "20-24", "25-29", "30-34", "35-39", "40-44", "45-49", "50-54", "55-59", "60-64", "65-69", "70-74", "75-79", "80-84", "85+")</f>
        <v>35-39</v>
      </c>
      <c r="D1592" t="s">
        <v>7</v>
      </c>
    </row>
    <row r="1593" spans="1:4">
      <c r="A1593" t="s">
        <v>6</v>
      </c>
      <c r="B1593">
        <v>29</v>
      </c>
      <c r="C1593" t="str">
        <f>CHOOSE(MATCH(B1593, {20,25,30,35,40,45,50,55,60,65,70,75,80,85}, 1), "20-24", "25-29", "30-34", "35-39", "40-44", "45-49", "50-54", "55-59", "60-64", "65-69", "70-74", "75-79", "80-84", "85+")</f>
        <v>25-29</v>
      </c>
      <c r="D1593" t="s">
        <v>7</v>
      </c>
    </row>
    <row r="1594" spans="1:4">
      <c r="A1594" t="s">
        <v>6</v>
      </c>
      <c r="B1594">
        <v>28</v>
      </c>
      <c r="C1594" t="str">
        <f>CHOOSE(MATCH(B1594, {20,25,30,35,40,45,50,55,60,65,70,75,80,85}, 1), "20-24", "25-29", "30-34", "35-39", "40-44", "45-49", "50-54", "55-59", "60-64", "65-69", "70-74", "75-79", "80-84", "85+")</f>
        <v>25-29</v>
      </c>
      <c r="D1594" t="s">
        <v>7</v>
      </c>
    </row>
    <row r="1595" spans="1:4">
      <c r="A1595" t="s">
        <v>6</v>
      </c>
      <c r="B1595">
        <v>49</v>
      </c>
      <c r="C1595" t="str">
        <f>CHOOSE(MATCH(B1595, {20,25,30,35,40,45,50,55,60,65,70,75,80,85}, 1), "20-24", "25-29", "30-34", "35-39", "40-44", "45-49", "50-54", "55-59", "60-64", "65-69", "70-74", "75-79", "80-84", "85+")</f>
        <v>45-49</v>
      </c>
      <c r="D1595" t="s">
        <v>8</v>
      </c>
    </row>
    <row r="1596" spans="1:4">
      <c r="A1596" t="s">
        <v>6</v>
      </c>
      <c r="B1596">
        <v>37</v>
      </c>
      <c r="C1596" t="str">
        <f>CHOOSE(MATCH(B1596, {20,25,30,35,40,45,50,55,60,65,70,75,80,85}, 1), "20-24", "25-29", "30-34", "35-39", "40-44", "45-49", "50-54", "55-59", "60-64", "65-69", "70-74", "75-79", "80-84", "85+")</f>
        <v>35-39</v>
      </c>
      <c r="D1596" t="s">
        <v>7</v>
      </c>
    </row>
    <row r="1597" spans="1:4">
      <c r="A1597" t="s">
        <v>6</v>
      </c>
      <c r="B1597">
        <v>69</v>
      </c>
      <c r="C1597" t="str">
        <f>CHOOSE(MATCH(B1597, {20,25,30,35,40,45,50,55,60,65,70,75,80,85}, 1), "20-24", "25-29", "30-34", "35-39", "40-44", "45-49", "50-54", "55-59", "60-64", "65-69", "70-74", "75-79", "80-84", "85+")</f>
        <v>65-69</v>
      </c>
      <c r="D1597" t="s">
        <v>8</v>
      </c>
    </row>
    <row r="1598" spans="1:4">
      <c r="A1598" t="s">
        <v>6</v>
      </c>
      <c r="B1598">
        <v>39</v>
      </c>
      <c r="C1598" t="str">
        <f>CHOOSE(MATCH(B1598, {20,25,30,35,40,45,50,55,60,65,70,75,80,85}, 1), "20-24", "25-29", "30-34", "35-39", "40-44", "45-49", "50-54", "55-59", "60-64", "65-69", "70-74", "75-79", "80-84", "85+")</f>
        <v>35-39</v>
      </c>
      <c r="D1598" t="s">
        <v>7</v>
      </c>
    </row>
    <row r="1599" spans="1:4">
      <c r="A1599" t="s">
        <v>6</v>
      </c>
      <c r="B1599">
        <v>25</v>
      </c>
      <c r="C1599" t="str">
        <f>CHOOSE(MATCH(B1599, {20,25,30,35,40,45,50,55,60,65,70,75,80,85}, 1), "20-24", "25-29", "30-34", "35-39", "40-44", "45-49", "50-54", "55-59", "60-64", "65-69", "70-74", "75-79", "80-84", "85+")</f>
        <v>25-29</v>
      </c>
      <c r="D1599" t="s">
        <v>8</v>
      </c>
    </row>
    <row r="1600" spans="1:4">
      <c r="A1600" t="s">
        <v>6</v>
      </c>
      <c r="B1600">
        <v>59</v>
      </c>
      <c r="C1600" t="str">
        <f>CHOOSE(MATCH(B1600, {20,25,30,35,40,45,50,55,60,65,70,75,80,85}, 1), "20-24", "25-29", "30-34", "35-39", "40-44", "45-49", "50-54", "55-59", "60-64", "65-69", "70-74", "75-79", "80-84", "85+")</f>
        <v>55-59</v>
      </c>
      <c r="D1600" t="s">
        <v>8</v>
      </c>
    </row>
    <row r="1601" spans="1:4">
      <c r="A1601" t="s">
        <v>6</v>
      </c>
      <c r="B1601">
        <v>60</v>
      </c>
      <c r="C1601" t="str">
        <f>CHOOSE(MATCH(B1601, {20,25,30,35,40,45,50,55,60,65,70,75,80,85}, 1), "20-24", "25-29", "30-34", "35-39", "40-44", "45-49", "50-54", "55-59", "60-64", "65-69", "70-74", "75-79", "80-84", "85+")</f>
        <v>60-64</v>
      </c>
      <c r="D1601" t="s">
        <v>7</v>
      </c>
    </row>
    <row r="1602" spans="1:4">
      <c r="A1602" t="s">
        <v>6</v>
      </c>
      <c r="B1602">
        <v>20</v>
      </c>
      <c r="C1602" t="str">
        <f>CHOOSE(MATCH(B1602, {20,25,30,35,40,45,50,55,60,65,70,75,80,85}, 1), "20-24", "25-29", "30-34", "35-39", "40-44", "45-49", "50-54", "55-59", "60-64", "65-69", "70-74", "75-79", "80-84", "85+")</f>
        <v>20-24</v>
      </c>
      <c r="D1602" t="s">
        <v>7</v>
      </c>
    </row>
    <row r="1603" spans="1:4">
      <c r="A1603" t="s">
        <v>6</v>
      </c>
      <c r="B1603">
        <v>67</v>
      </c>
      <c r="C1603" t="str">
        <f>CHOOSE(MATCH(B1603, {20,25,30,35,40,45,50,55,60,65,70,75,80,85}, 1), "20-24", "25-29", "30-34", "35-39", "40-44", "45-49", "50-54", "55-59", "60-64", "65-69", "70-74", "75-79", "80-84", "85+")</f>
        <v>65-69</v>
      </c>
      <c r="D1603" t="s">
        <v>7</v>
      </c>
    </row>
    <row r="1604" spans="1:4">
      <c r="A1604" t="s">
        <v>6</v>
      </c>
      <c r="B1604">
        <v>30</v>
      </c>
      <c r="C1604" t="str">
        <f>CHOOSE(MATCH(B1604, {20,25,30,35,40,45,50,55,60,65,70,75,80,85}, 1), "20-24", "25-29", "30-34", "35-39", "40-44", "45-49", "50-54", "55-59", "60-64", "65-69", "70-74", "75-79", "80-84", "85+")</f>
        <v>30-34</v>
      </c>
      <c r="D1604" t="s">
        <v>7</v>
      </c>
    </row>
    <row r="1605" spans="1:4">
      <c r="A1605" t="s">
        <v>6</v>
      </c>
      <c r="B1605">
        <v>44</v>
      </c>
      <c r="C1605" t="str">
        <f>CHOOSE(MATCH(B1605, {20,25,30,35,40,45,50,55,60,65,70,75,80,85}, 1), "20-24", "25-29", "30-34", "35-39", "40-44", "45-49", "50-54", "55-59", "60-64", "65-69", "70-74", "75-79", "80-84", "85+")</f>
        <v>40-44</v>
      </c>
      <c r="D1605" t="s">
        <v>7</v>
      </c>
    </row>
    <row r="1606" spans="1:4">
      <c r="A1606" t="s">
        <v>6</v>
      </c>
      <c r="B1606">
        <v>40</v>
      </c>
      <c r="C1606" t="str">
        <f>CHOOSE(MATCH(B1606, {20,25,30,35,40,45,50,55,60,65,70,75,80,85}, 1), "20-24", "25-29", "30-34", "35-39", "40-44", "45-49", "50-54", "55-59", "60-64", "65-69", "70-74", "75-79", "80-84", "85+")</f>
        <v>40-44</v>
      </c>
      <c r="D1606" t="s">
        <v>8</v>
      </c>
    </row>
    <row r="1607" spans="1:4">
      <c r="A1607" t="s">
        <v>6</v>
      </c>
      <c r="B1607">
        <v>33</v>
      </c>
      <c r="C1607" t="str">
        <f>CHOOSE(MATCH(B1607, {20,25,30,35,40,45,50,55,60,65,70,75,80,85}, 1), "20-24", "25-29", "30-34", "35-39", "40-44", "45-49", "50-54", "55-59", "60-64", "65-69", "70-74", "75-79", "80-84", "85+")</f>
        <v>30-34</v>
      </c>
      <c r="D1607" t="s">
        <v>7</v>
      </c>
    </row>
    <row r="1608" spans="1:4">
      <c r="A1608" t="s">
        <v>6</v>
      </c>
      <c r="B1608">
        <v>40</v>
      </c>
      <c r="C1608" t="str">
        <f>CHOOSE(MATCH(B1608, {20,25,30,35,40,45,50,55,60,65,70,75,80,85}, 1), "20-24", "25-29", "30-34", "35-39", "40-44", "45-49", "50-54", "55-59", "60-64", "65-69", "70-74", "75-79", "80-84", "85+")</f>
        <v>40-44</v>
      </c>
      <c r="D1608" t="s">
        <v>7</v>
      </c>
    </row>
    <row r="1609" spans="1:4">
      <c r="A1609" t="s">
        <v>6</v>
      </c>
      <c r="B1609">
        <v>52</v>
      </c>
      <c r="C1609" t="str">
        <f>CHOOSE(MATCH(B1609, {20,25,30,35,40,45,50,55,60,65,70,75,80,85}, 1), "20-24", "25-29", "30-34", "35-39", "40-44", "45-49", "50-54", "55-59", "60-64", "65-69", "70-74", "75-79", "80-84", "85+")</f>
        <v>50-54</v>
      </c>
      <c r="D1609" t="s">
        <v>8</v>
      </c>
    </row>
    <row r="1610" spans="1:4">
      <c r="A1610" t="s">
        <v>6</v>
      </c>
      <c r="B1610">
        <v>24</v>
      </c>
      <c r="C1610" t="str">
        <f>CHOOSE(MATCH(B1610, {20,25,30,35,40,45,50,55,60,65,70,75,80,85}, 1), "20-24", "25-29", "30-34", "35-39", "40-44", "45-49", "50-54", "55-59", "60-64", "65-69", "70-74", "75-79", "80-84", "85+")</f>
        <v>20-24</v>
      </c>
      <c r="D1610" t="s">
        <v>7</v>
      </c>
    </row>
    <row r="1611" spans="1:4">
      <c r="A1611" t="s">
        <v>6</v>
      </c>
      <c r="B1611">
        <v>37</v>
      </c>
      <c r="C1611" t="str">
        <f>CHOOSE(MATCH(B1611, {20,25,30,35,40,45,50,55,60,65,70,75,80,85}, 1), "20-24", "25-29", "30-34", "35-39", "40-44", "45-49", "50-54", "55-59", "60-64", "65-69", "70-74", "75-79", "80-84", "85+")</f>
        <v>35-39</v>
      </c>
      <c r="D1611" t="s">
        <v>7</v>
      </c>
    </row>
    <row r="1612" spans="1:4">
      <c r="A1612" t="s">
        <v>6</v>
      </c>
      <c r="B1612">
        <v>68</v>
      </c>
      <c r="C1612" t="str">
        <f>CHOOSE(MATCH(B1612, {20,25,30,35,40,45,50,55,60,65,70,75,80,85}, 1), "20-24", "25-29", "30-34", "35-39", "40-44", "45-49", "50-54", "55-59", "60-64", "65-69", "70-74", "75-79", "80-84", "85+")</f>
        <v>65-69</v>
      </c>
      <c r="D1612" t="s">
        <v>8</v>
      </c>
    </row>
    <row r="1613" spans="1:4">
      <c r="A1613" t="s">
        <v>6</v>
      </c>
      <c r="B1613">
        <v>37</v>
      </c>
      <c r="C1613" t="str">
        <f>CHOOSE(MATCH(B1613, {20,25,30,35,40,45,50,55,60,65,70,75,80,85}, 1), "20-24", "25-29", "30-34", "35-39", "40-44", "45-49", "50-54", "55-59", "60-64", "65-69", "70-74", "75-79", "80-84", "85+")</f>
        <v>35-39</v>
      </c>
      <c r="D1613" t="s">
        <v>7</v>
      </c>
    </row>
    <row r="1614" spans="1:4">
      <c r="A1614" t="s">
        <v>6</v>
      </c>
      <c r="B1614">
        <v>29</v>
      </c>
      <c r="C1614" t="str">
        <f>CHOOSE(MATCH(B1614, {20,25,30,35,40,45,50,55,60,65,70,75,80,85}, 1), "20-24", "25-29", "30-34", "35-39", "40-44", "45-49", "50-54", "55-59", "60-64", "65-69", "70-74", "75-79", "80-84", "85+")</f>
        <v>25-29</v>
      </c>
      <c r="D1614" t="s">
        <v>7</v>
      </c>
    </row>
    <row r="1615" spans="1:4">
      <c r="A1615" t="s">
        <v>6</v>
      </c>
      <c r="B1615">
        <v>40</v>
      </c>
      <c r="C1615" t="str">
        <f>CHOOSE(MATCH(B1615, {20,25,30,35,40,45,50,55,60,65,70,75,80,85}, 1), "20-24", "25-29", "30-34", "35-39", "40-44", "45-49", "50-54", "55-59", "60-64", "65-69", "70-74", "75-79", "80-84", "85+")</f>
        <v>40-44</v>
      </c>
      <c r="D1615" t="s">
        <v>8</v>
      </c>
    </row>
    <row r="1616" spans="1:4">
      <c r="A1616" t="s">
        <v>6</v>
      </c>
      <c r="B1616">
        <v>29</v>
      </c>
      <c r="C1616" t="str">
        <f>CHOOSE(MATCH(B1616, {20,25,30,35,40,45,50,55,60,65,70,75,80,85}, 1), "20-24", "25-29", "30-34", "35-39", "40-44", "45-49", "50-54", "55-59", "60-64", "65-69", "70-74", "75-79", "80-84", "85+")</f>
        <v>25-29</v>
      </c>
      <c r="D1616" t="s">
        <v>7</v>
      </c>
    </row>
    <row r="1617" spans="1:4">
      <c r="A1617" t="s">
        <v>6</v>
      </c>
      <c r="B1617">
        <v>28</v>
      </c>
      <c r="C1617" t="str">
        <f>CHOOSE(MATCH(B1617, {20,25,30,35,40,45,50,55,60,65,70,75,80,85}, 1), "20-24", "25-29", "30-34", "35-39", "40-44", "45-49", "50-54", "55-59", "60-64", "65-69", "70-74", "75-79", "80-84", "85+")</f>
        <v>25-29</v>
      </c>
      <c r="D1617" t="s">
        <v>8</v>
      </c>
    </row>
    <row r="1618" spans="1:4">
      <c r="A1618" t="s">
        <v>6</v>
      </c>
      <c r="B1618">
        <v>73</v>
      </c>
      <c r="C1618" t="str">
        <f>CHOOSE(MATCH(B1618, {20,25,30,35,40,45,50,55,60,65,70,75,80,85}, 1), "20-24", "25-29", "30-34", "35-39", "40-44", "45-49", "50-54", "55-59", "60-64", "65-69", "70-74", "75-79", "80-84", "85+")</f>
        <v>70-74</v>
      </c>
      <c r="D1618" t="s">
        <v>7</v>
      </c>
    </row>
    <row r="1619" spans="1:4">
      <c r="A1619" t="s">
        <v>6</v>
      </c>
      <c r="B1619">
        <v>50</v>
      </c>
      <c r="C1619" t="str">
        <f>CHOOSE(MATCH(B1619, {20,25,30,35,40,45,50,55,60,65,70,75,80,85}, 1), "20-24", "25-29", "30-34", "35-39", "40-44", "45-49", "50-54", "55-59", "60-64", "65-69", "70-74", "75-79", "80-84", "85+")</f>
        <v>50-54</v>
      </c>
      <c r="D1619" t="s">
        <v>8</v>
      </c>
    </row>
    <row r="1620" spans="1:4">
      <c r="A1620" t="s">
        <v>6</v>
      </c>
      <c r="B1620">
        <v>38</v>
      </c>
      <c r="C1620" t="str">
        <f>CHOOSE(MATCH(B1620, {20,25,30,35,40,45,50,55,60,65,70,75,80,85}, 1), "20-24", "25-29", "30-34", "35-39", "40-44", "45-49", "50-54", "55-59", "60-64", "65-69", "70-74", "75-79", "80-84", "85+")</f>
        <v>35-39</v>
      </c>
      <c r="D1620" t="s">
        <v>8</v>
      </c>
    </row>
    <row r="1621" spans="1:4">
      <c r="A1621" t="s">
        <v>6</v>
      </c>
      <c r="B1621">
        <v>48</v>
      </c>
      <c r="C1621" t="str">
        <f>CHOOSE(MATCH(B1621, {20,25,30,35,40,45,50,55,60,65,70,75,80,85}, 1), "20-24", "25-29", "30-34", "35-39", "40-44", "45-49", "50-54", "55-59", "60-64", "65-69", "70-74", "75-79", "80-84", "85+")</f>
        <v>45-49</v>
      </c>
      <c r="D1621" t="s">
        <v>7</v>
      </c>
    </row>
    <row r="1622" spans="1:4">
      <c r="A1622" t="s">
        <v>6</v>
      </c>
      <c r="B1622">
        <v>59</v>
      </c>
      <c r="C1622" t="str">
        <f>CHOOSE(MATCH(B1622, {20,25,30,35,40,45,50,55,60,65,70,75,80,85}, 1), "20-24", "25-29", "30-34", "35-39", "40-44", "45-49", "50-54", "55-59", "60-64", "65-69", "70-74", "75-79", "80-84", "85+")</f>
        <v>55-59</v>
      </c>
      <c r="D1622" t="s">
        <v>7</v>
      </c>
    </row>
    <row r="1623" spans="1:4">
      <c r="A1623" t="s">
        <v>6</v>
      </c>
      <c r="B1623">
        <v>72</v>
      </c>
      <c r="C1623" t="str">
        <f>CHOOSE(MATCH(B1623, {20,25,30,35,40,45,50,55,60,65,70,75,80,85}, 1), "20-24", "25-29", "30-34", "35-39", "40-44", "45-49", "50-54", "55-59", "60-64", "65-69", "70-74", "75-79", "80-84", "85+")</f>
        <v>70-74</v>
      </c>
      <c r="D1623" t="s">
        <v>8</v>
      </c>
    </row>
    <row r="1624" spans="1:4">
      <c r="A1624" t="s">
        <v>6</v>
      </c>
      <c r="B1624">
        <v>43</v>
      </c>
      <c r="C1624" t="str">
        <f>CHOOSE(MATCH(B1624, {20,25,30,35,40,45,50,55,60,65,70,75,80,85}, 1), "20-24", "25-29", "30-34", "35-39", "40-44", "45-49", "50-54", "55-59", "60-64", "65-69", "70-74", "75-79", "80-84", "85+")</f>
        <v>40-44</v>
      </c>
      <c r="D1624" t="s">
        <v>8</v>
      </c>
    </row>
    <row r="1625" spans="1:4">
      <c r="A1625" t="s">
        <v>6</v>
      </c>
      <c r="B1625">
        <v>36</v>
      </c>
      <c r="C1625" t="str">
        <f>CHOOSE(MATCH(B1625, {20,25,30,35,40,45,50,55,60,65,70,75,80,85}, 1), "20-24", "25-29", "30-34", "35-39", "40-44", "45-49", "50-54", "55-59", "60-64", "65-69", "70-74", "75-79", "80-84", "85+")</f>
        <v>35-39</v>
      </c>
      <c r="D1625" t="s">
        <v>7</v>
      </c>
    </row>
    <row r="1626" spans="1:4">
      <c r="A1626" t="s">
        <v>6</v>
      </c>
      <c r="B1626">
        <v>29</v>
      </c>
      <c r="C1626" t="str">
        <f>CHOOSE(MATCH(B1626, {20,25,30,35,40,45,50,55,60,65,70,75,80,85}, 1), "20-24", "25-29", "30-34", "35-39", "40-44", "45-49", "50-54", "55-59", "60-64", "65-69", "70-74", "75-79", "80-84", "85+")</f>
        <v>25-29</v>
      </c>
      <c r="D1626" t="s">
        <v>7</v>
      </c>
    </row>
    <row r="1627" spans="1:4">
      <c r="A1627" t="s">
        <v>6</v>
      </c>
      <c r="B1627">
        <v>39</v>
      </c>
      <c r="C1627" t="str">
        <f>CHOOSE(MATCH(B1627, {20,25,30,35,40,45,50,55,60,65,70,75,80,85}, 1), "20-24", "25-29", "30-34", "35-39", "40-44", "45-49", "50-54", "55-59", "60-64", "65-69", "70-74", "75-79", "80-84", "85+")</f>
        <v>35-39</v>
      </c>
      <c r="D1627" t="s">
        <v>8</v>
      </c>
    </row>
    <row r="1628" spans="1:4">
      <c r="A1628" t="s">
        <v>6</v>
      </c>
      <c r="B1628">
        <v>35</v>
      </c>
      <c r="C1628" t="str">
        <f>CHOOSE(MATCH(B1628, {20,25,30,35,40,45,50,55,60,65,70,75,80,85}, 1), "20-24", "25-29", "30-34", "35-39", "40-44", "45-49", "50-54", "55-59", "60-64", "65-69", "70-74", "75-79", "80-84", "85+")</f>
        <v>35-39</v>
      </c>
      <c r="D1628" t="s">
        <v>8</v>
      </c>
    </row>
    <row r="1629" spans="1:4">
      <c r="A1629" t="s">
        <v>6</v>
      </c>
      <c r="B1629">
        <v>34</v>
      </c>
      <c r="C1629" t="str">
        <f>CHOOSE(MATCH(B1629, {20,25,30,35,40,45,50,55,60,65,70,75,80,85}, 1), "20-24", "25-29", "30-34", "35-39", "40-44", "45-49", "50-54", "55-59", "60-64", "65-69", "70-74", "75-79", "80-84", "85+")</f>
        <v>30-34</v>
      </c>
      <c r="D1629" t="s">
        <v>8</v>
      </c>
    </row>
    <row r="1630" spans="1:4">
      <c r="A1630" t="s">
        <v>6</v>
      </c>
      <c r="B1630">
        <v>24</v>
      </c>
      <c r="C1630" t="str">
        <f>CHOOSE(MATCH(B1630, {20,25,30,35,40,45,50,55,60,65,70,75,80,85}, 1), "20-24", "25-29", "30-34", "35-39", "40-44", "45-49", "50-54", "55-59", "60-64", "65-69", "70-74", "75-79", "80-84", "85+")</f>
        <v>20-24</v>
      </c>
      <c r="D1630" t="s">
        <v>7</v>
      </c>
    </row>
    <row r="1631" spans="1:4">
      <c r="A1631" t="s">
        <v>6</v>
      </c>
      <c r="B1631">
        <v>54</v>
      </c>
      <c r="C1631" t="str">
        <f>CHOOSE(MATCH(B1631, {20,25,30,35,40,45,50,55,60,65,70,75,80,85}, 1), "20-24", "25-29", "30-34", "35-39", "40-44", "45-49", "50-54", "55-59", "60-64", "65-69", "70-74", "75-79", "80-84", "85+")</f>
        <v>50-54</v>
      </c>
      <c r="D1631" t="s">
        <v>8</v>
      </c>
    </row>
    <row r="1632" spans="1:4">
      <c r="A1632" t="s">
        <v>6</v>
      </c>
      <c r="B1632">
        <v>64</v>
      </c>
      <c r="C1632" t="str">
        <f>CHOOSE(MATCH(B1632, {20,25,30,35,40,45,50,55,60,65,70,75,80,85}, 1), "20-24", "25-29", "30-34", "35-39", "40-44", "45-49", "50-54", "55-59", "60-64", "65-69", "70-74", "75-79", "80-84", "85+")</f>
        <v>60-64</v>
      </c>
      <c r="D1632" t="s">
        <v>8</v>
      </c>
    </row>
    <row r="1633" spans="1:4">
      <c r="A1633" t="s">
        <v>6</v>
      </c>
      <c r="B1633">
        <v>33</v>
      </c>
      <c r="C1633" t="str">
        <f>CHOOSE(MATCH(B1633, {20,25,30,35,40,45,50,55,60,65,70,75,80,85}, 1), "20-24", "25-29", "30-34", "35-39", "40-44", "45-49", "50-54", "55-59", "60-64", "65-69", "70-74", "75-79", "80-84", "85+")</f>
        <v>30-34</v>
      </c>
      <c r="D1633" t="s">
        <v>7</v>
      </c>
    </row>
    <row r="1634" spans="1:4">
      <c r="A1634" t="s">
        <v>6</v>
      </c>
      <c r="B1634">
        <v>58</v>
      </c>
      <c r="C1634" t="str">
        <f>CHOOSE(MATCH(B1634, {20,25,30,35,40,45,50,55,60,65,70,75,80,85}, 1), "20-24", "25-29", "30-34", "35-39", "40-44", "45-49", "50-54", "55-59", "60-64", "65-69", "70-74", "75-79", "80-84", "85+")</f>
        <v>55-59</v>
      </c>
      <c r="D1634" t="s">
        <v>8</v>
      </c>
    </row>
    <row r="1635" spans="1:4">
      <c r="A1635" t="s">
        <v>6</v>
      </c>
      <c r="B1635">
        <v>36</v>
      </c>
      <c r="C1635" t="str">
        <f>CHOOSE(MATCH(B1635, {20,25,30,35,40,45,50,55,60,65,70,75,80,85}, 1), "20-24", "25-29", "30-34", "35-39", "40-44", "45-49", "50-54", "55-59", "60-64", "65-69", "70-74", "75-79", "80-84", "85+")</f>
        <v>35-39</v>
      </c>
      <c r="D1635" t="s">
        <v>8</v>
      </c>
    </row>
    <row r="1636" spans="1:4">
      <c r="A1636" t="s">
        <v>6</v>
      </c>
      <c r="B1636">
        <v>43</v>
      </c>
      <c r="C1636" t="str">
        <f>CHOOSE(MATCH(B1636, {20,25,30,35,40,45,50,55,60,65,70,75,80,85}, 1), "20-24", "25-29", "30-34", "35-39", "40-44", "45-49", "50-54", "55-59", "60-64", "65-69", "70-74", "75-79", "80-84", "85+")</f>
        <v>40-44</v>
      </c>
      <c r="D1636" t="s">
        <v>7</v>
      </c>
    </row>
    <row r="1637" spans="1:4">
      <c r="A1637" t="s">
        <v>6</v>
      </c>
      <c r="B1637">
        <v>25</v>
      </c>
      <c r="C1637" t="str">
        <f>CHOOSE(MATCH(B1637, {20,25,30,35,40,45,50,55,60,65,70,75,80,85}, 1), "20-24", "25-29", "30-34", "35-39", "40-44", "45-49", "50-54", "55-59", "60-64", "65-69", "70-74", "75-79", "80-84", "85+")</f>
        <v>25-29</v>
      </c>
      <c r="D1637" t="s">
        <v>7</v>
      </c>
    </row>
    <row r="1638" spans="1:4">
      <c r="A1638" t="s">
        <v>6</v>
      </c>
      <c r="B1638">
        <v>34</v>
      </c>
      <c r="C1638" t="str">
        <f>CHOOSE(MATCH(B1638, {20,25,30,35,40,45,50,55,60,65,70,75,80,85}, 1), "20-24", "25-29", "30-34", "35-39", "40-44", "45-49", "50-54", "55-59", "60-64", "65-69", "70-74", "75-79", "80-84", "85+")</f>
        <v>30-34</v>
      </c>
      <c r="D1638" t="s">
        <v>7</v>
      </c>
    </row>
    <row r="1639" spans="1:4">
      <c r="A1639" t="s">
        <v>6</v>
      </c>
      <c r="B1639">
        <v>34</v>
      </c>
      <c r="C1639" t="str">
        <f>CHOOSE(MATCH(B1639, {20,25,30,35,40,45,50,55,60,65,70,75,80,85}, 1), "20-24", "25-29", "30-34", "35-39", "40-44", "45-49", "50-54", "55-59", "60-64", "65-69", "70-74", "75-79", "80-84", "85+")</f>
        <v>30-34</v>
      </c>
      <c r="D1639" t="s">
        <v>8</v>
      </c>
    </row>
    <row r="1640" spans="1:4">
      <c r="A1640" t="s">
        <v>6</v>
      </c>
      <c r="B1640">
        <v>23</v>
      </c>
      <c r="C1640" t="str">
        <f>CHOOSE(MATCH(B1640, {20,25,30,35,40,45,50,55,60,65,70,75,80,85}, 1), "20-24", "25-29", "30-34", "35-39", "40-44", "45-49", "50-54", "55-59", "60-64", "65-69", "70-74", "75-79", "80-84", "85+")</f>
        <v>20-24</v>
      </c>
      <c r="D1640" t="s">
        <v>8</v>
      </c>
    </row>
    <row r="1641" spans="1:4">
      <c r="A1641" t="s">
        <v>6</v>
      </c>
      <c r="B1641">
        <v>69</v>
      </c>
      <c r="C1641" t="str">
        <f>CHOOSE(MATCH(B1641, {20,25,30,35,40,45,50,55,60,65,70,75,80,85}, 1), "20-24", "25-29", "30-34", "35-39", "40-44", "45-49", "50-54", "55-59", "60-64", "65-69", "70-74", "75-79", "80-84", "85+")</f>
        <v>65-69</v>
      </c>
      <c r="D1641" t="s">
        <v>8</v>
      </c>
    </row>
    <row r="1642" spans="1:4">
      <c r="A1642" t="s">
        <v>6</v>
      </c>
      <c r="B1642">
        <v>75</v>
      </c>
      <c r="C1642" t="str">
        <f>CHOOSE(MATCH(B1642, {20,25,30,35,40,45,50,55,60,65,70,75,80,85}, 1), "20-24", "25-29", "30-34", "35-39", "40-44", "45-49", "50-54", "55-59", "60-64", "65-69", "70-74", "75-79", "80-84", "85+")</f>
        <v>75-79</v>
      </c>
      <c r="D1642" t="s">
        <v>8</v>
      </c>
    </row>
    <row r="1643" spans="1:4">
      <c r="A1643" t="s">
        <v>6</v>
      </c>
      <c r="B1643">
        <v>76</v>
      </c>
      <c r="C1643" t="str">
        <f>CHOOSE(MATCH(B1643, {20,25,30,35,40,45,50,55,60,65,70,75,80,85}, 1), "20-24", "25-29", "30-34", "35-39", "40-44", "45-49", "50-54", "55-59", "60-64", "65-69", "70-74", "75-79", "80-84", "85+")</f>
        <v>75-79</v>
      </c>
      <c r="D1643" t="s">
        <v>8</v>
      </c>
    </row>
    <row r="1644" spans="1:4">
      <c r="A1644" t="s">
        <v>6</v>
      </c>
      <c r="B1644">
        <v>39</v>
      </c>
      <c r="C1644" t="str">
        <f>CHOOSE(MATCH(B1644, {20,25,30,35,40,45,50,55,60,65,70,75,80,85}, 1), "20-24", "25-29", "30-34", "35-39", "40-44", "45-49", "50-54", "55-59", "60-64", "65-69", "70-74", "75-79", "80-84", "85+")</f>
        <v>35-39</v>
      </c>
      <c r="D1644" t="s">
        <v>8</v>
      </c>
    </row>
    <row r="1645" spans="1:4">
      <c r="A1645" t="s">
        <v>6</v>
      </c>
      <c r="B1645">
        <v>38</v>
      </c>
      <c r="C1645" t="str">
        <f>CHOOSE(MATCH(B1645, {20,25,30,35,40,45,50,55,60,65,70,75,80,85}, 1), "20-24", "25-29", "30-34", "35-39", "40-44", "45-49", "50-54", "55-59", "60-64", "65-69", "70-74", "75-79", "80-84", "85+")</f>
        <v>35-39</v>
      </c>
      <c r="D1645" t="s">
        <v>8</v>
      </c>
    </row>
    <row r="1646" spans="1:4">
      <c r="A1646" t="s">
        <v>6</v>
      </c>
      <c r="B1646">
        <v>49</v>
      </c>
      <c r="C1646" t="str">
        <f>CHOOSE(MATCH(B1646, {20,25,30,35,40,45,50,55,60,65,70,75,80,85}, 1), "20-24", "25-29", "30-34", "35-39", "40-44", "45-49", "50-54", "55-59", "60-64", "65-69", "70-74", "75-79", "80-84", "85+")</f>
        <v>45-49</v>
      </c>
      <c r="D1646" t="s">
        <v>7</v>
      </c>
    </row>
    <row r="1647" spans="1:4">
      <c r="A1647" t="s">
        <v>6</v>
      </c>
      <c r="B1647">
        <v>29</v>
      </c>
      <c r="C1647" t="str">
        <f>CHOOSE(MATCH(B1647, {20,25,30,35,40,45,50,55,60,65,70,75,80,85}, 1), "20-24", "25-29", "30-34", "35-39", "40-44", "45-49", "50-54", "55-59", "60-64", "65-69", "70-74", "75-79", "80-84", "85+")</f>
        <v>25-29</v>
      </c>
      <c r="D1647" t="s">
        <v>7</v>
      </c>
    </row>
    <row r="1648" spans="1:4">
      <c r="A1648" t="s">
        <v>6</v>
      </c>
      <c r="B1648">
        <v>29</v>
      </c>
      <c r="C1648" t="str">
        <f>CHOOSE(MATCH(B1648, {20,25,30,35,40,45,50,55,60,65,70,75,80,85}, 1), "20-24", "25-29", "30-34", "35-39", "40-44", "45-49", "50-54", "55-59", "60-64", "65-69", "70-74", "75-79", "80-84", "85+")</f>
        <v>25-29</v>
      </c>
      <c r="D1648" t="s">
        <v>8</v>
      </c>
    </row>
    <row r="1649" spans="1:4">
      <c r="A1649" t="s">
        <v>6</v>
      </c>
      <c r="B1649">
        <v>36</v>
      </c>
      <c r="C1649" t="str">
        <f>CHOOSE(MATCH(B1649, {20,25,30,35,40,45,50,55,60,65,70,75,80,85}, 1), "20-24", "25-29", "30-34", "35-39", "40-44", "45-49", "50-54", "55-59", "60-64", "65-69", "70-74", "75-79", "80-84", "85+")</f>
        <v>35-39</v>
      </c>
      <c r="D1649" t="s">
        <v>8</v>
      </c>
    </row>
    <row r="1650" spans="1:4">
      <c r="A1650" t="s">
        <v>6</v>
      </c>
      <c r="B1650">
        <v>44</v>
      </c>
      <c r="C1650" t="str">
        <f>CHOOSE(MATCH(B1650, {20,25,30,35,40,45,50,55,60,65,70,75,80,85}, 1), "20-24", "25-29", "30-34", "35-39", "40-44", "45-49", "50-54", "55-59", "60-64", "65-69", "70-74", "75-79", "80-84", "85+")</f>
        <v>40-44</v>
      </c>
      <c r="D1650" t="s">
        <v>8</v>
      </c>
    </row>
    <row r="1651" spans="1:4">
      <c r="A1651" t="s">
        <v>6</v>
      </c>
      <c r="B1651">
        <v>29</v>
      </c>
      <c r="C1651" t="str">
        <f>CHOOSE(MATCH(B1651, {20,25,30,35,40,45,50,55,60,65,70,75,80,85}, 1), "20-24", "25-29", "30-34", "35-39", "40-44", "45-49", "50-54", "55-59", "60-64", "65-69", "70-74", "75-79", "80-84", "85+")</f>
        <v>25-29</v>
      </c>
      <c r="D1651" t="s">
        <v>8</v>
      </c>
    </row>
    <row r="1652" spans="1:4">
      <c r="A1652" t="s">
        <v>6</v>
      </c>
      <c r="B1652">
        <v>46</v>
      </c>
      <c r="C1652" t="str">
        <f>CHOOSE(MATCH(B1652, {20,25,30,35,40,45,50,55,60,65,70,75,80,85}, 1), "20-24", "25-29", "30-34", "35-39", "40-44", "45-49", "50-54", "55-59", "60-64", "65-69", "70-74", "75-79", "80-84", "85+")</f>
        <v>45-49</v>
      </c>
      <c r="D1652" t="s">
        <v>7</v>
      </c>
    </row>
    <row r="1653" spans="1:4">
      <c r="A1653" t="s">
        <v>6</v>
      </c>
      <c r="B1653">
        <v>54</v>
      </c>
      <c r="C1653" t="str">
        <f>CHOOSE(MATCH(B1653, {20,25,30,35,40,45,50,55,60,65,70,75,80,85}, 1), "20-24", "25-29", "30-34", "35-39", "40-44", "45-49", "50-54", "55-59", "60-64", "65-69", "70-74", "75-79", "80-84", "85+")</f>
        <v>50-54</v>
      </c>
      <c r="D1653" t="s">
        <v>8</v>
      </c>
    </row>
    <row r="1654" spans="1:4">
      <c r="A1654" t="s">
        <v>6</v>
      </c>
      <c r="B1654">
        <v>71</v>
      </c>
      <c r="C1654" t="str">
        <f>CHOOSE(MATCH(B1654, {20,25,30,35,40,45,50,55,60,65,70,75,80,85}, 1), "20-24", "25-29", "30-34", "35-39", "40-44", "45-49", "50-54", "55-59", "60-64", "65-69", "70-74", "75-79", "80-84", "85+")</f>
        <v>70-74</v>
      </c>
      <c r="D1654" t="s">
        <v>7</v>
      </c>
    </row>
    <row r="1655" spans="1:4">
      <c r="A1655" t="s">
        <v>6</v>
      </c>
      <c r="B1655">
        <v>61</v>
      </c>
      <c r="C1655" t="str">
        <f>CHOOSE(MATCH(B1655, {20,25,30,35,40,45,50,55,60,65,70,75,80,85}, 1), "20-24", "25-29", "30-34", "35-39", "40-44", "45-49", "50-54", "55-59", "60-64", "65-69", "70-74", "75-79", "80-84", "85+")</f>
        <v>60-64</v>
      </c>
      <c r="D1655" t="s">
        <v>8</v>
      </c>
    </row>
    <row r="1656" spans="1:4">
      <c r="A1656" t="s">
        <v>6</v>
      </c>
      <c r="B1656">
        <v>34</v>
      </c>
      <c r="C1656" t="str">
        <f>CHOOSE(MATCH(B1656, {20,25,30,35,40,45,50,55,60,65,70,75,80,85}, 1), "20-24", "25-29", "30-34", "35-39", "40-44", "45-49", "50-54", "55-59", "60-64", "65-69", "70-74", "75-79", "80-84", "85+")</f>
        <v>30-34</v>
      </c>
      <c r="D1656" t="s">
        <v>7</v>
      </c>
    </row>
    <row r="1657" spans="1:4">
      <c r="A1657" t="s">
        <v>6</v>
      </c>
      <c r="B1657">
        <v>25</v>
      </c>
      <c r="C1657" t="str">
        <f>CHOOSE(MATCH(B1657, {20,25,30,35,40,45,50,55,60,65,70,75,80,85}, 1), "20-24", "25-29", "30-34", "35-39", "40-44", "45-49", "50-54", "55-59", "60-64", "65-69", "70-74", "75-79", "80-84", "85+")</f>
        <v>25-29</v>
      </c>
      <c r="D1657" t="s">
        <v>8</v>
      </c>
    </row>
    <row r="1658" spans="1:4">
      <c r="A1658" t="s">
        <v>6</v>
      </c>
      <c r="B1658">
        <v>32</v>
      </c>
      <c r="C1658" t="str">
        <f>CHOOSE(MATCH(B1658, {20,25,30,35,40,45,50,55,60,65,70,75,80,85}, 1), "20-24", "25-29", "30-34", "35-39", "40-44", "45-49", "50-54", "55-59", "60-64", "65-69", "70-74", "75-79", "80-84", "85+")</f>
        <v>30-34</v>
      </c>
      <c r="D1658" t="s">
        <v>7</v>
      </c>
    </row>
    <row r="1659" spans="1:4">
      <c r="A1659" t="s">
        <v>6</v>
      </c>
      <c r="B1659">
        <v>34</v>
      </c>
      <c r="C1659" t="str">
        <f>CHOOSE(MATCH(B1659, {20,25,30,35,40,45,50,55,60,65,70,75,80,85}, 1), "20-24", "25-29", "30-34", "35-39", "40-44", "45-49", "50-54", "55-59", "60-64", "65-69", "70-74", "75-79", "80-84", "85+")</f>
        <v>30-34</v>
      </c>
      <c r="D1659" t="s">
        <v>8</v>
      </c>
    </row>
    <row r="1660" spans="1:4">
      <c r="A1660" t="s">
        <v>6</v>
      </c>
      <c r="B1660">
        <v>50</v>
      </c>
      <c r="C1660" t="str">
        <f>CHOOSE(MATCH(B1660, {20,25,30,35,40,45,50,55,60,65,70,75,80,85}, 1), "20-24", "25-29", "30-34", "35-39", "40-44", "45-49", "50-54", "55-59", "60-64", "65-69", "70-74", "75-79", "80-84", "85+")</f>
        <v>50-54</v>
      </c>
      <c r="D1660" t="s">
        <v>7</v>
      </c>
    </row>
    <row r="1661" spans="1:4">
      <c r="A1661" t="s">
        <v>6</v>
      </c>
      <c r="B1661">
        <v>32</v>
      </c>
      <c r="C1661" t="str">
        <f>CHOOSE(MATCH(B1661, {20,25,30,35,40,45,50,55,60,65,70,75,80,85}, 1), "20-24", "25-29", "30-34", "35-39", "40-44", "45-49", "50-54", "55-59", "60-64", "65-69", "70-74", "75-79", "80-84", "85+")</f>
        <v>30-34</v>
      </c>
      <c r="D1661" t="s">
        <v>7</v>
      </c>
    </row>
    <row r="1662" spans="1:4">
      <c r="A1662" t="s">
        <v>6</v>
      </c>
      <c r="B1662">
        <v>50</v>
      </c>
      <c r="C1662" t="str">
        <f>CHOOSE(MATCH(B1662, {20,25,30,35,40,45,50,55,60,65,70,75,80,85}, 1), "20-24", "25-29", "30-34", "35-39", "40-44", "45-49", "50-54", "55-59", "60-64", "65-69", "70-74", "75-79", "80-84", "85+")</f>
        <v>50-54</v>
      </c>
      <c r="D1662" t="s">
        <v>7</v>
      </c>
    </row>
    <row r="1663" spans="1:4">
      <c r="A1663" t="s">
        <v>6</v>
      </c>
      <c r="B1663">
        <v>32</v>
      </c>
      <c r="C1663" t="str">
        <f>CHOOSE(MATCH(B1663, {20,25,30,35,40,45,50,55,60,65,70,75,80,85}, 1), "20-24", "25-29", "30-34", "35-39", "40-44", "45-49", "50-54", "55-59", "60-64", "65-69", "70-74", "75-79", "80-84", "85+")</f>
        <v>30-34</v>
      </c>
      <c r="D1663" t="s">
        <v>7</v>
      </c>
    </row>
    <row r="1664" spans="1:4">
      <c r="A1664" t="s">
        <v>6</v>
      </c>
      <c r="B1664">
        <v>48</v>
      </c>
      <c r="C1664" t="str">
        <f>CHOOSE(MATCH(B1664, {20,25,30,35,40,45,50,55,60,65,70,75,80,85}, 1), "20-24", "25-29", "30-34", "35-39", "40-44", "45-49", "50-54", "55-59", "60-64", "65-69", "70-74", "75-79", "80-84", "85+")</f>
        <v>45-49</v>
      </c>
      <c r="D1664" t="s">
        <v>7</v>
      </c>
    </row>
    <row r="1665" spans="1:4">
      <c r="A1665" t="s">
        <v>6</v>
      </c>
      <c r="B1665">
        <v>35</v>
      </c>
      <c r="C1665" t="str">
        <f>CHOOSE(MATCH(B1665, {20,25,30,35,40,45,50,55,60,65,70,75,80,85}, 1), "20-24", "25-29", "30-34", "35-39", "40-44", "45-49", "50-54", "55-59", "60-64", "65-69", "70-74", "75-79", "80-84", "85+")</f>
        <v>35-39</v>
      </c>
      <c r="D1665" t="s">
        <v>7</v>
      </c>
    </row>
    <row r="1666" spans="1:4">
      <c r="A1666" t="s">
        <v>6</v>
      </c>
      <c r="B1666">
        <v>46</v>
      </c>
      <c r="C1666" t="str">
        <f>CHOOSE(MATCH(B1666, {20,25,30,35,40,45,50,55,60,65,70,75,80,85}, 1), "20-24", "25-29", "30-34", "35-39", "40-44", "45-49", "50-54", "55-59", "60-64", "65-69", "70-74", "75-79", "80-84", "85+")</f>
        <v>45-49</v>
      </c>
      <c r="D1666" t="s">
        <v>8</v>
      </c>
    </row>
    <row r="1667" spans="1:4">
      <c r="A1667" t="s">
        <v>6</v>
      </c>
      <c r="B1667">
        <v>44</v>
      </c>
      <c r="C1667" t="str">
        <f>CHOOSE(MATCH(B1667, {20,25,30,35,40,45,50,55,60,65,70,75,80,85}, 1), "20-24", "25-29", "30-34", "35-39", "40-44", "45-49", "50-54", "55-59", "60-64", "65-69", "70-74", "75-79", "80-84", "85+")</f>
        <v>40-44</v>
      </c>
      <c r="D1667" t="s">
        <v>8</v>
      </c>
    </row>
    <row r="1668" spans="1:4">
      <c r="A1668" t="s">
        <v>6</v>
      </c>
      <c r="B1668">
        <v>28</v>
      </c>
      <c r="C1668" t="str">
        <f>CHOOSE(MATCH(B1668, {20,25,30,35,40,45,50,55,60,65,70,75,80,85}, 1), "20-24", "25-29", "30-34", "35-39", "40-44", "45-49", "50-54", "55-59", "60-64", "65-69", "70-74", "75-79", "80-84", "85+")</f>
        <v>25-29</v>
      </c>
      <c r="D1668" t="s">
        <v>7</v>
      </c>
    </row>
    <row r="1669" spans="1:4">
      <c r="A1669" t="s">
        <v>6</v>
      </c>
      <c r="B1669">
        <v>57</v>
      </c>
      <c r="C1669" t="str">
        <f>CHOOSE(MATCH(B1669, {20,25,30,35,40,45,50,55,60,65,70,75,80,85}, 1), "20-24", "25-29", "30-34", "35-39", "40-44", "45-49", "50-54", "55-59", "60-64", "65-69", "70-74", "75-79", "80-84", "85+")</f>
        <v>55-59</v>
      </c>
      <c r="D1669" t="s">
        <v>8</v>
      </c>
    </row>
    <row r="1670" spans="1:4">
      <c r="A1670" t="s">
        <v>6</v>
      </c>
      <c r="B1670">
        <v>59</v>
      </c>
      <c r="C1670" t="str">
        <f>CHOOSE(MATCH(B1670, {20,25,30,35,40,45,50,55,60,65,70,75,80,85}, 1), "20-24", "25-29", "30-34", "35-39", "40-44", "45-49", "50-54", "55-59", "60-64", "65-69", "70-74", "75-79", "80-84", "85+")</f>
        <v>55-59</v>
      </c>
      <c r="D1670" t="s">
        <v>8</v>
      </c>
    </row>
    <row r="1671" spans="1:4">
      <c r="A1671" t="s">
        <v>6</v>
      </c>
      <c r="B1671">
        <v>29</v>
      </c>
      <c r="C1671" t="str">
        <f>CHOOSE(MATCH(B1671, {20,25,30,35,40,45,50,55,60,65,70,75,80,85}, 1), "20-24", "25-29", "30-34", "35-39", "40-44", "45-49", "50-54", "55-59", "60-64", "65-69", "70-74", "75-79", "80-84", "85+")</f>
        <v>25-29</v>
      </c>
      <c r="D1671" t="s">
        <v>8</v>
      </c>
    </row>
    <row r="1672" spans="1:4">
      <c r="A1672" t="s">
        <v>6</v>
      </c>
      <c r="B1672">
        <v>40</v>
      </c>
      <c r="C1672" t="str">
        <f>CHOOSE(MATCH(B1672, {20,25,30,35,40,45,50,55,60,65,70,75,80,85}, 1), "20-24", "25-29", "30-34", "35-39", "40-44", "45-49", "50-54", "55-59", "60-64", "65-69", "70-74", "75-79", "80-84", "85+")</f>
        <v>40-44</v>
      </c>
      <c r="D1672" t="s">
        <v>7</v>
      </c>
    </row>
    <row r="1673" spans="1:4">
      <c r="A1673" t="s">
        <v>6</v>
      </c>
      <c r="B1673">
        <v>30</v>
      </c>
      <c r="C1673" t="str">
        <f>CHOOSE(MATCH(B1673, {20,25,30,35,40,45,50,55,60,65,70,75,80,85}, 1), "20-24", "25-29", "30-34", "35-39", "40-44", "45-49", "50-54", "55-59", "60-64", "65-69", "70-74", "75-79", "80-84", "85+")</f>
        <v>30-34</v>
      </c>
      <c r="D1673" t="s">
        <v>7</v>
      </c>
    </row>
    <row r="1674" spans="1:4">
      <c r="A1674" t="s">
        <v>6</v>
      </c>
      <c r="B1674">
        <v>34</v>
      </c>
      <c r="C1674" t="str">
        <f>CHOOSE(MATCH(B1674, {20,25,30,35,40,45,50,55,60,65,70,75,80,85}, 1), "20-24", "25-29", "30-34", "35-39", "40-44", "45-49", "50-54", "55-59", "60-64", "65-69", "70-74", "75-79", "80-84", "85+")</f>
        <v>30-34</v>
      </c>
      <c r="D1674" t="s">
        <v>7</v>
      </c>
    </row>
    <row r="1675" spans="1:4">
      <c r="A1675" t="s">
        <v>6</v>
      </c>
      <c r="B1675">
        <v>34</v>
      </c>
      <c r="C1675" t="str">
        <f>CHOOSE(MATCH(B1675, {20,25,30,35,40,45,50,55,60,65,70,75,80,85}, 1), "20-24", "25-29", "30-34", "35-39", "40-44", "45-49", "50-54", "55-59", "60-64", "65-69", "70-74", "75-79", "80-84", "85+")</f>
        <v>30-34</v>
      </c>
      <c r="D1675" t="s">
        <v>7</v>
      </c>
    </row>
    <row r="1676" spans="1:4">
      <c r="A1676" t="s">
        <v>6</v>
      </c>
      <c r="B1676">
        <v>30</v>
      </c>
      <c r="C1676" t="str">
        <f>CHOOSE(MATCH(B1676, {20,25,30,35,40,45,50,55,60,65,70,75,80,85}, 1), "20-24", "25-29", "30-34", "35-39", "40-44", "45-49", "50-54", "55-59", "60-64", "65-69", "70-74", "75-79", "80-84", "85+")</f>
        <v>30-34</v>
      </c>
      <c r="D1676" t="s">
        <v>8</v>
      </c>
    </row>
    <row r="1677" spans="1:4">
      <c r="A1677" t="s">
        <v>6</v>
      </c>
      <c r="B1677">
        <v>43</v>
      </c>
      <c r="C1677" t="str">
        <f>CHOOSE(MATCH(B1677, {20,25,30,35,40,45,50,55,60,65,70,75,80,85}, 1), "20-24", "25-29", "30-34", "35-39", "40-44", "45-49", "50-54", "55-59", "60-64", "65-69", "70-74", "75-79", "80-84", "85+")</f>
        <v>40-44</v>
      </c>
      <c r="D1677" t="s">
        <v>7</v>
      </c>
    </row>
    <row r="1678" spans="1:4">
      <c r="A1678" t="s">
        <v>6</v>
      </c>
      <c r="B1678">
        <v>25</v>
      </c>
      <c r="C1678" t="str">
        <f>CHOOSE(MATCH(B1678, {20,25,30,35,40,45,50,55,60,65,70,75,80,85}, 1), "20-24", "25-29", "30-34", "35-39", "40-44", "45-49", "50-54", "55-59", "60-64", "65-69", "70-74", "75-79", "80-84", "85+")</f>
        <v>25-29</v>
      </c>
      <c r="D1678" t="s">
        <v>7</v>
      </c>
    </row>
    <row r="1679" spans="1:4">
      <c r="A1679" t="s">
        <v>6</v>
      </c>
      <c r="B1679">
        <v>76</v>
      </c>
      <c r="C1679" t="str">
        <f>CHOOSE(MATCH(B1679, {20,25,30,35,40,45,50,55,60,65,70,75,80,85}, 1), "20-24", "25-29", "30-34", "35-39", "40-44", "45-49", "50-54", "55-59", "60-64", "65-69", "70-74", "75-79", "80-84", "85+")</f>
        <v>75-79</v>
      </c>
      <c r="D1679" t="s">
        <v>8</v>
      </c>
    </row>
    <row r="1680" spans="1:4">
      <c r="A1680" t="s">
        <v>6</v>
      </c>
      <c r="B1680">
        <v>29</v>
      </c>
      <c r="C1680" t="str">
        <f>CHOOSE(MATCH(B1680, {20,25,30,35,40,45,50,55,60,65,70,75,80,85}, 1), "20-24", "25-29", "30-34", "35-39", "40-44", "45-49", "50-54", "55-59", "60-64", "65-69", "70-74", "75-79", "80-84", "85+")</f>
        <v>25-29</v>
      </c>
      <c r="D1680" t="s">
        <v>7</v>
      </c>
    </row>
    <row r="1681" spans="1:4">
      <c r="A1681" t="s">
        <v>6</v>
      </c>
      <c r="B1681">
        <v>46</v>
      </c>
      <c r="C1681" t="str">
        <f>CHOOSE(MATCH(B1681, {20,25,30,35,40,45,50,55,60,65,70,75,80,85}, 1), "20-24", "25-29", "30-34", "35-39", "40-44", "45-49", "50-54", "55-59", "60-64", "65-69", "70-74", "75-79", "80-84", "85+")</f>
        <v>45-49</v>
      </c>
      <c r="D1681" t="s">
        <v>7</v>
      </c>
    </row>
    <row r="1682" spans="1:4">
      <c r="A1682" t="s">
        <v>6</v>
      </c>
      <c r="B1682">
        <v>49</v>
      </c>
      <c r="C1682" t="str">
        <f>CHOOSE(MATCH(B1682, {20,25,30,35,40,45,50,55,60,65,70,75,80,85}, 1), "20-24", "25-29", "30-34", "35-39", "40-44", "45-49", "50-54", "55-59", "60-64", "65-69", "70-74", "75-79", "80-84", "85+")</f>
        <v>45-49</v>
      </c>
      <c r="D1682" t="s">
        <v>7</v>
      </c>
    </row>
    <row r="1683" spans="1:4">
      <c r="A1683" t="s">
        <v>6</v>
      </c>
      <c r="B1683">
        <v>41</v>
      </c>
      <c r="C1683" t="str">
        <f>CHOOSE(MATCH(B1683, {20,25,30,35,40,45,50,55,60,65,70,75,80,85}, 1), "20-24", "25-29", "30-34", "35-39", "40-44", "45-49", "50-54", "55-59", "60-64", "65-69", "70-74", "75-79", "80-84", "85+")</f>
        <v>40-44</v>
      </c>
      <c r="D1683" t="s">
        <v>7</v>
      </c>
    </row>
    <row r="1684" spans="1:4">
      <c r="A1684" t="s">
        <v>6</v>
      </c>
      <c r="B1684">
        <v>63</v>
      </c>
      <c r="C1684" t="str">
        <f>CHOOSE(MATCH(B1684, {20,25,30,35,40,45,50,55,60,65,70,75,80,85}, 1), "20-24", "25-29", "30-34", "35-39", "40-44", "45-49", "50-54", "55-59", "60-64", "65-69", "70-74", "75-79", "80-84", "85+")</f>
        <v>60-64</v>
      </c>
      <c r="D1684" t="s">
        <v>8</v>
      </c>
    </row>
    <row r="1685" spans="1:4">
      <c r="A1685" t="s">
        <v>6</v>
      </c>
      <c r="B1685">
        <v>70</v>
      </c>
      <c r="C1685" t="str">
        <f>CHOOSE(MATCH(B1685, {20,25,30,35,40,45,50,55,60,65,70,75,80,85}, 1), "20-24", "25-29", "30-34", "35-39", "40-44", "45-49", "50-54", "55-59", "60-64", "65-69", "70-74", "75-79", "80-84", "85+")</f>
        <v>70-74</v>
      </c>
      <c r="D1685" t="s">
        <v>8</v>
      </c>
    </row>
    <row r="1686" spans="1:4">
      <c r="A1686" t="s">
        <v>6</v>
      </c>
      <c r="B1686">
        <v>59</v>
      </c>
      <c r="C1686" t="str">
        <f>CHOOSE(MATCH(B1686, {20,25,30,35,40,45,50,55,60,65,70,75,80,85}, 1), "20-24", "25-29", "30-34", "35-39", "40-44", "45-49", "50-54", "55-59", "60-64", "65-69", "70-74", "75-79", "80-84", "85+")</f>
        <v>55-59</v>
      </c>
      <c r="D1686" t="s">
        <v>8</v>
      </c>
    </row>
    <row r="1687" spans="1:4">
      <c r="A1687" t="s">
        <v>6</v>
      </c>
      <c r="B1687">
        <v>38</v>
      </c>
      <c r="C1687" t="str">
        <f>CHOOSE(MATCH(B1687, {20,25,30,35,40,45,50,55,60,65,70,75,80,85}, 1), "20-24", "25-29", "30-34", "35-39", "40-44", "45-49", "50-54", "55-59", "60-64", "65-69", "70-74", "75-79", "80-84", "85+")</f>
        <v>35-39</v>
      </c>
      <c r="D1687" t="s">
        <v>7</v>
      </c>
    </row>
    <row r="1688" spans="1:4">
      <c r="A1688" t="s">
        <v>6</v>
      </c>
      <c r="B1688">
        <v>20</v>
      </c>
      <c r="C1688" t="str">
        <f>CHOOSE(MATCH(B1688, {20,25,30,35,40,45,50,55,60,65,70,75,80,85}, 1), "20-24", "25-29", "30-34", "35-39", "40-44", "45-49", "50-54", "55-59", "60-64", "65-69", "70-74", "75-79", "80-84", "85+")</f>
        <v>20-24</v>
      </c>
      <c r="D1688" t="s">
        <v>8</v>
      </c>
    </row>
    <row r="1689" spans="1:4">
      <c r="A1689" t="s">
        <v>6</v>
      </c>
      <c r="B1689">
        <v>46</v>
      </c>
      <c r="C1689" t="str">
        <f>CHOOSE(MATCH(B1689, {20,25,30,35,40,45,50,55,60,65,70,75,80,85}, 1), "20-24", "25-29", "30-34", "35-39", "40-44", "45-49", "50-54", "55-59", "60-64", "65-69", "70-74", "75-79", "80-84", "85+")</f>
        <v>45-49</v>
      </c>
      <c r="D1689" t="s">
        <v>8</v>
      </c>
    </row>
    <row r="1690" spans="1:4">
      <c r="A1690" t="s">
        <v>6</v>
      </c>
      <c r="B1690">
        <v>36</v>
      </c>
      <c r="C1690" t="str">
        <f>CHOOSE(MATCH(B1690, {20,25,30,35,40,45,50,55,60,65,70,75,80,85}, 1), "20-24", "25-29", "30-34", "35-39", "40-44", "45-49", "50-54", "55-59", "60-64", "65-69", "70-74", "75-79", "80-84", "85+")</f>
        <v>35-39</v>
      </c>
      <c r="D1690" t="s">
        <v>7</v>
      </c>
    </row>
    <row r="1691" spans="1:4">
      <c r="A1691" t="s">
        <v>6</v>
      </c>
      <c r="B1691">
        <v>31</v>
      </c>
      <c r="C1691" t="str">
        <f>CHOOSE(MATCH(B1691, {20,25,30,35,40,45,50,55,60,65,70,75,80,85}, 1), "20-24", "25-29", "30-34", "35-39", "40-44", "45-49", "50-54", "55-59", "60-64", "65-69", "70-74", "75-79", "80-84", "85+")</f>
        <v>30-34</v>
      </c>
      <c r="D1691" t="s">
        <v>7</v>
      </c>
    </row>
    <row r="1692" spans="1:4">
      <c r="A1692" t="s">
        <v>6</v>
      </c>
      <c r="B1692">
        <v>37</v>
      </c>
      <c r="C1692" t="str">
        <f>CHOOSE(MATCH(B1692, {20,25,30,35,40,45,50,55,60,65,70,75,80,85}, 1), "20-24", "25-29", "30-34", "35-39", "40-44", "45-49", "50-54", "55-59", "60-64", "65-69", "70-74", "75-79", "80-84", "85+")</f>
        <v>35-39</v>
      </c>
      <c r="D1692" t="s">
        <v>7</v>
      </c>
    </row>
    <row r="1693" spans="1:4">
      <c r="A1693" t="s">
        <v>6</v>
      </c>
      <c r="B1693">
        <v>47</v>
      </c>
      <c r="C1693" t="str">
        <f>CHOOSE(MATCH(B1693, {20,25,30,35,40,45,50,55,60,65,70,75,80,85}, 1), "20-24", "25-29", "30-34", "35-39", "40-44", "45-49", "50-54", "55-59", "60-64", "65-69", "70-74", "75-79", "80-84", "85+")</f>
        <v>45-49</v>
      </c>
      <c r="D1693" t="s">
        <v>7</v>
      </c>
    </row>
    <row r="1694" spans="1:4">
      <c r="A1694" t="s">
        <v>6</v>
      </c>
      <c r="B1694">
        <v>50</v>
      </c>
      <c r="C1694" t="str">
        <f>CHOOSE(MATCH(B1694, {20,25,30,35,40,45,50,55,60,65,70,75,80,85}, 1), "20-24", "25-29", "30-34", "35-39", "40-44", "45-49", "50-54", "55-59", "60-64", "65-69", "70-74", "75-79", "80-84", "85+")</f>
        <v>50-54</v>
      </c>
      <c r="D1694" t="s">
        <v>7</v>
      </c>
    </row>
    <row r="1695" spans="1:4">
      <c r="A1695" t="s">
        <v>6</v>
      </c>
      <c r="B1695">
        <v>62</v>
      </c>
      <c r="C1695" t="str">
        <f>CHOOSE(MATCH(B1695, {20,25,30,35,40,45,50,55,60,65,70,75,80,85}, 1), "20-24", "25-29", "30-34", "35-39", "40-44", "45-49", "50-54", "55-59", "60-64", "65-69", "70-74", "75-79", "80-84", "85+")</f>
        <v>60-64</v>
      </c>
      <c r="D1695" t="s">
        <v>7</v>
      </c>
    </row>
    <row r="1696" spans="1:4">
      <c r="A1696" t="s">
        <v>6</v>
      </c>
      <c r="B1696">
        <v>27</v>
      </c>
      <c r="C1696" t="str">
        <f>CHOOSE(MATCH(B1696, {20,25,30,35,40,45,50,55,60,65,70,75,80,85}, 1), "20-24", "25-29", "30-34", "35-39", "40-44", "45-49", "50-54", "55-59", "60-64", "65-69", "70-74", "75-79", "80-84", "85+")</f>
        <v>25-29</v>
      </c>
      <c r="D1696" t="s">
        <v>7</v>
      </c>
    </row>
    <row r="1697" spans="1:4">
      <c r="A1697" t="s">
        <v>6</v>
      </c>
      <c r="B1697">
        <v>34</v>
      </c>
      <c r="C1697" t="str">
        <f>CHOOSE(MATCH(B1697, {20,25,30,35,40,45,50,55,60,65,70,75,80,85}, 1), "20-24", "25-29", "30-34", "35-39", "40-44", "45-49", "50-54", "55-59", "60-64", "65-69", "70-74", "75-79", "80-84", "85+")</f>
        <v>30-34</v>
      </c>
      <c r="D1697" t="s">
        <v>7</v>
      </c>
    </row>
    <row r="1698" spans="1:4">
      <c r="A1698" t="s">
        <v>6</v>
      </c>
      <c r="B1698">
        <v>31</v>
      </c>
      <c r="C1698" t="str">
        <f>CHOOSE(MATCH(B1698, {20,25,30,35,40,45,50,55,60,65,70,75,80,85}, 1), "20-24", "25-29", "30-34", "35-39", "40-44", "45-49", "50-54", "55-59", "60-64", "65-69", "70-74", "75-79", "80-84", "85+")</f>
        <v>30-34</v>
      </c>
      <c r="D1698" t="s">
        <v>7</v>
      </c>
    </row>
    <row r="1699" spans="1:4">
      <c r="A1699" t="s">
        <v>6</v>
      </c>
      <c r="B1699">
        <v>41</v>
      </c>
      <c r="C1699" t="str">
        <f>CHOOSE(MATCH(B1699, {20,25,30,35,40,45,50,55,60,65,70,75,80,85}, 1), "20-24", "25-29", "30-34", "35-39", "40-44", "45-49", "50-54", "55-59", "60-64", "65-69", "70-74", "75-79", "80-84", "85+")</f>
        <v>40-44</v>
      </c>
      <c r="D1699" t="s">
        <v>7</v>
      </c>
    </row>
    <row r="1700" spans="1:4">
      <c r="A1700" t="s">
        <v>6</v>
      </c>
      <c r="B1700">
        <v>58</v>
      </c>
      <c r="C1700" t="str">
        <f>CHOOSE(MATCH(B1700, {20,25,30,35,40,45,50,55,60,65,70,75,80,85}, 1), "20-24", "25-29", "30-34", "35-39", "40-44", "45-49", "50-54", "55-59", "60-64", "65-69", "70-74", "75-79", "80-84", "85+")</f>
        <v>55-59</v>
      </c>
      <c r="D1700" t="s">
        <v>8</v>
      </c>
    </row>
    <row r="1701" spans="1:4">
      <c r="A1701" t="s">
        <v>6</v>
      </c>
      <c r="B1701">
        <v>40</v>
      </c>
      <c r="C1701" t="str">
        <f>CHOOSE(MATCH(B1701, {20,25,30,35,40,45,50,55,60,65,70,75,80,85}, 1), "20-24", "25-29", "30-34", "35-39", "40-44", "45-49", "50-54", "55-59", "60-64", "65-69", "70-74", "75-79", "80-84", "85+")</f>
        <v>40-44</v>
      </c>
      <c r="D1701" t="s">
        <v>8</v>
      </c>
    </row>
    <row r="1702" spans="1:4">
      <c r="A1702" t="s">
        <v>6</v>
      </c>
      <c r="B1702">
        <v>57</v>
      </c>
      <c r="C1702" t="str">
        <f>CHOOSE(MATCH(B1702, {20,25,30,35,40,45,50,55,60,65,70,75,80,85}, 1), "20-24", "25-29", "30-34", "35-39", "40-44", "45-49", "50-54", "55-59", "60-64", "65-69", "70-74", "75-79", "80-84", "85+")</f>
        <v>55-59</v>
      </c>
      <c r="D1702" t="s">
        <v>8</v>
      </c>
    </row>
    <row r="1703" spans="1:4">
      <c r="A1703" t="s">
        <v>6</v>
      </c>
      <c r="B1703">
        <v>40</v>
      </c>
      <c r="C1703" t="str">
        <f>CHOOSE(MATCH(B1703, {20,25,30,35,40,45,50,55,60,65,70,75,80,85}, 1), "20-24", "25-29", "30-34", "35-39", "40-44", "45-49", "50-54", "55-59", "60-64", "65-69", "70-74", "75-79", "80-84", "85+")</f>
        <v>40-44</v>
      </c>
      <c r="D1703" t="s">
        <v>7</v>
      </c>
    </row>
    <row r="1704" spans="1:4">
      <c r="A1704" t="s">
        <v>6</v>
      </c>
      <c r="B1704">
        <v>34</v>
      </c>
      <c r="C1704" t="str">
        <f>CHOOSE(MATCH(B1704, {20,25,30,35,40,45,50,55,60,65,70,75,80,85}, 1), "20-24", "25-29", "30-34", "35-39", "40-44", "45-49", "50-54", "55-59", "60-64", "65-69", "70-74", "75-79", "80-84", "85+")</f>
        <v>30-34</v>
      </c>
      <c r="D1704" t="s">
        <v>8</v>
      </c>
    </row>
    <row r="1705" spans="1:4">
      <c r="A1705" t="s">
        <v>6</v>
      </c>
      <c r="B1705">
        <v>49</v>
      </c>
      <c r="C1705" t="str">
        <f>CHOOSE(MATCH(B1705, {20,25,30,35,40,45,50,55,60,65,70,75,80,85}, 1), "20-24", "25-29", "30-34", "35-39", "40-44", "45-49", "50-54", "55-59", "60-64", "65-69", "70-74", "75-79", "80-84", "85+")</f>
        <v>45-49</v>
      </c>
      <c r="D1705" t="s">
        <v>8</v>
      </c>
    </row>
    <row r="1706" spans="1:4">
      <c r="A1706" t="s">
        <v>6</v>
      </c>
      <c r="B1706">
        <v>67</v>
      </c>
      <c r="C1706" t="str">
        <f>CHOOSE(MATCH(B1706, {20,25,30,35,40,45,50,55,60,65,70,75,80,85}, 1), "20-24", "25-29", "30-34", "35-39", "40-44", "45-49", "50-54", "55-59", "60-64", "65-69", "70-74", "75-79", "80-84", "85+")</f>
        <v>65-69</v>
      </c>
      <c r="D1706" t="s">
        <v>7</v>
      </c>
    </row>
    <row r="1707" spans="1:4">
      <c r="A1707" t="s">
        <v>6</v>
      </c>
      <c r="B1707">
        <v>54</v>
      </c>
      <c r="C1707" t="str">
        <f>CHOOSE(MATCH(B1707, {20,25,30,35,40,45,50,55,60,65,70,75,80,85}, 1), "20-24", "25-29", "30-34", "35-39", "40-44", "45-49", "50-54", "55-59", "60-64", "65-69", "70-74", "75-79", "80-84", "85+")</f>
        <v>50-54</v>
      </c>
      <c r="D1707" t="s">
        <v>8</v>
      </c>
    </row>
    <row r="1708" spans="1:4">
      <c r="A1708" t="s">
        <v>6</v>
      </c>
      <c r="B1708">
        <v>28</v>
      </c>
      <c r="C1708" t="str">
        <f>CHOOSE(MATCH(B1708, {20,25,30,35,40,45,50,55,60,65,70,75,80,85}, 1), "20-24", "25-29", "30-34", "35-39", "40-44", "45-49", "50-54", "55-59", "60-64", "65-69", "70-74", "75-79", "80-84", "85+")</f>
        <v>25-29</v>
      </c>
      <c r="D1708" t="s">
        <v>8</v>
      </c>
    </row>
    <row r="1709" spans="1:4">
      <c r="A1709" t="s">
        <v>6</v>
      </c>
      <c r="B1709">
        <v>37</v>
      </c>
      <c r="C1709" t="str">
        <f>CHOOSE(MATCH(B1709, {20,25,30,35,40,45,50,55,60,65,70,75,80,85}, 1), "20-24", "25-29", "30-34", "35-39", "40-44", "45-49", "50-54", "55-59", "60-64", "65-69", "70-74", "75-79", "80-84", "85+")</f>
        <v>35-39</v>
      </c>
      <c r="D1709" t="s">
        <v>7</v>
      </c>
    </row>
    <row r="1710" spans="1:4">
      <c r="A1710" t="s">
        <v>6</v>
      </c>
      <c r="B1710">
        <v>69</v>
      </c>
      <c r="C1710" t="str">
        <f>CHOOSE(MATCH(B1710, {20,25,30,35,40,45,50,55,60,65,70,75,80,85}, 1), "20-24", "25-29", "30-34", "35-39", "40-44", "45-49", "50-54", "55-59", "60-64", "65-69", "70-74", "75-79", "80-84", "85+")</f>
        <v>65-69</v>
      </c>
      <c r="D1710" t="s">
        <v>7</v>
      </c>
    </row>
    <row r="1711" spans="1:4">
      <c r="A1711" t="s">
        <v>6</v>
      </c>
      <c r="B1711">
        <v>37</v>
      </c>
      <c r="C1711" t="str">
        <f>CHOOSE(MATCH(B1711, {20,25,30,35,40,45,50,55,60,65,70,75,80,85}, 1), "20-24", "25-29", "30-34", "35-39", "40-44", "45-49", "50-54", "55-59", "60-64", "65-69", "70-74", "75-79", "80-84", "85+")</f>
        <v>35-39</v>
      </c>
      <c r="D1711" t="s">
        <v>7</v>
      </c>
    </row>
    <row r="1712" spans="1:4">
      <c r="A1712" t="s">
        <v>6</v>
      </c>
      <c r="B1712">
        <v>53</v>
      </c>
      <c r="C1712" t="str">
        <f>CHOOSE(MATCH(B1712, {20,25,30,35,40,45,50,55,60,65,70,75,80,85}, 1), "20-24", "25-29", "30-34", "35-39", "40-44", "45-49", "50-54", "55-59", "60-64", "65-69", "70-74", "75-79", "80-84", "85+")</f>
        <v>50-54</v>
      </c>
      <c r="D1712" t="s">
        <v>8</v>
      </c>
    </row>
    <row r="1713" spans="1:4">
      <c r="A1713" t="s">
        <v>6</v>
      </c>
      <c r="B1713">
        <v>27</v>
      </c>
      <c r="C1713" t="str">
        <f>CHOOSE(MATCH(B1713, {20,25,30,35,40,45,50,55,60,65,70,75,80,85}, 1), "20-24", "25-29", "30-34", "35-39", "40-44", "45-49", "50-54", "55-59", "60-64", "65-69", "70-74", "75-79", "80-84", "85+")</f>
        <v>25-29</v>
      </c>
      <c r="D1713" t="s">
        <v>7</v>
      </c>
    </row>
    <row r="1714" spans="1:4">
      <c r="A1714" t="s">
        <v>6</v>
      </c>
      <c r="B1714">
        <v>33</v>
      </c>
      <c r="C1714" t="str">
        <f>CHOOSE(MATCH(B1714, {20,25,30,35,40,45,50,55,60,65,70,75,80,85}, 1), "20-24", "25-29", "30-34", "35-39", "40-44", "45-49", "50-54", "55-59", "60-64", "65-69", "70-74", "75-79", "80-84", "85+")</f>
        <v>30-34</v>
      </c>
      <c r="D1714" t="s">
        <v>8</v>
      </c>
    </row>
    <row r="1715" spans="1:4">
      <c r="A1715" t="s">
        <v>6</v>
      </c>
      <c r="B1715">
        <v>41</v>
      </c>
      <c r="C1715" t="str">
        <f>CHOOSE(MATCH(B1715, {20,25,30,35,40,45,50,55,60,65,70,75,80,85}, 1), "20-24", "25-29", "30-34", "35-39", "40-44", "45-49", "50-54", "55-59", "60-64", "65-69", "70-74", "75-79", "80-84", "85+")</f>
        <v>40-44</v>
      </c>
      <c r="D1715" t="s">
        <v>7</v>
      </c>
    </row>
    <row r="1716" spans="1:4">
      <c r="A1716" t="s">
        <v>6</v>
      </c>
      <c r="B1716">
        <v>58</v>
      </c>
      <c r="C1716" t="str">
        <f>CHOOSE(MATCH(B1716, {20,25,30,35,40,45,50,55,60,65,70,75,80,85}, 1), "20-24", "25-29", "30-34", "35-39", "40-44", "45-49", "50-54", "55-59", "60-64", "65-69", "70-74", "75-79", "80-84", "85+")</f>
        <v>55-59</v>
      </c>
      <c r="D1716" t="s">
        <v>7</v>
      </c>
    </row>
    <row r="1717" spans="1:4">
      <c r="A1717" t="s">
        <v>6</v>
      </c>
      <c r="B1717">
        <v>72</v>
      </c>
      <c r="C1717" t="str">
        <f>CHOOSE(MATCH(B1717, {20,25,30,35,40,45,50,55,60,65,70,75,80,85}, 1), "20-24", "25-29", "30-34", "35-39", "40-44", "45-49", "50-54", "55-59", "60-64", "65-69", "70-74", "75-79", "80-84", "85+")</f>
        <v>70-74</v>
      </c>
      <c r="D1717" t="s">
        <v>8</v>
      </c>
    </row>
    <row r="1718" spans="1:4">
      <c r="A1718" t="s">
        <v>6</v>
      </c>
      <c r="B1718">
        <v>59</v>
      </c>
      <c r="C1718" t="str">
        <f>CHOOSE(MATCH(B1718, {20,25,30,35,40,45,50,55,60,65,70,75,80,85}, 1), "20-24", "25-29", "30-34", "35-39", "40-44", "45-49", "50-54", "55-59", "60-64", "65-69", "70-74", "75-79", "80-84", "85+")</f>
        <v>55-59</v>
      </c>
      <c r="D1718" t="s">
        <v>8</v>
      </c>
    </row>
    <row r="1719" spans="1:4">
      <c r="A1719" t="s">
        <v>6</v>
      </c>
      <c r="B1719">
        <v>46</v>
      </c>
      <c r="C1719" t="str">
        <f>CHOOSE(MATCH(B1719, {20,25,30,35,40,45,50,55,60,65,70,75,80,85}, 1), "20-24", "25-29", "30-34", "35-39", "40-44", "45-49", "50-54", "55-59", "60-64", "65-69", "70-74", "75-79", "80-84", "85+")</f>
        <v>45-49</v>
      </c>
      <c r="D1719" t="s">
        <v>7</v>
      </c>
    </row>
    <row r="1720" spans="1:4">
      <c r="A1720" t="s">
        <v>6</v>
      </c>
      <c r="B1720">
        <v>51</v>
      </c>
      <c r="C1720" t="str">
        <f>CHOOSE(MATCH(B1720, {20,25,30,35,40,45,50,55,60,65,70,75,80,85}, 1), "20-24", "25-29", "30-34", "35-39", "40-44", "45-49", "50-54", "55-59", "60-64", "65-69", "70-74", "75-79", "80-84", "85+")</f>
        <v>50-54</v>
      </c>
      <c r="D1720" t="s">
        <v>7</v>
      </c>
    </row>
    <row r="1721" spans="1:4">
      <c r="A1721" t="s">
        <v>6</v>
      </c>
      <c r="B1721">
        <v>28</v>
      </c>
      <c r="C1721" t="str">
        <f>CHOOSE(MATCH(B1721, {20,25,30,35,40,45,50,55,60,65,70,75,80,85}, 1), "20-24", "25-29", "30-34", "35-39", "40-44", "45-49", "50-54", "55-59", "60-64", "65-69", "70-74", "75-79", "80-84", "85+")</f>
        <v>25-29</v>
      </c>
      <c r="D1721" t="s">
        <v>7</v>
      </c>
    </row>
    <row r="1722" spans="1:4">
      <c r="A1722" t="s">
        <v>6</v>
      </c>
      <c r="B1722">
        <v>25</v>
      </c>
      <c r="C1722" t="str">
        <f>CHOOSE(MATCH(B1722, {20,25,30,35,40,45,50,55,60,65,70,75,80,85}, 1), "20-24", "25-29", "30-34", "35-39", "40-44", "45-49", "50-54", "55-59", "60-64", "65-69", "70-74", "75-79", "80-84", "85+")</f>
        <v>25-29</v>
      </c>
      <c r="D1722" t="s">
        <v>7</v>
      </c>
    </row>
    <row r="1723" spans="1:4">
      <c r="A1723" t="s">
        <v>6</v>
      </c>
      <c r="B1723">
        <v>26</v>
      </c>
      <c r="C1723" t="str">
        <f>CHOOSE(MATCH(B1723, {20,25,30,35,40,45,50,55,60,65,70,75,80,85}, 1), "20-24", "25-29", "30-34", "35-39", "40-44", "45-49", "50-54", "55-59", "60-64", "65-69", "70-74", "75-79", "80-84", "85+")</f>
        <v>25-29</v>
      </c>
      <c r="D1723" t="s">
        <v>7</v>
      </c>
    </row>
    <row r="1724" spans="1:4">
      <c r="A1724" t="s">
        <v>6</v>
      </c>
      <c r="B1724">
        <v>26</v>
      </c>
      <c r="C1724" t="str">
        <f>CHOOSE(MATCH(B1724, {20,25,30,35,40,45,50,55,60,65,70,75,80,85}, 1), "20-24", "25-29", "30-34", "35-39", "40-44", "45-49", "50-54", "55-59", "60-64", "65-69", "70-74", "75-79", "80-84", "85+")</f>
        <v>25-29</v>
      </c>
      <c r="D1724" t="s">
        <v>7</v>
      </c>
    </row>
    <row r="1725" spans="1:4">
      <c r="A1725" t="s">
        <v>6</v>
      </c>
      <c r="B1725">
        <v>71</v>
      </c>
      <c r="C1725" t="str">
        <f>CHOOSE(MATCH(B1725, {20,25,30,35,40,45,50,55,60,65,70,75,80,85}, 1), "20-24", "25-29", "30-34", "35-39", "40-44", "45-49", "50-54", "55-59", "60-64", "65-69", "70-74", "75-79", "80-84", "85+")</f>
        <v>70-74</v>
      </c>
      <c r="D1725" t="s">
        <v>7</v>
      </c>
    </row>
    <row r="1726" spans="1:4">
      <c r="A1726" t="s">
        <v>6</v>
      </c>
      <c r="B1726">
        <v>24</v>
      </c>
      <c r="C1726" t="str">
        <f>CHOOSE(MATCH(B1726, {20,25,30,35,40,45,50,55,60,65,70,75,80,85}, 1), "20-24", "25-29", "30-34", "35-39", "40-44", "45-49", "50-54", "55-59", "60-64", "65-69", "70-74", "75-79", "80-84", "85+")</f>
        <v>20-24</v>
      </c>
      <c r="D1726" t="s">
        <v>7</v>
      </c>
    </row>
    <row r="1727" spans="1:4">
      <c r="A1727" t="s">
        <v>6</v>
      </c>
      <c r="B1727">
        <v>36</v>
      </c>
      <c r="C1727" t="str">
        <f>CHOOSE(MATCH(B1727, {20,25,30,35,40,45,50,55,60,65,70,75,80,85}, 1), "20-24", "25-29", "30-34", "35-39", "40-44", "45-49", "50-54", "55-59", "60-64", "65-69", "70-74", "75-79", "80-84", "85+")</f>
        <v>35-39</v>
      </c>
      <c r="D1727" t="s">
        <v>7</v>
      </c>
    </row>
    <row r="1728" spans="1:4">
      <c r="A1728" t="s">
        <v>6</v>
      </c>
      <c r="B1728">
        <v>48</v>
      </c>
      <c r="C1728" t="str">
        <f>CHOOSE(MATCH(B1728, {20,25,30,35,40,45,50,55,60,65,70,75,80,85}, 1), "20-24", "25-29", "30-34", "35-39", "40-44", "45-49", "50-54", "55-59", "60-64", "65-69", "70-74", "75-79", "80-84", "85+")</f>
        <v>45-49</v>
      </c>
      <c r="D1728" t="s">
        <v>8</v>
      </c>
    </row>
    <row r="1729" spans="1:4">
      <c r="A1729" t="s">
        <v>6</v>
      </c>
      <c r="B1729">
        <v>50</v>
      </c>
      <c r="C1729" t="str">
        <f>CHOOSE(MATCH(B1729, {20,25,30,35,40,45,50,55,60,65,70,75,80,85}, 1), "20-24", "25-29", "30-34", "35-39", "40-44", "45-49", "50-54", "55-59", "60-64", "65-69", "70-74", "75-79", "80-84", "85+")</f>
        <v>50-54</v>
      </c>
      <c r="D1729" t="s">
        <v>7</v>
      </c>
    </row>
    <row r="1730" spans="1:4">
      <c r="A1730" t="s">
        <v>6</v>
      </c>
      <c r="B1730">
        <v>36</v>
      </c>
      <c r="C1730" t="str">
        <f>CHOOSE(MATCH(B1730, {20,25,30,35,40,45,50,55,60,65,70,75,80,85}, 1), "20-24", "25-29", "30-34", "35-39", "40-44", "45-49", "50-54", "55-59", "60-64", "65-69", "70-74", "75-79", "80-84", "85+")</f>
        <v>35-39</v>
      </c>
      <c r="D1730" t="s">
        <v>7</v>
      </c>
    </row>
    <row r="1731" spans="1:4">
      <c r="A1731" t="s">
        <v>6</v>
      </c>
      <c r="B1731">
        <v>25</v>
      </c>
      <c r="C1731" t="str">
        <f>CHOOSE(MATCH(B1731, {20,25,30,35,40,45,50,55,60,65,70,75,80,85}, 1), "20-24", "25-29", "30-34", "35-39", "40-44", "45-49", "50-54", "55-59", "60-64", "65-69", "70-74", "75-79", "80-84", "85+")</f>
        <v>25-29</v>
      </c>
      <c r="D1731" t="s">
        <v>8</v>
      </c>
    </row>
    <row r="1732" spans="1:4">
      <c r="A1732" t="s">
        <v>6</v>
      </c>
      <c r="B1732">
        <v>42</v>
      </c>
      <c r="C1732" t="str">
        <f>CHOOSE(MATCH(B1732, {20,25,30,35,40,45,50,55,60,65,70,75,80,85}, 1), "20-24", "25-29", "30-34", "35-39", "40-44", "45-49", "50-54", "55-59", "60-64", "65-69", "70-74", "75-79", "80-84", "85+")</f>
        <v>40-44</v>
      </c>
      <c r="D1732" t="s">
        <v>7</v>
      </c>
    </row>
    <row r="1733" spans="1:4">
      <c r="A1733" t="s">
        <v>6</v>
      </c>
      <c r="B1733">
        <v>58</v>
      </c>
      <c r="C1733" t="str">
        <f>CHOOSE(MATCH(B1733, {20,25,30,35,40,45,50,55,60,65,70,75,80,85}, 1), "20-24", "25-29", "30-34", "35-39", "40-44", "45-49", "50-54", "55-59", "60-64", "65-69", "70-74", "75-79", "80-84", "85+")</f>
        <v>55-59</v>
      </c>
      <c r="D1733" t="s">
        <v>7</v>
      </c>
    </row>
    <row r="1734" spans="1:4">
      <c r="A1734" t="s">
        <v>6</v>
      </c>
      <c r="B1734">
        <v>31</v>
      </c>
      <c r="C1734" t="str">
        <f>CHOOSE(MATCH(B1734, {20,25,30,35,40,45,50,55,60,65,70,75,80,85}, 1), "20-24", "25-29", "30-34", "35-39", "40-44", "45-49", "50-54", "55-59", "60-64", "65-69", "70-74", "75-79", "80-84", "85+")</f>
        <v>30-34</v>
      </c>
      <c r="D1734" t="s">
        <v>8</v>
      </c>
    </row>
    <row r="1735" spans="1:4">
      <c r="A1735" t="s">
        <v>6</v>
      </c>
      <c r="B1735">
        <v>25</v>
      </c>
      <c r="C1735" t="str">
        <f>CHOOSE(MATCH(B1735, {20,25,30,35,40,45,50,55,60,65,70,75,80,85}, 1), "20-24", "25-29", "30-34", "35-39", "40-44", "45-49", "50-54", "55-59", "60-64", "65-69", "70-74", "75-79", "80-84", "85+")</f>
        <v>25-29</v>
      </c>
      <c r="D1735" t="s">
        <v>8</v>
      </c>
    </row>
    <row r="1736" spans="1:4">
      <c r="A1736" t="s">
        <v>6</v>
      </c>
      <c r="B1736">
        <v>41</v>
      </c>
      <c r="C1736" t="str">
        <f>CHOOSE(MATCH(B1736, {20,25,30,35,40,45,50,55,60,65,70,75,80,85}, 1), "20-24", "25-29", "30-34", "35-39", "40-44", "45-49", "50-54", "55-59", "60-64", "65-69", "70-74", "75-79", "80-84", "85+")</f>
        <v>40-44</v>
      </c>
      <c r="D1736" t="s">
        <v>7</v>
      </c>
    </row>
    <row r="1737" spans="1:4">
      <c r="A1737" t="s">
        <v>6</v>
      </c>
      <c r="B1737">
        <v>88</v>
      </c>
      <c r="C1737" t="str">
        <f>CHOOSE(MATCH(B1737, {20,25,30,35,40,45,50,55,60,65,70,75,80,85}, 1), "20-24", "25-29", "30-34", "35-39", "40-44", "45-49", "50-54", "55-59", "60-64", "65-69", "70-74", "75-79", "80-84", "85+")</f>
        <v>85+</v>
      </c>
      <c r="D1737" t="s">
        <v>8</v>
      </c>
    </row>
    <row r="1738" spans="1:4">
      <c r="A1738" t="s">
        <v>6</v>
      </c>
      <c r="B1738">
        <v>36</v>
      </c>
      <c r="C1738" t="str">
        <f>CHOOSE(MATCH(B1738, {20,25,30,35,40,45,50,55,60,65,70,75,80,85}, 1), "20-24", "25-29", "30-34", "35-39", "40-44", "45-49", "50-54", "55-59", "60-64", "65-69", "70-74", "75-79", "80-84", "85+")</f>
        <v>35-39</v>
      </c>
      <c r="D1738" t="s">
        <v>8</v>
      </c>
    </row>
    <row r="1739" spans="1:4">
      <c r="A1739" t="s">
        <v>6</v>
      </c>
      <c r="B1739">
        <v>28</v>
      </c>
      <c r="C1739" t="str">
        <f>CHOOSE(MATCH(B1739, {20,25,30,35,40,45,50,55,60,65,70,75,80,85}, 1), "20-24", "25-29", "30-34", "35-39", "40-44", "45-49", "50-54", "55-59", "60-64", "65-69", "70-74", "75-79", "80-84", "85+")</f>
        <v>25-29</v>
      </c>
      <c r="D1739" t="s">
        <v>8</v>
      </c>
    </row>
    <row r="1740" spans="1:4">
      <c r="A1740" t="s">
        <v>6</v>
      </c>
      <c r="B1740">
        <v>35</v>
      </c>
      <c r="C1740" t="str">
        <f>CHOOSE(MATCH(B1740, {20,25,30,35,40,45,50,55,60,65,70,75,80,85}, 1), "20-24", "25-29", "30-34", "35-39", "40-44", "45-49", "50-54", "55-59", "60-64", "65-69", "70-74", "75-79", "80-84", "85+")</f>
        <v>35-39</v>
      </c>
      <c r="D1740" t="s">
        <v>7</v>
      </c>
    </row>
    <row r="1741" spans="1:4">
      <c r="A1741" t="s">
        <v>6</v>
      </c>
      <c r="B1741">
        <v>42</v>
      </c>
      <c r="C1741" t="str">
        <f>CHOOSE(MATCH(B1741, {20,25,30,35,40,45,50,55,60,65,70,75,80,85}, 1), "20-24", "25-29", "30-34", "35-39", "40-44", "45-49", "50-54", "55-59", "60-64", "65-69", "70-74", "75-79", "80-84", "85+")</f>
        <v>40-44</v>
      </c>
      <c r="D1741" t="s">
        <v>7</v>
      </c>
    </row>
    <row r="1742" spans="1:4">
      <c r="A1742" t="s">
        <v>6</v>
      </c>
      <c r="B1742">
        <v>48</v>
      </c>
      <c r="C1742" t="str">
        <f>CHOOSE(MATCH(B1742, {20,25,30,35,40,45,50,55,60,65,70,75,80,85}, 1), "20-24", "25-29", "30-34", "35-39", "40-44", "45-49", "50-54", "55-59", "60-64", "65-69", "70-74", "75-79", "80-84", "85+")</f>
        <v>45-49</v>
      </c>
      <c r="D1742" t="s">
        <v>7</v>
      </c>
    </row>
    <row r="1743" spans="1:4">
      <c r="A1743" t="s">
        <v>6</v>
      </c>
      <c r="B1743">
        <v>22</v>
      </c>
      <c r="C1743" t="str">
        <f>CHOOSE(MATCH(B1743, {20,25,30,35,40,45,50,55,60,65,70,75,80,85}, 1), "20-24", "25-29", "30-34", "35-39", "40-44", "45-49", "50-54", "55-59", "60-64", "65-69", "70-74", "75-79", "80-84", "85+")</f>
        <v>20-24</v>
      </c>
      <c r="D1743" t="s">
        <v>7</v>
      </c>
    </row>
    <row r="1744" spans="1:4">
      <c r="A1744" t="s">
        <v>6</v>
      </c>
      <c r="B1744">
        <v>43</v>
      </c>
      <c r="C1744" t="str">
        <f>CHOOSE(MATCH(B1744, {20,25,30,35,40,45,50,55,60,65,70,75,80,85}, 1), "20-24", "25-29", "30-34", "35-39", "40-44", "45-49", "50-54", "55-59", "60-64", "65-69", "70-74", "75-79", "80-84", "85+")</f>
        <v>40-44</v>
      </c>
      <c r="D1744" t="s">
        <v>7</v>
      </c>
    </row>
    <row r="1745" spans="1:4">
      <c r="A1745" t="s">
        <v>6</v>
      </c>
      <c r="B1745">
        <v>58</v>
      </c>
      <c r="C1745" t="str">
        <f>CHOOSE(MATCH(B1745, {20,25,30,35,40,45,50,55,60,65,70,75,80,85}, 1), "20-24", "25-29", "30-34", "35-39", "40-44", "45-49", "50-54", "55-59", "60-64", "65-69", "70-74", "75-79", "80-84", "85+")</f>
        <v>55-59</v>
      </c>
      <c r="D1745" t="s">
        <v>8</v>
      </c>
    </row>
    <row r="1746" spans="1:4">
      <c r="A1746" t="s">
        <v>6</v>
      </c>
      <c r="B1746">
        <v>44</v>
      </c>
      <c r="C1746" t="str">
        <f>CHOOSE(MATCH(B1746, {20,25,30,35,40,45,50,55,60,65,70,75,80,85}, 1), "20-24", "25-29", "30-34", "35-39", "40-44", "45-49", "50-54", "55-59", "60-64", "65-69", "70-74", "75-79", "80-84", "85+")</f>
        <v>40-44</v>
      </c>
      <c r="D1746" t="s">
        <v>7</v>
      </c>
    </row>
    <row r="1747" spans="1:4">
      <c r="A1747" t="s">
        <v>6</v>
      </c>
      <c r="B1747">
        <v>43</v>
      </c>
      <c r="C1747" t="str">
        <f>CHOOSE(MATCH(B1747, {20,25,30,35,40,45,50,55,60,65,70,75,80,85}, 1), "20-24", "25-29", "30-34", "35-39", "40-44", "45-49", "50-54", "55-59", "60-64", "65-69", "70-74", "75-79", "80-84", "85+")</f>
        <v>40-44</v>
      </c>
      <c r="D1747" t="s">
        <v>8</v>
      </c>
    </row>
    <row r="1748" spans="1:4">
      <c r="A1748" t="s">
        <v>6</v>
      </c>
      <c r="B1748">
        <v>29</v>
      </c>
      <c r="C1748" t="str">
        <f>CHOOSE(MATCH(B1748, {20,25,30,35,40,45,50,55,60,65,70,75,80,85}, 1), "20-24", "25-29", "30-34", "35-39", "40-44", "45-49", "50-54", "55-59", "60-64", "65-69", "70-74", "75-79", "80-84", "85+")</f>
        <v>25-29</v>
      </c>
      <c r="D1748" t="s">
        <v>7</v>
      </c>
    </row>
    <row r="1749" spans="1:4">
      <c r="A1749" t="s">
        <v>6</v>
      </c>
      <c r="B1749">
        <v>29</v>
      </c>
      <c r="C1749" t="str">
        <f>CHOOSE(MATCH(B1749, {20,25,30,35,40,45,50,55,60,65,70,75,80,85}, 1), "20-24", "25-29", "30-34", "35-39", "40-44", "45-49", "50-54", "55-59", "60-64", "65-69", "70-74", "75-79", "80-84", "85+")</f>
        <v>25-29</v>
      </c>
      <c r="D1749" t="s">
        <v>7</v>
      </c>
    </row>
    <row r="1750" spans="1:4">
      <c r="A1750" t="s">
        <v>6</v>
      </c>
      <c r="B1750">
        <v>53</v>
      </c>
      <c r="C1750" t="str">
        <f>CHOOSE(MATCH(B1750, {20,25,30,35,40,45,50,55,60,65,70,75,80,85}, 1), "20-24", "25-29", "30-34", "35-39", "40-44", "45-49", "50-54", "55-59", "60-64", "65-69", "70-74", "75-79", "80-84", "85+")</f>
        <v>50-54</v>
      </c>
      <c r="D1750" t="s">
        <v>7</v>
      </c>
    </row>
    <row r="1751" spans="1:4">
      <c r="A1751" t="s">
        <v>6</v>
      </c>
      <c r="B1751">
        <v>37</v>
      </c>
      <c r="C1751" t="str">
        <f>CHOOSE(MATCH(B1751, {20,25,30,35,40,45,50,55,60,65,70,75,80,85}, 1), "20-24", "25-29", "30-34", "35-39", "40-44", "45-49", "50-54", "55-59", "60-64", "65-69", "70-74", "75-79", "80-84", "85+")</f>
        <v>35-39</v>
      </c>
      <c r="D1751" t="s">
        <v>7</v>
      </c>
    </row>
    <row r="1752" spans="1:4">
      <c r="A1752" t="s">
        <v>6</v>
      </c>
      <c r="B1752">
        <v>40</v>
      </c>
      <c r="C1752" t="str">
        <f>CHOOSE(MATCH(B1752, {20,25,30,35,40,45,50,55,60,65,70,75,80,85}, 1), "20-24", "25-29", "30-34", "35-39", "40-44", "45-49", "50-54", "55-59", "60-64", "65-69", "70-74", "75-79", "80-84", "85+")</f>
        <v>40-44</v>
      </c>
      <c r="D1752" t="s">
        <v>7</v>
      </c>
    </row>
    <row r="1753" spans="1:4">
      <c r="A1753" t="s">
        <v>6</v>
      </c>
      <c r="B1753">
        <v>30</v>
      </c>
      <c r="C1753" t="str">
        <f>CHOOSE(MATCH(B1753, {20,25,30,35,40,45,50,55,60,65,70,75,80,85}, 1), "20-24", "25-29", "30-34", "35-39", "40-44", "45-49", "50-54", "55-59", "60-64", "65-69", "70-74", "75-79", "80-84", "85+")</f>
        <v>30-34</v>
      </c>
      <c r="D1753" t="s">
        <v>8</v>
      </c>
    </row>
    <row r="1754" spans="1:4">
      <c r="A1754" t="s">
        <v>6</v>
      </c>
      <c r="B1754">
        <v>31</v>
      </c>
      <c r="C1754" t="str">
        <f>CHOOSE(MATCH(B1754, {20,25,30,35,40,45,50,55,60,65,70,75,80,85}, 1), "20-24", "25-29", "30-34", "35-39", "40-44", "45-49", "50-54", "55-59", "60-64", "65-69", "70-74", "75-79", "80-84", "85+")</f>
        <v>30-34</v>
      </c>
      <c r="D1754" t="s">
        <v>8</v>
      </c>
    </row>
    <row r="1755" spans="1:4">
      <c r="A1755" t="s">
        <v>6</v>
      </c>
      <c r="B1755">
        <v>54</v>
      </c>
      <c r="C1755" t="str">
        <f>CHOOSE(MATCH(B1755, {20,25,30,35,40,45,50,55,60,65,70,75,80,85}, 1), "20-24", "25-29", "30-34", "35-39", "40-44", "45-49", "50-54", "55-59", "60-64", "65-69", "70-74", "75-79", "80-84", "85+")</f>
        <v>50-54</v>
      </c>
      <c r="D1755" t="s">
        <v>7</v>
      </c>
    </row>
    <row r="1756" spans="1:4">
      <c r="A1756" t="s">
        <v>6</v>
      </c>
      <c r="B1756">
        <v>54</v>
      </c>
      <c r="C1756" t="str">
        <f>CHOOSE(MATCH(B1756, {20,25,30,35,40,45,50,55,60,65,70,75,80,85}, 1), "20-24", "25-29", "30-34", "35-39", "40-44", "45-49", "50-54", "55-59", "60-64", "65-69", "70-74", "75-79", "80-84", "85+")</f>
        <v>50-54</v>
      </c>
      <c r="D1756" t="s">
        <v>7</v>
      </c>
    </row>
    <row r="1757" spans="1:4">
      <c r="A1757" t="s">
        <v>6</v>
      </c>
      <c r="B1757">
        <v>28</v>
      </c>
      <c r="C1757" t="str">
        <f>CHOOSE(MATCH(B1757, {20,25,30,35,40,45,50,55,60,65,70,75,80,85}, 1), "20-24", "25-29", "30-34", "35-39", "40-44", "45-49", "50-54", "55-59", "60-64", "65-69", "70-74", "75-79", "80-84", "85+")</f>
        <v>25-29</v>
      </c>
      <c r="D1757" t="s">
        <v>8</v>
      </c>
    </row>
    <row r="1758" spans="1:4">
      <c r="A1758" t="s">
        <v>6</v>
      </c>
      <c r="B1758">
        <v>77</v>
      </c>
      <c r="C1758" t="str">
        <f>CHOOSE(MATCH(B1758, {20,25,30,35,40,45,50,55,60,65,70,75,80,85}, 1), "20-24", "25-29", "30-34", "35-39", "40-44", "45-49", "50-54", "55-59", "60-64", "65-69", "70-74", "75-79", "80-84", "85+")</f>
        <v>75-79</v>
      </c>
      <c r="D1758" t="s">
        <v>8</v>
      </c>
    </row>
    <row r="1759" spans="1:4">
      <c r="A1759" t="s">
        <v>6</v>
      </c>
      <c r="B1759">
        <v>38</v>
      </c>
      <c r="C1759" t="str">
        <f>CHOOSE(MATCH(B1759, {20,25,30,35,40,45,50,55,60,65,70,75,80,85}, 1), "20-24", "25-29", "30-34", "35-39", "40-44", "45-49", "50-54", "55-59", "60-64", "65-69", "70-74", "75-79", "80-84", "85+")</f>
        <v>35-39</v>
      </c>
      <c r="D1759" t="s">
        <v>8</v>
      </c>
    </row>
    <row r="1760" spans="1:4">
      <c r="A1760" t="s">
        <v>6</v>
      </c>
      <c r="B1760">
        <v>30</v>
      </c>
      <c r="C1760" t="str">
        <f>CHOOSE(MATCH(B1760, {20,25,30,35,40,45,50,55,60,65,70,75,80,85}, 1), "20-24", "25-29", "30-34", "35-39", "40-44", "45-49", "50-54", "55-59", "60-64", "65-69", "70-74", "75-79", "80-84", "85+")</f>
        <v>30-34</v>
      </c>
      <c r="D1760" t="s">
        <v>8</v>
      </c>
    </row>
    <row r="1761" spans="1:4">
      <c r="A1761" t="s">
        <v>6</v>
      </c>
      <c r="B1761">
        <v>66</v>
      </c>
      <c r="C1761" t="str">
        <f>CHOOSE(MATCH(B1761, {20,25,30,35,40,45,50,55,60,65,70,75,80,85}, 1), "20-24", "25-29", "30-34", "35-39", "40-44", "45-49", "50-54", "55-59", "60-64", "65-69", "70-74", "75-79", "80-84", "85+")</f>
        <v>65-69</v>
      </c>
      <c r="D1761" t="s">
        <v>8</v>
      </c>
    </row>
    <row r="1762" spans="1:4">
      <c r="A1762" t="s">
        <v>6</v>
      </c>
      <c r="B1762">
        <v>23</v>
      </c>
      <c r="C1762" t="str">
        <f>CHOOSE(MATCH(B1762, {20,25,30,35,40,45,50,55,60,65,70,75,80,85}, 1), "20-24", "25-29", "30-34", "35-39", "40-44", "45-49", "50-54", "55-59", "60-64", "65-69", "70-74", "75-79", "80-84", "85+")</f>
        <v>20-24</v>
      </c>
      <c r="D1762" t="s">
        <v>7</v>
      </c>
    </row>
    <row r="1763" spans="1:4">
      <c r="A1763" t="s">
        <v>6</v>
      </c>
      <c r="B1763">
        <v>28</v>
      </c>
      <c r="C1763" t="str">
        <f>CHOOSE(MATCH(B1763, {20,25,30,35,40,45,50,55,60,65,70,75,80,85}, 1), "20-24", "25-29", "30-34", "35-39", "40-44", "45-49", "50-54", "55-59", "60-64", "65-69", "70-74", "75-79", "80-84", "85+")</f>
        <v>25-29</v>
      </c>
      <c r="D1763" t="s">
        <v>8</v>
      </c>
    </row>
    <row r="1764" spans="1:4">
      <c r="A1764" t="s">
        <v>6</v>
      </c>
      <c r="B1764">
        <v>27</v>
      </c>
      <c r="C1764" t="str">
        <f>CHOOSE(MATCH(B1764, {20,25,30,35,40,45,50,55,60,65,70,75,80,85}, 1), "20-24", "25-29", "30-34", "35-39", "40-44", "45-49", "50-54", "55-59", "60-64", "65-69", "70-74", "75-79", "80-84", "85+")</f>
        <v>25-29</v>
      </c>
      <c r="D1764" t="s">
        <v>7</v>
      </c>
    </row>
    <row r="1765" spans="1:4">
      <c r="A1765" t="s">
        <v>6</v>
      </c>
      <c r="B1765">
        <v>33</v>
      </c>
      <c r="C1765" t="str">
        <f>CHOOSE(MATCH(B1765, {20,25,30,35,40,45,50,55,60,65,70,75,80,85}, 1), "20-24", "25-29", "30-34", "35-39", "40-44", "45-49", "50-54", "55-59", "60-64", "65-69", "70-74", "75-79", "80-84", "85+")</f>
        <v>30-34</v>
      </c>
      <c r="D1765" t="s">
        <v>7</v>
      </c>
    </row>
    <row r="1766" spans="1:4">
      <c r="A1766" t="s">
        <v>6</v>
      </c>
      <c r="B1766">
        <v>47</v>
      </c>
      <c r="C1766" t="str">
        <f>CHOOSE(MATCH(B1766, {20,25,30,35,40,45,50,55,60,65,70,75,80,85}, 1), "20-24", "25-29", "30-34", "35-39", "40-44", "45-49", "50-54", "55-59", "60-64", "65-69", "70-74", "75-79", "80-84", "85+")</f>
        <v>45-49</v>
      </c>
      <c r="D1766" t="s">
        <v>7</v>
      </c>
    </row>
    <row r="1767" spans="1:4">
      <c r="A1767" t="s">
        <v>6</v>
      </c>
      <c r="B1767">
        <v>60</v>
      </c>
      <c r="C1767" t="str">
        <f>CHOOSE(MATCH(B1767, {20,25,30,35,40,45,50,55,60,65,70,75,80,85}, 1), "20-24", "25-29", "30-34", "35-39", "40-44", "45-49", "50-54", "55-59", "60-64", "65-69", "70-74", "75-79", "80-84", "85+")</f>
        <v>60-64</v>
      </c>
      <c r="D1767" t="s">
        <v>7</v>
      </c>
    </row>
    <row r="1768" spans="1:4">
      <c r="A1768" t="s">
        <v>6</v>
      </c>
      <c r="B1768">
        <v>36</v>
      </c>
      <c r="C1768" t="str">
        <f>CHOOSE(MATCH(B1768, {20,25,30,35,40,45,50,55,60,65,70,75,80,85}, 1), "20-24", "25-29", "30-34", "35-39", "40-44", "45-49", "50-54", "55-59", "60-64", "65-69", "70-74", "75-79", "80-84", "85+")</f>
        <v>35-39</v>
      </c>
      <c r="D1768" t="s">
        <v>7</v>
      </c>
    </row>
    <row r="1769" spans="1:4">
      <c r="A1769" t="s">
        <v>6</v>
      </c>
      <c r="B1769">
        <v>25</v>
      </c>
      <c r="C1769" t="str">
        <f>CHOOSE(MATCH(B1769, {20,25,30,35,40,45,50,55,60,65,70,75,80,85}, 1), "20-24", "25-29", "30-34", "35-39", "40-44", "45-49", "50-54", "55-59", "60-64", "65-69", "70-74", "75-79", "80-84", "85+")</f>
        <v>25-29</v>
      </c>
      <c r="D1769" t="s">
        <v>7</v>
      </c>
    </row>
    <row r="1770" spans="1:4">
      <c r="A1770" t="s">
        <v>6</v>
      </c>
      <c r="B1770">
        <v>32</v>
      </c>
      <c r="C1770" t="str">
        <f>CHOOSE(MATCH(B1770, {20,25,30,35,40,45,50,55,60,65,70,75,80,85}, 1), "20-24", "25-29", "30-34", "35-39", "40-44", "45-49", "50-54", "55-59", "60-64", "65-69", "70-74", "75-79", "80-84", "85+")</f>
        <v>30-34</v>
      </c>
      <c r="D1770" t="s">
        <v>7</v>
      </c>
    </row>
    <row r="1771" spans="1:4">
      <c r="A1771" t="s">
        <v>6</v>
      </c>
      <c r="B1771">
        <v>43</v>
      </c>
      <c r="C1771" t="str">
        <f>CHOOSE(MATCH(B1771, {20,25,30,35,40,45,50,55,60,65,70,75,80,85}, 1), "20-24", "25-29", "30-34", "35-39", "40-44", "45-49", "50-54", "55-59", "60-64", "65-69", "70-74", "75-79", "80-84", "85+")</f>
        <v>40-44</v>
      </c>
      <c r="D1771" t="s">
        <v>8</v>
      </c>
    </row>
    <row r="1772" spans="1:4">
      <c r="A1772" t="s">
        <v>6</v>
      </c>
      <c r="B1772">
        <v>53</v>
      </c>
      <c r="C1772" t="str">
        <f>CHOOSE(MATCH(B1772, {20,25,30,35,40,45,50,55,60,65,70,75,80,85}, 1), "20-24", "25-29", "30-34", "35-39", "40-44", "45-49", "50-54", "55-59", "60-64", "65-69", "70-74", "75-79", "80-84", "85+")</f>
        <v>50-54</v>
      </c>
      <c r="D1772" t="s">
        <v>7</v>
      </c>
    </row>
    <row r="1773" spans="1:4">
      <c r="A1773" t="s">
        <v>6</v>
      </c>
      <c r="B1773">
        <v>36</v>
      </c>
      <c r="C1773" t="str">
        <f>CHOOSE(MATCH(B1773, {20,25,30,35,40,45,50,55,60,65,70,75,80,85}, 1), "20-24", "25-29", "30-34", "35-39", "40-44", "45-49", "50-54", "55-59", "60-64", "65-69", "70-74", "75-79", "80-84", "85+")</f>
        <v>35-39</v>
      </c>
      <c r="D1773" t="s">
        <v>8</v>
      </c>
    </row>
    <row r="1774" spans="1:4">
      <c r="A1774" t="s">
        <v>6</v>
      </c>
      <c r="B1774">
        <v>41</v>
      </c>
      <c r="C1774" t="str">
        <f>CHOOSE(MATCH(B1774, {20,25,30,35,40,45,50,55,60,65,70,75,80,85}, 1), "20-24", "25-29", "30-34", "35-39", "40-44", "45-49", "50-54", "55-59", "60-64", "65-69", "70-74", "75-79", "80-84", "85+")</f>
        <v>40-44</v>
      </c>
      <c r="D1774" t="s">
        <v>8</v>
      </c>
    </row>
    <row r="1775" spans="1:4">
      <c r="A1775" t="s">
        <v>6</v>
      </c>
      <c r="B1775">
        <v>59</v>
      </c>
      <c r="C1775" t="str">
        <f>CHOOSE(MATCH(B1775, {20,25,30,35,40,45,50,55,60,65,70,75,80,85}, 1), "20-24", "25-29", "30-34", "35-39", "40-44", "45-49", "50-54", "55-59", "60-64", "65-69", "70-74", "75-79", "80-84", "85+")</f>
        <v>55-59</v>
      </c>
      <c r="D1775" t="s">
        <v>7</v>
      </c>
    </row>
    <row r="1776" spans="1:4">
      <c r="A1776" t="s">
        <v>6</v>
      </c>
      <c r="B1776">
        <v>79</v>
      </c>
      <c r="C1776" t="str">
        <f>CHOOSE(MATCH(B1776, {20,25,30,35,40,45,50,55,60,65,70,75,80,85}, 1), "20-24", "25-29", "30-34", "35-39", "40-44", "45-49", "50-54", "55-59", "60-64", "65-69", "70-74", "75-79", "80-84", "85+")</f>
        <v>75-79</v>
      </c>
      <c r="D1776" t="s">
        <v>7</v>
      </c>
    </row>
    <row r="1777" spans="1:4">
      <c r="A1777" t="s">
        <v>6</v>
      </c>
      <c r="B1777">
        <v>44</v>
      </c>
      <c r="C1777" t="str">
        <f>CHOOSE(MATCH(B1777, {20,25,30,35,40,45,50,55,60,65,70,75,80,85}, 1), "20-24", "25-29", "30-34", "35-39", "40-44", "45-49", "50-54", "55-59", "60-64", "65-69", "70-74", "75-79", "80-84", "85+")</f>
        <v>40-44</v>
      </c>
      <c r="D1777" t="s">
        <v>7</v>
      </c>
    </row>
    <row r="1778" spans="1:4">
      <c r="A1778" t="s">
        <v>6</v>
      </c>
      <c r="B1778">
        <v>77</v>
      </c>
      <c r="C1778" t="str">
        <f>CHOOSE(MATCH(B1778, {20,25,30,35,40,45,50,55,60,65,70,75,80,85}, 1), "20-24", "25-29", "30-34", "35-39", "40-44", "45-49", "50-54", "55-59", "60-64", "65-69", "70-74", "75-79", "80-84", "85+")</f>
        <v>75-79</v>
      </c>
      <c r="D1778" t="s">
        <v>8</v>
      </c>
    </row>
    <row r="1779" spans="1:4">
      <c r="A1779" t="s">
        <v>6</v>
      </c>
      <c r="B1779">
        <v>61</v>
      </c>
      <c r="C1779" t="str">
        <f>CHOOSE(MATCH(B1779, {20,25,30,35,40,45,50,55,60,65,70,75,80,85}, 1), "20-24", "25-29", "30-34", "35-39", "40-44", "45-49", "50-54", "55-59", "60-64", "65-69", "70-74", "75-79", "80-84", "85+")</f>
        <v>60-64</v>
      </c>
      <c r="D1779" t="s">
        <v>7</v>
      </c>
    </row>
    <row r="1780" spans="1:4">
      <c r="A1780" t="s">
        <v>6</v>
      </c>
      <c r="B1780">
        <v>49</v>
      </c>
      <c r="C1780" t="str">
        <f>CHOOSE(MATCH(B1780, {20,25,30,35,40,45,50,55,60,65,70,75,80,85}, 1), "20-24", "25-29", "30-34", "35-39", "40-44", "45-49", "50-54", "55-59", "60-64", "65-69", "70-74", "75-79", "80-84", "85+")</f>
        <v>45-49</v>
      </c>
      <c r="D1780" t="s">
        <v>7</v>
      </c>
    </row>
    <row r="1781" spans="1:4">
      <c r="A1781" t="s">
        <v>6</v>
      </c>
      <c r="B1781">
        <v>41</v>
      </c>
      <c r="C1781" t="str">
        <f>CHOOSE(MATCH(B1781, {20,25,30,35,40,45,50,55,60,65,70,75,80,85}, 1), "20-24", "25-29", "30-34", "35-39", "40-44", "45-49", "50-54", "55-59", "60-64", "65-69", "70-74", "75-79", "80-84", "85+")</f>
        <v>40-44</v>
      </c>
      <c r="D1781" t="s">
        <v>7</v>
      </c>
    </row>
    <row r="1782" spans="1:4">
      <c r="A1782" t="s">
        <v>6</v>
      </c>
      <c r="B1782">
        <v>49</v>
      </c>
      <c r="C1782" t="str">
        <f>CHOOSE(MATCH(B1782, {20,25,30,35,40,45,50,55,60,65,70,75,80,85}, 1), "20-24", "25-29", "30-34", "35-39", "40-44", "45-49", "50-54", "55-59", "60-64", "65-69", "70-74", "75-79", "80-84", "85+")</f>
        <v>45-49</v>
      </c>
      <c r="D1782" t="s">
        <v>8</v>
      </c>
    </row>
    <row r="1783" spans="1:4">
      <c r="A1783" t="s">
        <v>6</v>
      </c>
      <c r="B1783">
        <v>37</v>
      </c>
      <c r="C1783" t="str">
        <f>CHOOSE(MATCH(B1783, {20,25,30,35,40,45,50,55,60,65,70,75,80,85}, 1), "20-24", "25-29", "30-34", "35-39", "40-44", "45-49", "50-54", "55-59", "60-64", "65-69", "70-74", "75-79", "80-84", "85+")</f>
        <v>35-39</v>
      </c>
      <c r="D1783" t="s">
        <v>7</v>
      </c>
    </row>
    <row r="1784" spans="1:4">
      <c r="A1784" t="s">
        <v>6</v>
      </c>
      <c r="B1784">
        <v>37</v>
      </c>
      <c r="C1784" t="str">
        <f>CHOOSE(MATCH(B1784, {20,25,30,35,40,45,50,55,60,65,70,75,80,85}, 1), "20-24", "25-29", "30-34", "35-39", "40-44", "45-49", "50-54", "55-59", "60-64", "65-69", "70-74", "75-79", "80-84", "85+")</f>
        <v>35-39</v>
      </c>
      <c r="D1784" t="s">
        <v>8</v>
      </c>
    </row>
    <row r="1785" spans="1:4">
      <c r="A1785" t="s">
        <v>6</v>
      </c>
      <c r="B1785">
        <v>31</v>
      </c>
      <c r="C1785" t="str">
        <f>CHOOSE(MATCH(B1785, {20,25,30,35,40,45,50,55,60,65,70,75,80,85}, 1), "20-24", "25-29", "30-34", "35-39", "40-44", "45-49", "50-54", "55-59", "60-64", "65-69", "70-74", "75-79", "80-84", "85+")</f>
        <v>30-34</v>
      </c>
      <c r="D1785" t="s">
        <v>8</v>
      </c>
    </row>
    <row r="1786" spans="1:4">
      <c r="A1786" t="s">
        <v>6</v>
      </c>
      <c r="B1786">
        <v>36</v>
      </c>
      <c r="C1786" t="str">
        <f>CHOOSE(MATCH(B1786, {20,25,30,35,40,45,50,55,60,65,70,75,80,85}, 1), "20-24", "25-29", "30-34", "35-39", "40-44", "45-49", "50-54", "55-59", "60-64", "65-69", "70-74", "75-79", "80-84", "85+")</f>
        <v>35-39</v>
      </c>
      <c r="D1786" t="s">
        <v>8</v>
      </c>
    </row>
    <row r="1787" spans="1:4">
      <c r="A1787" t="s">
        <v>6</v>
      </c>
      <c r="B1787">
        <v>58</v>
      </c>
      <c r="C1787" t="str">
        <f>CHOOSE(MATCH(B1787, {20,25,30,35,40,45,50,55,60,65,70,75,80,85}, 1), "20-24", "25-29", "30-34", "35-39", "40-44", "45-49", "50-54", "55-59", "60-64", "65-69", "70-74", "75-79", "80-84", "85+")</f>
        <v>55-59</v>
      </c>
      <c r="D1787" t="s">
        <v>7</v>
      </c>
    </row>
    <row r="1788" spans="1:4">
      <c r="A1788" t="s">
        <v>6</v>
      </c>
      <c r="B1788">
        <v>66</v>
      </c>
      <c r="C1788" t="str">
        <f>CHOOSE(MATCH(B1788, {20,25,30,35,40,45,50,55,60,65,70,75,80,85}, 1), "20-24", "25-29", "30-34", "35-39", "40-44", "45-49", "50-54", "55-59", "60-64", "65-69", "70-74", "75-79", "80-84", "85+")</f>
        <v>65-69</v>
      </c>
      <c r="D1788" t="s">
        <v>8</v>
      </c>
    </row>
    <row r="1789" spans="1:4">
      <c r="A1789" t="s">
        <v>6</v>
      </c>
      <c r="B1789">
        <v>27</v>
      </c>
      <c r="C1789" t="str">
        <f>CHOOSE(MATCH(B1789, {20,25,30,35,40,45,50,55,60,65,70,75,80,85}, 1), "20-24", "25-29", "30-34", "35-39", "40-44", "45-49", "50-54", "55-59", "60-64", "65-69", "70-74", "75-79", "80-84", "85+")</f>
        <v>25-29</v>
      </c>
      <c r="D1789" t="s">
        <v>8</v>
      </c>
    </row>
    <row r="1790" spans="1:4">
      <c r="A1790" t="s">
        <v>6</v>
      </c>
      <c r="B1790">
        <v>32</v>
      </c>
      <c r="C1790" t="str">
        <f>CHOOSE(MATCH(B1790, {20,25,30,35,40,45,50,55,60,65,70,75,80,85}, 1), "20-24", "25-29", "30-34", "35-39", "40-44", "45-49", "50-54", "55-59", "60-64", "65-69", "70-74", "75-79", "80-84", "85+")</f>
        <v>30-34</v>
      </c>
      <c r="D1790" t="s">
        <v>8</v>
      </c>
    </row>
    <row r="1791" spans="1:4">
      <c r="A1791" t="s">
        <v>6</v>
      </c>
      <c r="B1791">
        <v>53</v>
      </c>
      <c r="C1791" t="str">
        <f>CHOOSE(MATCH(B1791, {20,25,30,35,40,45,50,55,60,65,70,75,80,85}, 1), "20-24", "25-29", "30-34", "35-39", "40-44", "45-49", "50-54", "55-59", "60-64", "65-69", "70-74", "75-79", "80-84", "85+")</f>
        <v>50-54</v>
      </c>
      <c r="D1791" t="s">
        <v>8</v>
      </c>
    </row>
    <row r="1792" spans="1:4">
      <c r="A1792" t="s">
        <v>6</v>
      </c>
      <c r="B1792">
        <v>34</v>
      </c>
      <c r="C1792" t="str">
        <f>CHOOSE(MATCH(B1792, {20,25,30,35,40,45,50,55,60,65,70,75,80,85}, 1), "20-24", "25-29", "30-34", "35-39", "40-44", "45-49", "50-54", "55-59", "60-64", "65-69", "70-74", "75-79", "80-84", "85+")</f>
        <v>30-34</v>
      </c>
      <c r="D1792" t="s">
        <v>8</v>
      </c>
    </row>
    <row r="1793" spans="1:4">
      <c r="A1793" t="s">
        <v>6</v>
      </c>
      <c r="B1793">
        <v>32</v>
      </c>
      <c r="C1793" t="str">
        <f>CHOOSE(MATCH(B1793, {20,25,30,35,40,45,50,55,60,65,70,75,80,85}, 1), "20-24", "25-29", "30-34", "35-39", "40-44", "45-49", "50-54", "55-59", "60-64", "65-69", "70-74", "75-79", "80-84", "85+")</f>
        <v>30-34</v>
      </c>
      <c r="D1793" t="s">
        <v>8</v>
      </c>
    </row>
    <row r="1794" spans="1:4">
      <c r="A1794" t="s">
        <v>6</v>
      </c>
      <c r="B1794">
        <v>23</v>
      </c>
      <c r="C1794" t="str">
        <f>CHOOSE(MATCH(B1794, {20,25,30,35,40,45,50,55,60,65,70,75,80,85}, 1), "20-24", "25-29", "30-34", "35-39", "40-44", "45-49", "50-54", "55-59", "60-64", "65-69", "70-74", "75-79", "80-84", "85+")</f>
        <v>20-24</v>
      </c>
      <c r="D1794" t="s">
        <v>7</v>
      </c>
    </row>
    <row r="1795" spans="1:4">
      <c r="A1795" t="s">
        <v>6</v>
      </c>
      <c r="B1795">
        <v>62</v>
      </c>
      <c r="C1795" t="str">
        <f>CHOOSE(MATCH(B1795, {20,25,30,35,40,45,50,55,60,65,70,75,80,85}, 1), "20-24", "25-29", "30-34", "35-39", "40-44", "45-49", "50-54", "55-59", "60-64", "65-69", "70-74", "75-79", "80-84", "85+")</f>
        <v>60-64</v>
      </c>
      <c r="D1795" t="s">
        <v>7</v>
      </c>
    </row>
    <row r="1796" spans="1:4">
      <c r="A1796" t="s">
        <v>6</v>
      </c>
      <c r="B1796">
        <v>38</v>
      </c>
      <c r="C1796" t="str">
        <f>CHOOSE(MATCH(B1796, {20,25,30,35,40,45,50,55,60,65,70,75,80,85}, 1), "20-24", "25-29", "30-34", "35-39", "40-44", "45-49", "50-54", "55-59", "60-64", "65-69", "70-74", "75-79", "80-84", "85+")</f>
        <v>35-39</v>
      </c>
      <c r="D1796" t="s">
        <v>7</v>
      </c>
    </row>
    <row r="1797" spans="1:4">
      <c r="A1797" t="s">
        <v>6</v>
      </c>
      <c r="B1797">
        <v>48</v>
      </c>
      <c r="C1797" t="str">
        <f>CHOOSE(MATCH(B1797, {20,25,30,35,40,45,50,55,60,65,70,75,80,85}, 1), "20-24", "25-29", "30-34", "35-39", "40-44", "45-49", "50-54", "55-59", "60-64", "65-69", "70-74", "75-79", "80-84", "85+")</f>
        <v>45-49</v>
      </c>
      <c r="D1797" t="s">
        <v>7</v>
      </c>
    </row>
    <row r="1798" spans="1:4">
      <c r="A1798" t="s">
        <v>6</v>
      </c>
      <c r="B1798">
        <v>34</v>
      </c>
      <c r="C1798" t="str">
        <f>CHOOSE(MATCH(B1798, {20,25,30,35,40,45,50,55,60,65,70,75,80,85}, 1), "20-24", "25-29", "30-34", "35-39", "40-44", "45-49", "50-54", "55-59", "60-64", "65-69", "70-74", "75-79", "80-84", "85+")</f>
        <v>30-34</v>
      </c>
      <c r="D1798" t="s">
        <v>7</v>
      </c>
    </row>
    <row r="1799" spans="1:4">
      <c r="A1799" t="s">
        <v>6</v>
      </c>
      <c r="B1799">
        <v>36</v>
      </c>
      <c r="C1799" t="str">
        <f>CHOOSE(MATCH(B1799, {20,25,30,35,40,45,50,55,60,65,70,75,80,85}, 1), "20-24", "25-29", "30-34", "35-39", "40-44", "45-49", "50-54", "55-59", "60-64", "65-69", "70-74", "75-79", "80-84", "85+")</f>
        <v>35-39</v>
      </c>
      <c r="D1799" t="s">
        <v>7</v>
      </c>
    </row>
    <row r="1800" spans="1:4">
      <c r="A1800" t="s">
        <v>6</v>
      </c>
      <c r="B1800">
        <v>25</v>
      </c>
      <c r="C1800" t="str">
        <f>CHOOSE(MATCH(B1800, {20,25,30,35,40,45,50,55,60,65,70,75,80,85}, 1), "20-24", "25-29", "30-34", "35-39", "40-44", "45-49", "50-54", "55-59", "60-64", "65-69", "70-74", "75-79", "80-84", "85+")</f>
        <v>25-29</v>
      </c>
      <c r="D1800" t="s">
        <v>7</v>
      </c>
    </row>
    <row r="1801" spans="1:4">
      <c r="A1801" t="s">
        <v>6</v>
      </c>
      <c r="B1801">
        <v>64</v>
      </c>
      <c r="C1801" t="str">
        <f>CHOOSE(MATCH(B1801, {20,25,30,35,40,45,50,55,60,65,70,75,80,85}, 1), "20-24", "25-29", "30-34", "35-39", "40-44", "45-49", "50-54", "55-59", "60-64", "65-69", "70-74", "75-79", "80-84", "85+")</f>
        <v>60-64</v>
      </c>
      <c r="D1801" t="s">
        <v>7</v>
      </c>
    </row>
    <row r="1802" spans="1:4">
      <c r="A1802" t="s">
        <v>6</v>
      </c>
      <c r="B1802">
        <v>58</v>
      </c>
      <c r="C1802" t="str">
        <f>CHOOSE(MATCH(B1802, {20,25,30,35,40,45,50,55,60,65,70,75,80,85}, 1), "20-24", "25-29", "30-34", "35-39", "40-44", "45-49", "50-54", "55-59", "60-64", "65-69", "70-74", "75-79", "80-84", "85+")</f>
        <v>55-59</v>
      </c>
      <c r="D1802" t="s">
        <v>8</v>
      </c>
    </row>
    <row r="1803" spans="1:4">
      <c r="A1803" t="s">
        <v>6</v>
      </c>
      <c r="B1803">
        <v>65</v>
      </c>
      <c r="C1803" t="str">
        <f>CHOOSE(MATCH(B1803, {20,25,30,35,40,45,50,55,60,65,70,75,80,85}, 1), "20-24", "25-29", "30-34", "35-39", "40-44", "45-49", "50-54", "55-59", "60-64", "65-69", "70-74", "75-79", "80-84", "85+")</f>
        <v>65-69</v>
      </c>
      <c r="D1803" t="s">
        <v>7</v>
      </c>
    </row>
    <row r="1804" spans="1:4">
      <c r="A1804" t="s">
        <v>6</v>
      </c>
      <c r="B1804">
        <v>26</v>
      </c>
      <c r="C1804" t="str">
        <f>CHOOSE(MATCH(B1804, {20,25,30,35,40,45,50,55,60,65,70,75,80,85}, 1), "20-24", "25-29", "30-34", "35-39", "40-44", "45-49", "50-54", "55-59", "60-64", "65-69", "70-74", "75-79", "80-84", "85+")</f>
        <v>25-29</v>
      </c>
      <c r="D1804" t="s">
        <v>8</v>
      </c>
    </row>
    <row r="1805" spans="1:4">
      <c r="A1805" t="s">
        <v>6</v>
      </c>
      <c r="B1805">
        <v>46</v>
      </c>
      <c r="C1805" t="str">
        <f>CHOOSE(MATCH(B1805, {20,25,30,35,40,45,50,55,60,65,70,75,80,85}, 1), "20-24", "25-29", "30-34", "35-39", "40-44", "45-49", "50-54", "55-59", "60-64", "65-69", "70-74", "75-79", "80-84", "85+")</f>
        <v>45-49</v>
      </c>
      <c r="D1805" t="s">
        <v>8</v>
      </c>
    </row>
    <row r="1806" spans="1:4">
      <c r="A1806" t="s">
        <v>6</v>
      </c>
      <c r="B1806">
        <v>26</v>
      </c>
      <c r="C1806" t="str">
        <f>CHOOSE(MATCH(B1806, {20,25,30,35,40,45,50,55,60,65,70,75,80,85}, 1), "20-24", "25-29", "30-34", "35-39", "40-44", "45-49", "50-54", "55-59", "60-64", "65-69", "70-74", "75-79", "80-84", "85+")</f>
        <v>25-29</v>
      </c>
      <c r="D1806" t="s">
        <v>7</v>
      </c>
    </row>
    <row r="1807" spans="1:4">
      <c r="A1807" t="s">
        <v>6</v>
      </c>
      <c r="B1807">
        <v>74</v>
      </c>
      <c r="C1807" t="str">
        <f>CHOOSE(MATCH(B1807, {20,25,30,35,40,45,50,55,60,65,70,75,80,85}, 1), "20-24", "25-29", "30-34", "35-39", "40-44", "45-49", "50-54", "55-59", "60-64", "65-69", "70-74", "75-79", "80-84", "85+")</f>
        <v>70-74</v>
      </c>
      <c r="D1807" t="s">
        <v>8</v>
      </c>
    </row>
    <row r="1808" spans="1:4">
      <c r="A1808" t="s">
        <v>6</v>
      </c>
      <c r="B1808">
        <v>51</v>
      </c>
      <c r="C1808" t="str">
        <f>CHOOSE(MATCH(B1808, {20,25,30,35,40,45,50,55,60,65,70,75,80,85}, 1), "20-24", "25-29", "30-34", "35-39", "40-44", "45-49", "50-54", "55-59", "60-64", "65-69", "70-74", "75-79", "80-84", "85+")</f>
        <v>50-54</v>
      </c>
      <c r="D1808" t="s">
        <v>7</v>
      </c>
    </row>
    <row r="1809" spans="1:4">
      <c r="A1809" t="s">
        <v>6</v>
      </c>
      <c r="B1809">
        <v>32</v>
      </c>
      <c r="C1809" t="str">
        <f>CHOOSE(MATCH(B1809, {20,25,30,35,40,45,50,55,60,65,70,75,80,85}, 1), "20-24", "25-29", "30-34", "35-39", "40-44", "45-49", "50-54", "55-59", "60-64", "65-69", "70-74", "75-79", "80-84", "85+")</f>
        <v>30-34</v>
      </c>
      <c r="D1809" t="s">
        <v>7</v>
      </c>
    </row>
    <row r="1810" spans="1:4">
      <c r="A1810" t="s">
        <v>6</v>
      </c>
      <c r="B1810">
        <v>44</v>
      </c>
      <c r="C1810" t="str">
        <f>CHOOSE(MATCH(B1810, {20,25,30,35,40,45,50,55,60,65,70,75,80,85}, 1), "20-24", "25-29", "30-34", "35-39", "40-44", "45-49", "50-54", "55-59", "60-64", "65-69", "70-74", "75-79", "80-84", "85+")</f>
        <v>40-44</v>
      </c>
      <c r="D1810" t="s">
        <v>7</v>
      </c>
    </row>
    <row r="1811" spans="1:4">
      <c r="A1811" t="s">
        <v>6</v>
      </c>
      <c r="B1811">
        <v>37</v>
      </c>
      <c r="C1811" t="str">
        <f>CHOOSE(MATCH(B1811, {20,25,30,35,40,45,50,55,60,65,70,75,80,85}, 1), "20-24", "25-29", "30-34", "35-39", "40-44", "45-49", "50-54", "55-59", "60-64", "65-69", "70-74", "75-79", "80-84", "85+")</f>
        <v>35-39</v>
      </c>
      <c r="D1811" t="s">
        <v>8</v>
      </c>
    </row>
    <row r="1812" spans="1:4">
      <c r="A1812" t="s">
        <v>6</v>
      </c>
      <c r="B1812">
        <v>72</v>
      </c>
      <c r="C1812" t="str">
        <f>CHOOSE(MATCH(B1812, {20,25,30,35,40,45,50,55,60,65,70,75,80,85}, 1), "20-24", "25-29", "30-34", "35-39", "40-44", "45-49", "50-54", "55-59", "60-64", "65-69", "70-74", "75-79", "80-84", "85+")</f>
        <v>70-74</v>
      </c>
      <c r="D1812" t="s">
        <v>7</v>
      </c>
    </row>
    <row r="1813" spans="1:4">
      <c r="A1813" t="s">
        <v>6</v>
      </c>
      <c r="B1813">
        <v>31</v>
      </c>
      <c r="C1813" t="str">
        <f>CHOOSE(MATCH(B1813, {20,25,30,35,40,45,50,55,60,65,70,75,80,85}, 1), "20-24", "25-29", "30-34", "35-39", "40-44", "45-49", "50-54", "55-59", "60-64", "65-69", "70-74", "75-79", "80-84", "85+")</f>
        <v>30-34</v>
      </c>
      <c r="D1813" t="s">
        <v>7</v>
      </c>
    </row>
    <row r="1814" spans="1:4">
      <c r="A1814" t="s">
        <v>6</v>
      </c>
      <c r="B1814">
        <v>72</v>
      </c>
      <c r="C1814" t="str">
        <f>CHOOSE(MATCH(B1814, {20,25,30,35,40,45,50,55,60,65,70,75,80,85}, 1), "20-24", "25-29", "30-34", "35-39", "40-44", "45-49", "50-54", "55-59", "60-64", "65-69", "70-74", "75-79", "80-84", "85+")</f>
        <v>70-74</v>
      </c>
      <c r="D1814" t="s">
        <v>7</v>
      </c>
    </row>
    <row r="1815" spans="1:4">
      <c r="A1815" t="s">
        <v>6</v>
      </c>
      <c r="B1815">
        <v>31</v>
      </c>
      <c r="C1815" t="str">
        <f>CHOOSE(MATCH(B1815, {20,25,30,35,40,45,50,55,60,65,70,75,80,85}, 1), "20-24", "25-29", "30-34", "35-39", "40-44", "45-49", "50-54", "55-59", "60-64", "65-69", "70-74", "75-79", "80-84", "85+")</f>
        <v>30-34</v>
      </c>
      <c r="D1815" t="s">
        <v>8</v>
      </c>
    </row>
    <row r="1816" spans="1:4">
      <c r="A1816" t="s">
        <v>6</v>
      </c>
      <c r="B1816">
        <v>48</v>
      </c>
      <c r="C1816" t="str">
        <f>CHOOSE(MATCH(B1816, {20,25,30,35,40,45,50,55,60,65,70,75,80,85}, 1), "20-24", "25-29", "30-34", "35-39", "40-44", "45-49", "50-54", "55-59", "60-64", "65-69", "70-74", "75-79", "80-84", "85+")</f>
        <v>45-49</v>
      </c>
      <c r="D1816" t="s">
        <v>7</v>
      </c>
    </row>
    <row r="1817" spans="1:4">
      <c r="A1817" t="s">
        <v>6</v>
      </c>
      <c r="B1817">
        <v>32</v>
      </c>
      <c r="C1817" t="str">
        <f>CHOOSE(MATCH(B1817, {20,25,30,35,40,45,50,55,60,65,70,75,80,85}, 1), "20-24", "25-29", "30-34", "35-39", "40-44", "45-49", "50-54", "55-59", "60-64", "65-69", "70-74", "75-79", "80-84", "85+")</f>
        <v>30-34</v>
      </c>
      <c r="D1817" t="s">
        <v>7</v>
      </c>
    </row>
    <row r="1818" spans="1:4">
      <c r="A1818" t="s">
        <v>6</v>
      </c>
      <c r="B1818">
        <v>37</v>
      </c>
      <c r="C1818" t="str">
        <f>CHOOSE(MATCH(B1818, {20,25,30,35,40,45,50,55,60,65,70,75,80,85}, 1), "20-24", "25-29", "30-34", "35-39", "40-44", "45-49", "50-54", "55-59", "60-64", "65-69", "70-74", "75-79", "80-84", "85+")</f>
        <v>35-39</v>
      </c>
      <c r="D1818" t="s">
        <v>8</v>
      </c>
    </row>
    <row r="1819" spans="1:4">
      <c r="A1819" t="s">
        <v>6</v>
      </c>
      <c r="B1819">
        <v>33</v>
      </c>
      <c r="C1819" t="str">
        <f>CHOOSE(MATCH(B1819, {20,25,30,35,40,45,50,55,60,65,70,75,80,85}, 1), "20-24", "25-29", "30-34", "35-39", "40-44", "45-49", "50-54", "55-59", "60-64", "65-69", "70-74", "75-79", "80-84", "85+")</f>
        <v>30-34</v>
      </c>
      <c r="D1819" t="s">
        <v>7</v>
      </c>
    </row>
    <row r="1820" spans="1:4">
      <c r="A1820" t="s">
        <v>6</v>
      </c>
      <c r="B1820">
        <v>53</v>
      </c>
      <c r="C1820" t="str">
        <f>CHOOSE(MATCH(B1820, {20,25,30,35,40,45,50,55,60,65,70,75,80,85}, 1), "20-24", "25-29", "30-34", "35-39", "40-44", "45-49", "50-54", "55-59", "60-64", "65-69", "70-74", "75-79", "80-84", "85+")</f>
        <v>50-54</v>
      </c>
      <c r="D1820" t="s">
        <v>8</v>
      </c>
    </row>
    <row r="1821" spans="1:4">
      <c r="A1821" t="s">
        <v>6</v>
      </c>
      <c r="B1821">
        <v>58</v>
      </c>
      <c r="C1821" t="str">
        <f>CHOOSE(MATCH(B1821, {20,25,30,35,40,45,50,55,60,65,70,75,80,85}, 1), "20-24", "25-29", "30-34", "35-39", "40-44", "45-49", "50-54", "55-59", "60-64", "65-69", "70-74", "75-79", "80-84", "85+")</f>
        <v>55-59</v>
      </c>
      <c r="D1821" t="s">
        <v>8</v>
      </c>
    </row>
    <row r="1822" spans="1:4">
      <c r="A1822" t="s">
        <v>6</v>
      </c>
      <c r="B1822">
        <v>48</v>
      </c>
      <c r="C1822" t="str">
        <f>CHOOSE(MATCH(B1822, {20,25,30,35,40,45,50,55,60,65,70,75,80,85}, 1), "20-24", "25-29", "30-34", "35-39", "40-44", "45-49", "50-54", "55-59", "60-64", "65-69", "70-74", "75-79", "80-84", "85+")</f>
        <v>45-49</v>
      </c>
      <c r="D1822" t="s">
        <v>8</v>
      </c>
    </row>
    <row r="1823" spans="1:4">
      <c r="A1823" t="s">
        <v>6</v>
      </c>
      <c r="B1823">
        <v>56</v>
      </c>
      <c r="C1823" t="str">
        <f>CHOOSE(MATCH(B1823, {20,25,30,35,40,45,50,55,60,65,70,75,80,85}, 1), "20-24", "25-29", "30-34", "35-39", "40-44", "45-49", "50-54", "55-59", "60-64", "65-69", "70-74", "75-79", "80-84", "85+")</f>
        <v>55-59</v>
      </c>
      <c r="D1823" t="s">
        <v>7</v>
      </c>
    </row>
    <row r="1824" spans="1:4">
      <c r="A1824" t="s">
        <v>6</v>
      </c>
      <c r="B1824">
        <v>39</v>
      </c>
      <c r="C1824" t="str">
        <f>CHOOSE(MATCH(B1824, {20,25,30,35,40,45,50,55,60,65,70,75,80,85}, 1), "20-24", "25-29", "30-34", "35-39", "40-44", "45-49", "50-54", "55-59", "60-64", "65-69", "70-74", "75-79", "80-84", "85+")</f>
        <v>35-39</v>
      </c>
      <c r="D1824" t="s">
        <v>7</v>
      </c>
    </row>
    <row r="1825" spans="1:4">
      <c r="A1825" t="s">
        <v>6</v>
      </c>
      <c r="B1825">
        <v>51</v>
      </c>
      <c r="C1825" t="str">
        <f>CHOOSE(MATCH(B1825, {20,25,30,35,40,45,50,55,60,65,70,75,80,85}, 1), "20-24", "25-29", "30-34", "35-39", "40-44", "45-49", "50-54", "55-59", "60-64", "65-69", "70-74", "75-79", "80-84", "85+")</f>
        <v>50-54</v>
      </c>
      <c r="D1825" t="s">
        <v>7</v>
      </c>
    </row>
    <row r="1826" spans="1:4">
      <c r="A1826" t="s">
        <v>6</v>
      </c>
      <c r="B1826">
        <v>35</v>
      </c>
      <c r="C1826" t="str">
        <f>CHOOSE(MATCH(B1826, {20,25,30,35,40,45,50,55,60,65,70,75,80,85}, 1), "20-24", "25-29", "30-34", "35-39", "40-44", "45-49", "50-54", "55-59", "60-64", "65-69", "70-74", "75-79", "80-84", "85+")</f>
        <v>35-39</v>
      </c>
      <c r="D1826" t="s">
        <v>7</v>
      </c>
    </row>
    <row r="1827" spans="1:4">
      <c r="A1827" t="s">
        <v>6</v>
      </c>
      <c r="B1827">
        <v>77</v>
      </c>
      <c r="C1827" t="str">
        <f>CHOOSE(MATCH(B1827, {20,25,30,35,40,45,50,55,60,65,70,75,80,85}, 1), "20-24", "25-29", "30-34", "35-39", "40-44", "45-49", "50-54", "55-59", "60-64", "65-69", "70-74", "75-79", "80-84", "85+")</f>
        <v>75-79</v>
      </c>
      <c r="D1827" t="s">
        <v>7</v>
      </c>
    </row>
    <row r="1828" spans="1:4">
      <c r="A1828" t="s">
        <v>6</v>
      </c>
      <c r="B1828">
        <v>37</v>
      </c>
      <c r="C1828" t="str">
        <f>CHOOSE(MATCH(B1828, {20,25,30,35,40,45,50,55,60,65,70,75,80,85}, 1), "20-24", "25-29", "30-34", "35-39", "40-44", "45-49", "50-54", "55-59", "60-64", "65-69", "70-74", "75-79", "80-84", "85+")</f>
        <v>35-39</v>
      </c>
      <c r="D1828" t="s">
        <v>8</v>
      </c>
    </row>
    <row r="1829" spans="1:4">
      <c r="A1829" t="s">
        <v>6</v>
      </c>
      <c r="B1829">
        <v>32</v>
      </c>
      <c r="C1829" t="str">
        <f>CHOOSE(MATCH(B1829, {20,25,30,35,40,45,50,55,60,65,70,75,80,85}, 1), "20-24", "25-29", "30-34", "35-39", "40-44", "45-49", "50-54", "55-59", "60-64", "65-69", "70-74", "75-79", "80-84", "85+")</f>
        <v>30-34</v>
      </c>
      <c r="D1829" t="s">
        <v>7</v>
      </c>
    </row>
    <row r="1830" spans="1:4">
      <c r="A1830" t="s">
        <v>6</v>
      </c>
      <c r="B1830">
        <v>24</v>
      </c>
      <c r="C1830" t="str">
        <f>CHOOSE(MATCH(B1830, {20,25,30,35,40,45,50,55,60,65,70,75,80,85}, 1), "20-24", "25-29", "30-34", "35-39", "40-44", "45-49", "50-54", "55-59", "60-64", "65-69", "70-74", "75-79", "80-84", "85+")</f>
        <v>20-24</v>
      </c>
      <c r="D1830" t="s">
        <v>8</v>
      </c>
    </row>
    <row r="1831" spans="1:4">
      <c r="A1831" t="s">
        <v>6</v>
      </c>
      <c r="B1831">
        <v>30</v>
      </c>
      <c r="C1831" t="str">
        <f>CHOOSE(MATCH(B1831, {20,25,30,35,40,45,50,55,60,65,70,75,80,85}, 1), "20-24", "25-29", "30-34", "35-39", "40-44", "45-49", "50-54", "55-59", "60-64", "65-69", "70-74", "75-79", "80-84", "85+")</f>
        <v>30-34</v>
      </c>
      <c r="D1831" t="s">
        <v>7</v>
      </c>
    </row>
    <row r="1832" spans="1:4">
      <c r="A1832" t="s">
        <v>6</v>
      </c>
      <c r="B1832">
        <v>27</v>
      </c>
      <c r="C1832" t="str">
        <f>CHOOSE(MATCH(B1832, {20,25,30,35,40,45,50,55,60,65,70,75,80,85}, 1), "20-24", "25-29", "30-34", "35-39", "40-44", "45-49", "50-54", "55-59", "60-64", "65-69", "70-74", "75-79", "80-84", "85+")</f>
        <v>25-29</v>
      </c>
      <c r="D1832" t="s">
        <v>8</v>
      </c>
    </row>
    <row r="1833" spans="1:4">
      <c r="A1833" t="s">
        <v>6</v>
      </c>
      <c r="B1833">
        <v>42</v>
      </c>
      <c r="C1833" t="str">
        <f>CHOOSE(MATCH(B1833, {20,25,30,35,40,45,50,55,60,65,70,75,80,85}, 1), "20-24", "25-29", "30-34", "35-39", "40-44", "45-49", "50-54", "55-59", "60-64", "65-69", "70-74", "75-79", "80-84", "85+")</f>
        <v>40-44</v>
      </c>
      <c r="D1833" t="s">
        <v>7</v>
      </c>
    </row>
    <row r="1834" spans="1:4">
      <c r="A1834" t="s">
        <v>6</v>
      </c>
      <c r="B1834">
        <v>32</v>
      </c>
      <c r="C1834" t="str">
        <f>CHOOSE(MATCH(B1834, {20,25,30,35,40,45,50,55,60,65,70,75,80,85}, 1), "20-24", "25-29", "30-34", "35-39", "40-44", "45-49", "50-54", "55-59", "60-64", "65-69", "70-74", "75-79", "80-84", "85+")</f>
        <v>30-34</v>
      </c>
      <c r="D1834" t="s">
        <v>7</v>
      </c>
    </row>
    <row r="1835" spans="1:4">
      <c r="A1835" t="s">
        <v>6</v>
      </c>
      <c r="B1835">
        <v>61</v>
      </c>
      <c r="C1835" t="str">
        <f>CHOOSE(MATCH(B1835, {20,25,30,35,40,45,50,55,60,65,70,75,80,85}, 1), "20-24", "25-29", "30-34", "35-39", "40-44", "45-49", "50-54", "55-59", "60-64", "65-69", "70-74", "75-79", "80-84", "85+")</f>
        <v>60-64</v>
      </c>
      <c r="D1835" t="s">
        <v>7</v>
      </c>
    </row>
    <row r="1836" spans="1:4">
      <c r="A1836" t="s">
        <v>6</v>
      </c>
      <c r="B1836">
        <v>52</v>
      </c>
      <c r="C1836" t="str">
        <f>CHOOSE(MATCH(B1836, {20,25,30,35,40,45,50,55,60,65,70,75,80,85}, 1), "20-24", "25-29", "30-34", "35-39", "40-44", "45-49", "50-54", "55-59", "60-64", "65-69", "70-74", "75-79", "80-84", "85+")</f>
        <v>50-54</v>
      </c>
      <c r="D1836" t="s">
        <v>7</v>
      </c>
    </row>
    <row r="1837" spans="1:4">
      <c r="A1837" t="s">
        <v>6</v>
      </c>
      <c r="B1837">
        <v>54</v>
      </c>
      <c r="C1837" t="str">
        <f>CHOOSE(MATCH(B1837, {20,25,30,35,40,45,50,55,60,65,70,75,80,85}, 1), "20-24", "25-29", "30-34", "35-39", "40-44", "45-49", "50-54", "55-59", "60-64", "65-69", "70-74", "75-79", "80-84", "85+")</f>
        <v>50-54</v>
      </c>
      <c r="D1837" t="s">
        <v>7</v>
      </c>
    </row>
    <row r="1838" spans="1:4">
      <c r="A1838" t="s">
        <v>6</v>
      </c>
      <c r="B1838">
        <v>34</v>
      </c>
      <c r="C1838" t="str">
        <f>CHOOSE(MATCH(B1838, {20,25,30,35,40,45,50,55,60,65,70,75,80,85}, 1), "20-24", "25-29", "30-34", "35-39", "40-44", "45-49", "50-54", "55-59", "60-64", "65-69", "70-74", "75-79", "80-84", "85+")</f>
        <v>30-34</v>
      </c>
      <c r="D1838" t="s">
        <v>7</v>
      </c>
    </row>
    <row r="1839" spans="1:4">
      <c r="A1839" t="s">
        <v>6</v>
      </c>
      <c r="B1839">
        <v>32</v>
      </c>
      <c r="C1839" t="str">
        <f>CHOOSE(MATCH(B1839, {20,25,30,35,40,45,50,55,60,65,70,75,80,85}, 1), "20-24", "25-29", "30-34", "35-39", "40-44", "45-49", "50-54", "55-59", "60-64", "65-69", "70-74", "75-79", "80-84", "85+")</f>
        <v>30-34</v>
      </c>
      <c r="D1839" t="s">
        <v>7</v>
      </c>
    </row>
    <row r="1840" spans="1:4">
      <c r="A1840" t="s">
        <v>6</v>
      </c>
      <c r="B1840">
        <v>32</v>
      </c>
      <c r="C1840" t="str">
        <f>CHOOSE(MATCH(B1840, {20,25,30,35,40,45,50,55,60,65,70,75,80,85}, 1), "20-24", "25-29", "30-34", "35-39", "40-44", "45-49", "50-54", "55-59", "60-64", "65-69", "70-74", "75-79", "80-84", "85+")</f>
        <v>30-34</v>
      </c>
      <c r="D1840" t="s">
        <v>7</v>
      </c>
    </row>
    <row r="1841" spans="1:4">
      <c r="A1841" t="s">
        <v>6</v>
      </c>
      <c r="B1841">
        <v>38</v>
      </c>
      <c r="C1841" t="str">
        <f>CHOOSE(MATCH(B1841, {20,25,30,35,40,45,50,55,60,65,70,75,80,85}, 1), "20-24", "25-29", "30-34", "35-39", "40-44", "45-49", "50-54", "55-59", "60-64", "65-69", "70-74", "75-79", "80-84", "85+")</f>
        <v>35-39</v>
      </c>
      <c r="D1841" t="s">
        <v>8</v>
      </c>
    </row>
    <row r="1842" spans="1:4">
      <c r="A1842" t="s">
        <v>6</v>
      </c>
      <c r="B1842">
        <v>35</v>
      </c>
      <c r="C1842" t="str">
        <f>CHOOSE(MATCH(B1842, {20,25,30,35,40,45,50,55,60,65,70,75,80,85}, 1), "20-24", "25-29", "30-34", "35-39", "40-44", "45-49", "50-54", "55-59", "60-64", "65-69", "70-74", "75-79", "80-84", "85+")</f>
        <v>35-39</v>
      </c>
      <c r="D1842" t="s">
        <v>8</v>
      </c>
    </row>
    <row r="1843" spans="1:4">
      <c r="A1843" t="s">
        <v>6</v>
      </c>
      <c r="B1843">
        <v>33</v>
      </c>
      <c r="C1843" t="str">
        <f>CHOOSE(MATCH(B1843, {20,25,30,35,40,45,50,55,60,65,70,75,80,85}, 1), "20-24", "25-29", "30-34", "35-39", "40-44", "45-49", "50-54", "55-59", "60-64", "65-69", "70-74", "75-79", "80-84", "85+")</f>
        <v>30-34</v>
      </c>
      <c r="D1843" t="s">
        <v>7</v>
      </c>
    </row>
    <row r="1844" spans="1:4">
      <c r="A1844" t="s">
        <v>6</v>
      </c>
      <c r="B1844">
        <v>25</v>
      </c>
      <c r="C1844" t="str">
        <f>CHOOSE(MATCH(B1844, {20,25,30,35,40,45,50,55,60,65,70,75,80,85}, 1), "20-24", "25-29", "30-34", "35-39", "40-44", "45-49", "50-54", "55-59", "60-64", "65-69", "70-74", "75-79", "80-84", "85+")</f>
        <v>25-29</v>
      </c>
      <c r="D1844" t="s">
        <v>7</v>
      </c>
    </row>
    <row r="1845" spans="1:4">
      <c r="A1845" t="s">
        <v>6</v>
      </c>
      <c r="B1845">
        <v>28</v>
      </c>
      <c r="C1845" t="str">
        <f>CHOOSE(MATCH(B1845, {20,25,30,35,40,45,50,55,60,65,70,75,80,85}, 1), "20-24", "25-29", "30-34", "35-39", "40-44", "45-49", "50-54", "55-59", "60-64", "65-69", "70-74", "75-79", "80-84", "85+")</f>
        <v>25-29</v>
      </c>
      <c r="D1845" t="s">
        <v>7</v>
      </c>
    </row>
    <row r="1846" spans="1:4">
      <c r="A1846" t="s">
        <v>6</v>
      </c>
      <c r="B1846">
        <v>40</v>
      </c>
      <c r="C1846" t="str">
        <f>CHOOSE(MATCH(B1846, {20,25,30,35,40,45,50,55,60,65,70,75,80,85}, 1), "20-24", "25-29", "30-34", "35-39", "40-44", "45-49", "50-54", "55-59", "60-64", "65-69", "70-74", "75-79", "80-84", "85+")</f>
        <v>40-44</v>
      </c>
      <c r="D1846" t="s">
        <v>7</v>
      </c>
    </row>
    <row r="1847" spans="1:4">
      <c r="A1847" t="s">
        <v>6</v>
      </c>
      <c r="B1847">
        <v>55</v>
      </c>
      <c r="C1847" t="str">
        <f>CHOOSE(MATCH(B1847, {20,25,30,35,40,45,50,55,60,65,70,75,80,85}, 1), "20-24", "25-29", "30-34", "35-39", "40-44", "45-49", "50-54", "55-59", "60-64", "65-69", "70-74", "75-79", "80-84", "85+")</f>
        <v>55-59</v>
      </c>
      <c r="D1847" t="s">
        <v>7</v>
      </c>
    </row>
    <row r="1848" spans="1:4">
      <c r="A1848" t="s">
        <v>6</v>
      </c>
      <c r="B1848">
        <v>38</v>
      </c>
      <c r="C1848" t="str">
        <f>CHOOSE(MATCH(B1848, {20,25,30,35,40,45,50,55,60,65,70,75,80,85}, 1), "20-24", "25-29", "30-34", "35-39", "40-44", "45-49", "50-54", "55-59", "60-64", "65-69", "70-74", "75-79", "80-84", "85+")</f>
        <v>35-39</v>
      </c>
      <c r="D1848" t="s">
        <v>7</v>
      </c>
    </row>
    <row r="1849" spans="1:4">
      <c r="A1849" t="s">
        <v>6</v>
      </c>
      <c r="B1849">
        <v>36</v>
      </c>
      <c r="C1849" t="str">
        <f>CHOOSE(MATCH(B1849, {20,25,30,35,40,45,50,55,60,65,70,75,80,85}, 1), "20-24", "25-29", "30-34", "35-39", "40-44", "45-49", "50-54", "55-59", "60-64", "65-69", "70-74", "75-79", "80-84", "85+")</f>
        <v>35-39</v>
      </c>
      <c r="D1849" t="s">
        <v>7</v>
      </c>
    </row>
    <row r="1850" spans="1:4">
      <c r="A1850" t="s">
        <v>6</v>
      </c>
      <c r="B1850">
        <v>59</v>
      </c>
      <c r="C1850" t="str">
        <f>CHOOSE(MATCH(B1850, {20,25,30,35,40,45,50,55,60,65,70,75,80,85}, 1), "20-24", "25-29", "30-34", "35-39", "40-44", "45-49", "50-54", "55-59", "60-64", "65-69", "70-74", "75-79", "80-84", "85+")</f>
        <v>55-59</v>
      </c>
      <c r="D1850" t="s">
        <v>8</v>
      </c>
    </row>
    <row r="1851" spans="1:4">
      <c r="A1851" t="s">
        <v>6</v>
      </c>
      <c r="B1851">
        <v>41</v>
      </c>
      <c r="C1851" t="str">
        <f>CHOOSE(MATCH(B1851, {20,25,30,35,40,45,50,55,60,65,70,75,80,85}, 1), "20-24", "25-29", "30-34", "35-39", "40-44", "45-49", "50-54", "55-59", "60-64", "65-69", "70-74", "75-79", "80-84", "85+")</f>
        <v>40-44</v>
      </c>
      <c r="D1851" t="s">
        <v>8</v>
      </c>
    </row>
    <row r="1852" spans="1:4">
      <c r="A1852" t="s">
        <v>6</v>
      </c>
      <c r="B1852">
        <v>41</v>
      </c>
      <c r="C1852" t="str">
        <f>CHOOSE(MATCH(B1852, {20,25,30,35,40,45,50,55,60,65,70,75,80,85}, 1), "20-24", "25-29", "30-34", "35-39", "40-44", "45-49", "50-54", "55-59", "60-64", "65-69", "70-74", "75-79", "80-84", "85+")</f>
        <v>40-44</v>
      </c>
      <c r="D1852" t="s">
        <v>7</v>
      </c>
    </row>
    <row r="1853" spans="1:4">
      <c r="A1853" t="s">
        <v>6</v>
      </c>
      <c r="B1853">
        <v>22</v>
      </c>
      <c r="C1853" t="str">
        <f>CHOOSE(MATCH(B1853, {20,25,30,35,40,45,50,55,60,65,70,75,80,85}, 1), "20-24", "25-29", "30-34", "35-39", "40-44", "45-49", "50-54", "55-59", "60-64", "65-69", "70-74", "75-79", "80-84", "85+")</f>
        <v>20-24</v>
      </c>
      <c r="D1853" t="s">
        <v>7</v>
      </c>
    </row>
    <row r="1854" spans="1:4">
      <c r="A1854" t="s">
        <v>6</v>
      </c>
      <c r="B1854">
        <v>69</v>
      </c>
      <c r="C1854" t="str">
        <f>CHOOSE(MATCH(B1854, {20,25,30,35,40,45,50,55,60,65,70,75,80,85}, 1), "20-24", "25-29", "30-34", "35-39", "40-44", "45-49", "50-54", "55-59", "60-64", "65-69", "70-74", "75-79", "80-84", "85+")</f>
        <v>65-69</v>
      </c>
      <c r="D1854" t="s">
        <v>7</v>
      </c>
    </row>
    <row r="1855" spans="1:4">
      <c r="A1855" t="s">
        <v>6</v>
      </c>
      <c r="B1855">
        <v>81</v>
      </c>
      <c r="C1855" t="str">
        <f>CHOOSE(MATCH(B1855, {20,25,30,35,40,45,50,55,60,65,70,75,80,85}, 1), "20-24", "25-29", "30-34", "35-39", "40-44", "45-49", "50-54", "55-59", "60-64", "65-69", "70-74", "75-79", "80-84", "85+")</f>
        <v>80-84</v>
      </c>
      <c r="D1855" t="s">
        <v>7</v>
      </c>
    </row>
    <row r="1856" spans="1:4">
      <c r="A1856" t="s">
        <v>6</v>
      </c>
      <c r="B1856">
        <v>31</v>
      </c>
      <c r="C1856" t="str">
        <f>CHOOSE(MATCH(B1856, {20,25,30,35,40,45,50,55,60,65,70,75,80,85}, 1), "20-24", "25-29", "30-34", "35-39", "40-44", "45-49", "50-54", "55-59", "60-64", "65-69", "70-74", "75-79", "80-84", "85+")</f>
        <v>30-34</v>
      </c>
      <c r="D1856" t="s">
        <v>7</v>
      </c>
    </row>
    <row r="1857" spans="1:4">
      <c r="A1857" t="s">
        <v>6</v>
      </c>
      <c r="B1857">
        <v>32</v>
      </c>
      <c r="C1857" t="str">
        <f>CHOOSE(MATCH(B1857, {20,25,30,35,40,45,50,55,60,65,70,75,80,85}, 1), "20-24", "25-29", "30-34", "35-39", "40-44", "45-49", "50-54", "55-59", "60-64", "65-69", "70-74", "75-79", "80-84", "85+")</f>
        <v>30-34</v>
      </c>
      <c r="D1857" t="s">
        <v>7</v>
      </c>
    </row>
    <row r="1858" spans="1:4">
      <c r="A1858" t="s">
        <v>6</v>
      </c>
      <c r="B1858">
        <v>62</v>
      </c>
      <c r="C1858" t="str">
        <f>CHOOSE(MATCH(B1858, {20,25,30,35,40,45,50,55,60,65,70,75,80,85}, 1), "20-24", "25-29", "30-34", "35-39", "40-44", "45-49", "50-54", "55-59", "60-64", "65-69", "70-74", "75-79", "80-84", "85+")</f>
        <v>60-64</v>
      </c>
      <c r="D1858" t="s">
        <v>8</v>
      </c>
    </row>
    <row r="1859" spans="1:4">
      <c r="A1859" t="s">
        <v>6</v>
      </c>
      <c r="B1859">
        <v>53</v>
      </c>
      <c r="C1859" t="str">
        <f>CHOOSE(MATCH(B1859, {20,25,30,35,40,45,50,55,60,65,70,75,80,85}, 1), "20-24", "25-29", "30-34", "35-39", "40-44", "45-49", "50-54", "55-59", "60-64", "65-69", "70-74", "75-79", "80-84", "85+")</f>
        <v>50-54</v>
      </c>
      <c r="D1859" t="s">
        <v>8</v>
      </c>
    </row>
    <row r="1860" spans="1:4">
      <c r="A1860" t="s">
        <v>6</v>
      </c>
      <c r="B1860">
        <v>54</v>
      </c>
      <c r="C1860" t="str">
        <f>CHOOSE(MATCH(B1860, {20,25,30,35,40,45,50,55,60,65,70,75,80,85}, 1), "20-24", "25-29", "30-34", "35-39", "40-44", "45-49", "50-54", "55-59", "60-64", "65-69", "70-74", "75-79", "80-84", "85+")</f>
        <v>50-54</v>
      </c>
      <c r="D1860" t="s">
        <v>7</v>
      </c>
    </row>
    <row r="1861" spans="1:4">
      <c r="A1861" t="s">
        <v>6</v>
      </c>
      <c r="B1861">
        <v>40</v>
      </c>
      <c r="C1861" t="str">
        <f>CHOOSE(MATCH(B1861, {20,25,30,35,40,45,50,55,60,65,70,75,80,85}, 1), "20-24", "25-29", "30-34", "35-39", "40-44", "45-49", "50-54", "55-59", "60-64", "65-69", "70-74", "75-79", "80-84", "85+")</f>
        <v>40-44</v>
      </c>
      <c r="D1861" t="s">
        <v>8</v>
      </c>
    </row>
    <row r="1862" spans="1:4">
      <c r="A1862" t="s">
        <v>6</v>
      </c>
      <c r="B1862">
        <v>88</v>
      </c>
      <c r="C1862" t="str">
        <f>CHOOSE(MATCH(B1862, {20,25,30,35,40,45,50,55,60,65,70,75,80,85}, 1), "20-24", "25-29", "30-34", "35-39", "40-44", "45-49", "50-54", "55-59", "60-64", "65-69", "70-74", "75-79", "80-84", "85+")</f>
        <v>85+</v>
      </c>
      <c r="D1862" t="s">
        <v>8</v>
      </c>
    </row>
    <row r="1863" spans="1:4">
      <c r="A1863" t="s">
        <v>6</v>
      </c>
      <c r="B1863">
        <v>32</v>
      </c>
      <c r="C1863" t="str">
        <f>CHOOSE(MATCH(B1863, {20,25,30,35,40,45,50,55,60,65,70,75,80,85}, 1), "20-24", "25-29", "30-34", "35-39", "40-44", "45-49", "50-54", "55-59", "60-64", "65-69", "70-74", "75-79", "80-84", "85+")</f>
        <v>30-34</v>
      </c>
      <c r="D1863" t="s">
        <v>8</v>
      </c>
    </row>
    <row r="1864" spans="1:4">
      <c r="A1864" t="s">
        <v>6</v>
      </c>
      <c r="B1864">
        <v>37</v>
      </c>
      <c r="C1864" t="str">
        <f>CHOOSE(MATCH(B1864, {20,25,30,35,40,45,50,55,60,65,70,75,80,85}, 1), "20-24", "25-29", "30-34", "35-39", "40-44", "45-49", "50-54", "55-59", "60-64", "65-69", "70-74", "75-79", "80-84", "85+")</f>
        <v>35-39</v>
      </c>
      <c r="D1864" t="s">
        <v>8</v>
      </c>
    </row>
    <row r="1865" spans="1:4">
      <c r="A1865" t="s">
        <v>6</v>
      </c>
      <c r="B1865">
        <v>25</v>
      </c>
      <c r="C1865" t="str">
        <f>CHOOSE(MATCH(B1865, {20,25,30,35,40,45,50,55,60,65,70,75,80,85}, 1), "20-24", "25-29", "30-34", "35-39", "40-44", "45-49", "50-54", "55-59", "60-64", "65-69", "70-74", "75-79", "80-84", "85+")</f>
        <v>25-29</v>
      </c>
      <c r="D1865" t="s">
        <v>7</v>
      </c>
    </row>
    <row r="1866" spans="1:4">
      <c r="A1866" t="s">
        <v>6</v>
      </c>
      <c r="B1866">
        <v>29</v>
      </c>
      <c r="C1866" t="str">
        <f>CHOOSE(MATCH(B1866, {20,25,30,35,40,45,50,55,60,65,70,75,80,85}, 1), "20-24", "25-29", "30-34", "35-39", "40-44", "45-49", "50-54", "55-59", "60-64", "65-69", "70-74", "75-79", "80-84", "85+")</f>
        <v>25-29</v>
      </c>
      <c r="D1866" t="s">
        <v>7</v>
      </c>
    </row>
    <row r="1867" spans="1:4">
      <c r="A1867" t="s">
        <v>6</v>
      </c>
      <c r="B1867">
        <v>35</v>
      </c>
      <c r="C1867" t="str">
        <f>CHOOSE(MATCH(B1867, {20,25,30,35,40,45,50,55,60,65,70,75,80,85}, 1), "20-24", "25-29", "30-34", "35-39", "40-44", "45-49", "50-54", "55-59", "60-64", "65-69", "70-74", "75-79", "80-84", "85+")</f>
        <v>35-39</v>
      </c>
      <c r="D1867" t="s">
        <v>7</v>
      </c>
    </row>
    <row r="1868" spans="1:4">
      <c r="A1868" t="s">
        <v>6</v>
      </c>
      <c r="B1868">
        <v>66</v>
      </c>
      <c r="C1868" t="str">
        <f>CHOOSE(MATCH(B1868, {20,25,30,35,40,45,50,55,60,65,70,75,80,85}, 1), "20-24", "25-29", "30-34", "35-39", "40-44", "45-49", "50-54", "55-59", "60-64", "65-69", "70-74", "75-79", "80-84", "85+")</f>
        <v>65-69</v>
      </c>
      <c r="D1868" t="s">
        <v>8</v>
      </c>
    </row>
    <row r="1869" spans="1:4">
      <c r="A1869" t="s">
        <v>6</v>
      </c>
      <c r="B1869">
        <v>45</v>
      </c>
      <c r="C1869" t="str">
        <f>CHOOSE(MATCH(B1869, {20,25,30,35,40,45,50,55,60,65,70,75,80,85}, 1), "20-24", "25-29", "30-34", "35-39", "40-44", "45-49", "50-54", "55-59", "60-64", "65-69", "70-74", "75-79", "80-84", "85+")</f>
        <v>45-49</v>
      </c>
      <c r="D1869" t="s">
        <v>7</v>
      </c>
    </row>
    <row r="1870" spans="1:4">
      <c r="A1870" t="s">
        <v>6</v>
      </c>
      <c r="B1870">
        <v>38</v>
      </c>
      <c r="C1870" t="str">
        <f>CHOOSE(MATCH(B1870, {20,25,30,35,40,45,50,55,60,65,70,75,80,85}, 1), "20-24", "25-29", "30-34", "35-39", "40-44", "45-49", "50-54", "55-59", "60-64", "65-69", "70-74", "75-79", "80-84", "85+")</f>
        <v>35-39</v>
      </c>
      <c r="D1870" t="s">
        <v>8</v>
      </c>
    </row>
    <row r="1871" spans="1:4">
      <c r="A1871" t="s">
        <v>6</v>
      </c>
      <c r="B1871">
        <v>31</v>
      </c>
      <c r="C1871" t="str">
        <f>CHOOSE(MATCH(B1871, {20,25,30,35,40,45,50,55,60,65,70,75,80,85}, 1), "20-24", "25-29", "30-34", "35-39", "40-44", "45-49", "50-54", "55-59", "60-64", "65-69", "70-74", "75-79", "80-84", "85+")</f>
        <v>30-34</v>
      </c>
      <c r="D1871" t="s">
        <v>8</v>
      </c>
    </row>
    <row r="1872" spans="1:4">
      <c r="A1872" t="s">
        <v>6</v>
      </c>
      <c r="B1872">
        <v>32</v>
      </c>
      <c r="C1872" t="str">
        <f>CHOOSE(MATCH(B1872, {20,25,30,35,40,45,50,55,60,65,70,75,80,85}, 1), "20-24", "25-29", "30-34", "35-39", "40-44", "45-49", "50-54", "55-59", "60-64", "65-69", "70-74", "75-79", "80-84", "85+")</f>
        <v>30-34</v>
      </c>
      <c r="D1872" t="s">
        <v>7</v>
      </c>
    </row>
    <row r="1873" spans="1:4">
      <c r="A1873" t="s">
        <v>6</v>
      </c>
      <c r="B1873">
        <v>29</v>
      </c>
      <c r="C1873" t="str">
        <f>CHOOSE(MATCH(B1873, {20,25,30,35,40,45,50,55,60,65,70,75,80,85}, 1), "20-24", "25-29", "30-34", "35-39", "40-44", "45-49", "50-54", "55-59", "60-64", "65-69", "70-74", "75-79", "80-84", "85+")</f>
        <v>25-29</v>
      </c>
      <c r="D1873" t="s">
        <v>8</v>
      </c>
    </row>
    <row r="1874" spans="1:4">
      <c r="A1874" t="s">
        <v>6</v>
      </c>
      <c r="B1874">
        <v>40</v>
      </c>
      <c r="C1874" t="str">
        <f>CHOOSE(MATCH(B1874, {20,25,30,35,40,45,50,55,60,65,70,75,80,85}, 1), "20-24", "25-29", "30-34", "35-39", "40-44", "45-49", "50-54", "55-59", "60-64", "65-69", "70-74", "75-79", "80-84", "85+")</f>
        <v>40-44</v>
      </c>
      <c r="D1874" t="s">
        <v>7</v>
      </c>
    </row>
    <row r="1875" spans="1:4">
      <c r="A1875" t="s">
        <v>6</v>
      </c>
      <c r="B1875">
        <v>34</v>
      </c>
      <c r="C1875" t="str">
        <f>CHOOSE(MATCH(B1875, {20,25,30,35,40,45,50,55,60,65,70,75,80,85}, 1), "20-24", "25-29", "30-34", "35-39", "40-44", "45-49", "50-54", "55-59", "60-64", "65-69", "70-74", "75-79", "80-84", "85+")</f>
        <v>30-34</v>
      </c>
      <c r="D1875" t="s">
        <v>8</v>
      </c>
    </row>
    <row r="1876" spans="1:4">
      <c r="A1876" t="s">
        <v>6</v>
      </c>
      <c r="B1876">
        <v>27</v>
      </c>
      <c r="C1876" t="str">
        <f>CHOOSE(MATCH(B1876, {20,25,30,35,40,45,50,55,60,65,70,75,80,85}, 1), "20-24", "25-29", "30-34", "35-39", "40-44", "45-49", "50-54", "55-59", "60-64", "65-69", "70-74", "75-79", "80-84", "85+")</f>
        <v>25-29</v>
      </c>
      <c r="D1876" t="s">
        <v>7</v>
      </c>
    </row>
    <row r="1877" spans="1:4">
      <c r="A1877" t="s">
        <v>6</v>
      </c>
      <c r="B1877">
        <v>33</v>
      </c>
      <c r="C1877" t="str">
        <f>CHOOSE(MATCH(B1877, {20,25,30,35,40,45,50,55,60,65,70,75,80,85}, 1), "20-24", "25-29", "30-34", "35-39", "40-44", "45-49", "50-54", "55-59", "60-64", "65-69", "70-74", "75-79", "80-84", "85+")</f>
        <v>30-34</v>
      </c>
      <c r="D1877" t="s">
        <v>7</v>
      </c>
    </row>
    <row r="1878" spans="1:4">
      <c r="A1878" t="s">
        <v>6</v>
      </c>
      <c r="B1878">
        <v>35</v>
      </c>
      <c r="C1878" t="str">
        <f>CHOOSE(MATCH(B1878, {20,25,30,35,40,45,50,55,60,65,70,75,80,85}, 1), "20-24", "25-29", "30-34", "35-39", "40-44", "45-49", "50-54", "55-59", "60-64", "65-69", "70-74", "75-79", "80-84", "85+")</f>
        <v>35-39</v>
      </c>
      <c r="D1878" t="s">
        <v>8</v>
      </c>
    </row>
    <row r="1879" spans="1:4">
      <c r="A1879" t="s">
        <v>6</v>
      </c>
      <c r="B1879">
        <v>27</v>
      </c>
      <c r="C1879" t="str">
        <f>CHOOSE(MATCH(B1879, {20,25,30,35,40,45,50,55,60,65,70,75,80,85}, 1), "20-24", "25-29", "30-34", "35-39", "40-44", "45-49", "50-54", "55-59", "60-64", "65-69", "70-74", "75-79", "80-84", "85+")</f>
        <v>25-29</v>
      </c>
      <c r="D1879" t="s">
        <v>8</v>
      </c>
    </row>
    <row r="1880" spans="1:4">
      <c r="A1880" t="s">
        <v>6</v>
      </c>
      <c r="B1880">
        <v>41</v>
      </c>
      <c r="C1880" t="str">
        <f>CHOOSE(MATCH(B1880, {20,25,30,35,40,45,50,55,60,65,70,75,80,85}, 1), "20-24", "25-29", "30-34", "35-39", "40-44", "45-49", "50-54", "55-59", "60-64", "65-69", "70-74", "75-79", "80-84", "85+")</f>
        <v>40-44</v>
      </c>
      <c r="D1880" t="s">
        <v>7</v>
      </c>
    </row>
    <row r="1881" spans="1:4">
      <c r="A1881" t="s">
        <v>6</v>
      </c>
      <c r="B1881">
        <v>72</v>
      </c>
      <c r="C1881" t="str">
        <f>CHOOSE(MATCH(B1881, {20,25,30,35,40,45,50,55,60,65,70,75,80,85}, 1), "20-24", "25-29", "30-34", "35-39", "40-44", "45-49", "50-54", "55-59", "60-64", "65-69", "70-74", "75-79", "80-84", "85+")</f>
        <v>70-74</v>
      </c>
      <c r="D1881" t="s">
        <v>7</v>
      </c>
    </row>
    <row r="1882" spans="1:4">
      <c r="A1882" t="s">
        <v>6</v>
      </c>
      <c r="B1882">
        <v>42</v>
      </c>
      <c r="C1882" t="str">
        <f>CHOOSE(MATCH(B1882, {20,25,30,35,40,45,50,55,60,65,70,75,80,85}, 1), "20-24", "25-29", "30-34", "35-39", "40-44", "45-49", "50-54", "55-59", "60-64", "65-69", "70-74", "75-79", "80-84", "85+")</f>
        <v>40-44</v>
      </c>
      <c r="D1882" t="s">
        <v>7</v>
      </c>
    </row>
    <row r="1883" spans="1:4">
      <c r="A1883" t="s">
        <v>6</v>
      </c>
      <c r="B1883">
        <v>21</v>
      </c>
      <c r="C1883" t="str">
        <f>CHOOSE(MATCH(B1883, {20,25,30,35,40,45,50,55,60,65,70,75,80,85}, 1), "20-24", "25-29", "30-34", "35-39", "40-44", "45-49", "50-54", "55-59", "60-64", "65-69", "70-74", "75-79", "80-84", "85+")</f>
        <v>20-24</v>
      </c>
      <c r="D1883" t="s">
        <v>7</v>
      </c>
    </row>
    <row r="1884" spans="1:4">
      <c r="A1884" t="s">
        <v>6</v>
      </c>
      <c r="B1884">
        <v>21</v>
      </c>
      <c r="C1884" t="str">
        <f>CHOOSE(MATCH(B1884, {20,25,30,35,40,45,50,55,60,65,70,75,80,85}, 1), "20-24", "25-29", "30-34", "35-39", "40-44", "45-49", "50-54", "55-59", "60-64", "65-69", "70-74", "75-79", "80-84", "85+")</f>
        <v>20-24</v>
      </c>
      <c r="D1884" t="s">
        <v>8</v>
      </c>
    </row>
    <row r="1885" spans="1:4">
      <c r="A1885" t="s">
        <v>6</v>
      </c>
      <c r="B1885">
        <v>22</v>
      </c>
      <c r="C1885" t="str">
        <f>CHOOSE(MATCH(B1885, {20,25,30,35,40,45,50,55,60,65,70,75,80,85}, 1), "20-24", "25-29", "30-34", "35-39", "40-44", "45-49", "50-54", "55-59", "60-64", "65-69", "70-74", "75-79", "80-84", "85+")</f>
        <v>20-24</v>
      </c>
      <c r="D1885" t="s">
        <v>7</v>
      </c>
    </row>
    <row r="1886" spans="1:4">
      <c r="A1886" t="s">
        <v>6</v>
      </c>
      <c r="B1886">
        <v>47</v>
      </c>
      <c r="C1886" t="str">
        <f>CHOOSE(MATCH(B1886, {20,25,30,35,40,45,50,55,60,65,70,75,80,85}, 1), "20-24", "25-29", "30-34", "35-39", "40-44", "45-49", "50-54", "55-59", "60-64", "65-69", "70-74", "75-79", "80-84", "85+")</f>
        <v>45-49</v>
      </c>
      <c r="D1886" t="s">
        <v>7</v>
      </c>
    </row>
    <row r="1887" spans="1:4">
      <c r="A1887" t="s">
        <v>6</v>
      </c>
      <c r="B1887">
        <v>61</v>
      </c>
      <c r="C1887" t="str">
        <f>CHOOSE(MATCH(B1887, {20,25,30,35,40,45,50,55,60,65,70,75,80,85}, 1), "20-24", "25-29", "30-34", "35-39", "40-44", "45-49", "50-54", "55-59", "60-64", "65-69", "70-74", "75-79", "80-84", "85+")</f>
        <v>60-64</v>
      </c>
      <c r="D1887" t="s">
        <v>7</v>
      </c>
    </row>
    <row r="1888" spans="1:4">
      <c r="A1888" t="s">
        <v>6</v>
      </c>
      <c r="B1888">
        <v>38</v>
      </c>
      <c r="C1888" t="str">
        <f>CHOOSE(MATCH(B1888, {20,25,30,35,40,45,50,55,60,65,70,75,80,85}, 1), "20-24", "25-29", "30-34", "35-39", "40-44", "45-49", "50-54", "55-59", "60-64", "65-69", "70-74", "75-79", "80-84", "85+")</f>
        <v>35-39</v>
      </c>
      <c r="D1888" t="s">
        <v>7</v>
      </c>
    </row>
    <row r="1889" spans="1:4">
      <c r="A1889" t="s">
        <v>6</v>
      </c>
      <c r="B1889">
        <v>37</v>
      </c>
      <c r="C1889" t="str">
        <f>CHOOSE(MATCH(B1889, {20,25,30,35,40,45,50,55,60,65,70,75,80,85}, 1), "20-24", "25-29", "30-34", "35-39", "40-44", "45-49", "50-54", "55-59", "60-64", "65-69", "70-74", "75-79", "80-84", "85+")</f>
        <v>35-39</v>
      </c>
      <c r="D1889" t="s">
        <v>7</v>
      </c>
    </row>
    <row r="1890" spans="1:4">
      <c r="A1890" t="s">
        <v>6</v>
      </c>
      <c r="B1890">
        <v>27</v>
      </c>
      <c r="C1890" t="str">
        <f>CHOOSE(MATCH(B1890, {20,25,30,35,40,45,50,55,60,65,70,75,80,85}, 1), "20-24", "25-29", "30-34", "35-39", "40-44", "45-49", "50-54", "55-59", "60-64", "65-69", "70-74", "75-79", "80-84", "85+")</f>
        <v>25-29</v>
      </c>
      <c r="D1890" t="s">
        <v>7</v>
      </c>
    </row>
    <row r="1891" spans="1:4">
      <c r="A1891" t="s">
        <v>6</v>
      </c>
      <c r="B1891">
        <v>36</v>
      </c>
      <c r="C1891" t="str">
        <f>CHOOSE(MATCH(B1891, {20,25,30,35,40,45,50,55,60,65,70,75,80,85}, 1), "20-24", "25-29", "30-34", "35-39", "40-44", "45-49", "50-54", "55-59", "60-64", "65-69", "70-74", "75-79", "80-84", "85+")</f>
        <v>35-39</v>
      </c>
      <c r="D1891" t="s">
        <v>7</v>
      </c>
    </row>
    <row r="1892" spans="1:4">
      <c r="A1892" t="s">
        <v>6</v>
      </c>
      <c r="B1892">
        <v>44</v>
      </c>
      <c r="C1892" t="str">
        <f>CHOOSE(MATCH(B1892, {20,25,30,35,40,45,50,55,60,65,70,75,80,85}, 1), "20-24", "25-29", "30-34", "35-39", "40-44", "45-49", "50-54", "55-59", "60-64", "65-69", "70-74", "75-79", "80-84", "85+")</f>
        <v>40-44</v>
      </c>
      <c r="D1892" t="s">
        <v>8</v>
      </c>
    </row>
    <row r="1893" spans="1:4">
      <c r="A1893" t="s">
        <v>6</v>
      </c>
      <c r="B1893">
        <v>31</v>
      </c>
      <c r="C1893" t="str">
        <f>CHOOSE(MATCH(B1893, {20,25,30,35,40,45,50,55,60,65,70,75,80,85}, 1), "20-24", "25-29", "30-34", "35-39", "40-44", "45-49", "50-54", "55-59", "60-64", "65-69", "70-74", "75-79", "80-84", "85+")</f>
        <v>30-34</v>
      </c>
      <c r="D1893" t="s">
        <v>7</v>
      </c>
    </row>
    <row r="1894" spans="1:4">
      <c r="A1894" t="s">
        <v>6</v>
      </c>
      <c r="B1894">
        <v>35</v>
      </c>
      <c r="C1894" t="str">
        <f>CHOOSE(MATCH(B1894, {20,25,30,35,40,45,50,55,60,65,70,75,80,85}, 1), "20-24", "25-29", "30-34", "35-39", "40-44", "45-49", "50-54", "55-59", "60-64", "65-69", "70-74", "75-79", "80-84", "85+")</f>
        <v>35-39</v>
      </c>
      <c r="D1894" t="s">
        <v>8</v>
      </c>
    </row>
    <row r="1895" spans="1:4">
      <c r="A1895" t="s">
        <v>6</v>
      </c>
      <c r="B1895">
        <v>29</v>
      </c>
      <c r="C1895" t="str">
        <f>CHOOSE(MATCH(B1895, {20,25,30,35,40,45,50,55,60,65,70,75,80,85}, 1), "20-24", "25-29", "30-34", "35-39", "40-44", "45-49", "50-54", "55-59", "60-64", "65-69", "70-74", "75-79", "80-84", "85+")</f>
        <v>25-29</v>
      </c>
      <c r="D1895" t="s">
        <v>7</v>
      </c>
    </row>
    <row r="1896" spans="1:4">
      <c r="A1896" t="s">
        <v>6</v>
      </c>
      <c r="B1896">
        <v>47</v>
      </c>
      <c r="C1896" t="str">
        <f>CHOOSE(MATCH(B1896, {20,25,30,35,40,45,50,55,60,65,70,75,80,85}, 1), "20-24", "25-29", "30-34", "35-39", "40-44", "45-49", "50-54", "55-59", "60-64", "65-69", "70-74", "75-79", "80-84", "85+")</f>
        <v>45-49</v>
      </c>
      <c r="D1896" t="s">
        <v>8</v>
      </c>
    </row>
    <row r="1897" spans="1:4">
      <c r="A1897" t="s">
        <v>6</v>
      </c>
      <c r="B1897">
        <v>33</v>
      </c>
      <c r="C1897" t="str">
        <f>CHOOSE(MATCH(B1897, {20,25,30,35,40,45,50,55,60,65,70,75,80,85}, 1), "20-24", "25-29", "30-34", "35-39", "40-44", "45-49", "50-54", "55-59", "60-64", "65-69", "70-74", "75-79", "80-84", "85+")</f>
        <v>30-34</v>
      </c>
      <c r="D1897" t="s">
        <v>7</v>
      </c>
    </row>
    <row r="1898" spans="1:4">
      <c r="A1898" t="s">
        <v>6</v>
      </c>
      <c r="B1898">
        <v>39</v>
      </c>
      <c r="C1898" t="str">
        <f>CHOOSE(MATCH(B1898, {20,25,30,35,40,45,50,55,60,65,70,75,80,85}, 1), "20-24", "25-29", "30-34", "35-39", "40-44", "45-49", "50-54", "55-59", "60-64", "65-69", "70-74", "75-79", "80-84", "85+")</f>
        <v>35-39</v>
      </c>
      <c r="D1898" t="s">
        <v>8</v>
      </c>
    </row>
    <row r="1899" spans="1:4">
      <c r="A1899" t="s">
        <v>6</v>
      </c>
      <c r="B1899">
        <v>38</v>
      </c>
      <c r="C1899" t="str">
        <f>CHOOSE(MATCH(B1899, {20,25,30,35,40,45,50,55,60,65,70,75,80,85}, 1), "20-24", "25-29", "30-34", "35-39", "40-44", "45-49", "50-54", "55-59", "60-64", "65-69", "70-74", "75-79", "80-84", "85+")</f>
        <v>35-39</v>
      </c>
      <c r="D1899" t="s">
        <v>7</v>
      </c>
    </row>
    <row r="1900" spans="1:4">
      <c r="A1900" t="s">
        <v>6</v>
      </c>
      <c r="B1900">
        <v>30</v>
      </c>
      <c r="C1900" t="str">
        <f>CHOOSE(MATCH(B1900, {20,25,30,35,40,45,50,55,60,65,70,75,80,85}, 1), "20-24", "25-29", "30-34", "35-39", "40-44", "45-49", "50-54", "55-59", "60-64", "65-69", "70-74", "75-79", "80-84", "85+")</f>
        <v>30-34</v>
      </c>
      <c r="D1900" t="s">
        <v>7</v>
      </c>
    </row>
    <row r="1901" spans="1:4">
      <c r="A1901" t="s">
        <v>6</v>
      </c>
      <c r="B1901">
        <v>45</v>
      </c>
      <c r="C1901" t="str">
        <f>CHOOSE(MATCH(B1901, {20,25,30,35,40,45,50,55,60,65,70,75,80,85}, 1), "20-24", "25-29", "30-34", "35-39", "40-44", "45-49", "50-54", "55-59", "60-64", "65-69", "70-74", "75-79", "80-84", "85+")</f>
        <v>45-49</v>
      </c>
      <c r="D1901" t="s">
        <v>8</v>
      </c>
    </row>
    <row r="1902" spans="1:4">
      <c r="A1902" t="s">
        <v>6</v>
      </c>
      <c r="B1902">
        <v>68</v>
      </c>
      <c r="C1902" t="str">
        <f>CHOOSE(MATCH(B1902, {20,25,30,35,40,45,50,55,60,65,70,75,80,85}, 1), "20-24", "25-29", "30-34", "35-39", "40-44", "45-49", "50-54", "55-59", "60-64", "65-69", "70-74", "75-79", "80-84", "85+")</f>
        <v>65-69</v>
      </c>
      <c r="D1902" t="s">
        <v>8</v>
      </c>
    </row>
    <row r="1903" spans="1:4">
      <c r="A1903" t="s">
        <v>6</v>
      </c>
      <c r="B1903">
        <v>25</v>
      </c>
      <c r="C1903" t="str">
        <f>CHOOSE(MATCH(B1903, {20,25,30,35,40,45,50,55,60,65,70,75,80,85}, 1), "20-24", "25-29", "30-34", "35-39", "40-44", "45-49", "50-54", "55-59", "60-64", "65-69", "70-74", "75-79", "80-84", "85+")</f>
        <v>25-29</v>
      </c>
      <c r="D1903" t="s">
        <v>7</v>
      </c>
    </row>
    <row r="1904" spans="1:4">
      <c r="A1904" t="s">
        <v>6</v>
      </c>
      <c r="B1904">
        <v>35</v>
      </c>
      <c r="C1904" t="str">
        <f>CHOOSE(MATCH(B1904, {20,25,30,35,40,45,50,55,60,65,70,75,80,85}, 1), "20-24", "25-29", "30-34", "35-39", "40-44", "45-49", "50-54", "55-59", "60-64", "65-69", "70-74", "75-79", "80-84", "85+")</f>
        <v>35-39</v>
      </c>
      <c r="D1904" t="s">
        <v>8</v>
      </c>
    </row>
    <row r="1905" spans="1:4">
      <c r="A1905" t="s">
        <v>6</v>
      </c>
      <c r="B1905">
        <v>34</v>
      </c>
      <c r="C1905" t="str">
        <f>CHOOSE(MATCH(B1905, {20,25,30,35,40,45,50,55,60,65,70,75,80,85}, 1), "20-24", "25-29", "30-34", "35-39", "40-44", "45-49", "50-54", "55-59", "60-64", "65-69", "70-74", "75-79", "80-84", "85+")</f>
        <v>30-34</v>
      </c>
      <c r="D1905" t="s">
        <v>7</v>
      </c>
    </row>
    <row r="1906" spans="1:4">
      <c r="A1906" t="s">
        <v>6</v>
      </c>
      <c r="B1906">
        <v>75</v>
      </c>
      <c r="C1906" t="str">
        <f>CHOOSE(MATCH(B1906, {20,25,30,35,40,45,50,55,60,65,70,75,80,85}, 1), "20-24", "25-29", "30-34", "35-39", "40-44", "45-49", "50-54", "55-59", "60-64", "65-69", "70-74", "75-79", "80-84", "85+")</f>
        <v>75-79</v>
      </c>
      <c r="D1906" t="s">
        <v>7</v>
      </c>
    </row>
    <row r="1907" spans="1:4">
      <c r="A1907" t="s">
        <v>6</v>
      </c>
      <c r="B1907">
        <v>38</v>
      </c>
      <c r="C1907" t="str">
        <f>CHOOSE(MATCH(B1907, {20,25,30,35,40,45,50,55,60,65,70,75,80,85}, 1), "20-24", "25-29", "30-34", "35-39", "40-44", "45-49", "50-54", "55-59", "60-64", "65-69", "70-74", "75-79", "80-84", "85+")</f>
        <v>35-39</v>
      </c>
      <c r="D1907" t="s">
        <v>7</v>
      </c>
    </row>
    <row r="1908" spans="1:4">
      <c r="A1908" t="s">
        <v>6</v>
      </c>
      <c r="B1908">
        <v>40</v>
      </c>
      <c r="C1908" t="str">
        <f>CHOOSE(MATCH(B1908, {20,25,30,35,40,45,50,55,60,65,70,75,80,85}, 1), "20-24", "25-29", "30-34", "35-39", "40-44", "45-49", "50-54", "55-59", "60-64", "65-69", "70-74", "75-79", "80-84", "85+")</f>
        <v>40-44</v>
      </c>
      <c r="D1908" t="s">
        <v>8</v>
      </c>
    </row>
    <row r="1909" spans="1:4">
      <c r="A1909" t="s">
        <v>6</v>
      </c>
      <c r="B1909">
        <v>25</v>
      </c>
      <c r="C1909" t="str">
        <f>CHOOSE(MATCH(B1909, {20,25,30,35,40,45,50,55,60,65,70,75,80,85}, 1), "20-24", "25-29", "30-34", "35-39", "40-44", "45-49", "50-54", "55-59", "60-64", "65-69", "70-74", "75-79", "80-84", "85+")</f>
        <v>25-29</v>
      </c>
      <c r="D1909" t="s">
        <v>7</v>
      </c>
    </row>
    <row r="1910" spans="1:4">
      <c r="A1910" t="s">
        <v>6</v>
      </c>
      <c r="B1910">
        <v>26</v>
      </c>
      <c r="C1910" t="str">
        <f>CHOOSE(MATCH(B1910, {20,25,30,35,40,45,50,55,60,65,70,75,80,85}, 1), "20-24", "25-29", "30-34", "35-39", "40-44", "45-49", "50-54", "55-59", "60-64", "65-69", "70-74", "75-79", "80-84", "85+")</f>
        <v>25-29</v>
      </c>
      <c r="D1910" t="s">
        <v>7</v>
      </c>
    </row>
    <row r="1911" spans="1:4">
      <c r="A1911" t="s">
        <v>6</v>
      </c>
      <c r="B1911">
        <v>25</v>
      </c>
      <c r="C1911" t="str">
        <f>CHOOSE(MATCH(B1911, {20,25,30,35,40,45,50,55,60,65,70,75,80,85}, 1), "20-24", "25-29", "30-34", "35-39", "40-44", "45-49", "50-54", "55-59", "60-64", "65-69", "70-74", "75-79", "80-84", "85+")</f>
        <v>25-29</v>
      </c>
      <c r="D1911" t="s">
        <v>8</v>
      </c>
    </row>
    <row r="1912" spans="1:4">
      <c r="A1912" t="s">
        <v>6</v>
      </c>
      <c r="B1912">
        <v>45</v>
      </c>
      <c r="C1912" t="str">
        <f>CHOOSE(MATCH(B1912, {20,25,30,35,40,45,50,55,60,65,70,75,80,85}, 1), "20-24", "25-29", "30-34", "35-39", "40-44", "45-49", "50-54", "55-59", "60-64", "65-69", "70-74", "75-79", "80-84", "85+")</f>
        <v>45-49</v>
      </c>
      <c r="D1912" t="s">
        <v>7</v>
      </c>
    </row>
    <row r="1913" spans="1:4">
      <c r="A1913" t="s">
        <v>6</v>
      </c>
      <c r="B1913">
        <v>34</v>
      </c>
      <c r="C1913" t="str">
        <f>CHOOSE(MATCH(B1913, {20,25,30,35,40,45,50,55,60,65,70,75,80,85}, 1), "20-24", "25-29", "30-34", "35-39", "40-44", "45-49", "50-54", "55-59", "60-64", "65-69", "70-74", "75-79", "80-84", "85+")</f>
        <v>30-34</v>
      </c>
      <c r="D1913" t="s">
        <v>7</v>
      </c>
    </row>
    <row r="1914" spans="1:4">
      <c r="A1914" t="s">
        <v>6</v>
      </c>
      <c r="B1914">
        <v>44</v>
      </c>
      <c r="C1914" t="str">
        <f>CHOOSE(MATCH(B1914, {20,25,30,35,40,45,50,55,60,65,70,75,80,85}, 1), "20-24", "25-29", "30-34", "35-39", "40-44", "45-49", "50-54", "55-59", "60-64", "65-69", "70-74", "75-79", "80-84", "85+")</f>
        <v>40-44</v>
      </c>
      <c r="D1914" t="s">
        <v>8</v>
      </c>
    </row>
    <row r="1915" spans="1:4">
      <c r="A1915" t="s">
        <v>6</v>
      </c>
      <c r="B1915">
        <v>48</v>
      </c>
      <c r="C1915" t="str">
        <f>CHOOSE(MATCH(B1915, {20,25,30,35,40,45,50,55,60,65,70,75,80,85}, 1), "20-24", "25-29", "30-34", "35-39", "40-44", "45-49", "50-54", "55-59", "60-64", "65-69", "70-74", "75-79", "80-84", "85+")</f>
        <v>45-49</v>
      </c>
      <c r="D1915" t="s">
        <v>7</v>
      </c>
    </row>
    <row r="1916" spans="1:4">
      <c r="A1916" t="s">
        <v>6</v>
      </c>
      <c r="B1916">
        <v>45</v>
      </c>
      <c r="C1916" t="str">
        <f>CHOOSE(MATCH(B1916, {20,25,30,35,40,45,50,55,60,65,70,75,80,85}, 1), "20-24", "25-29", "30-34", "35-39", "40-44", "45-49", "50-54", "55-59", "60-64", "65-69", "70-74", "75-79", "80-84", "85+")</f>
        <v>45-49</v>
      </c>
      <c r="D1916" t="s">
        <v>7</v>
      </c>
    </row>
    <row r="1917" spans="1:4">
      <c r="A1917" t="s">
        <v>6</v>
      </c>
      <c r="B1917">
        <v>31</v>
      </c>
      <c r="C1917" t="str">
        <f>CHOOSE(MATCH(B1917, {20,25,30,35,40,45,50,55,60,65,70,75,80,85}, 1), "20-24", "25-29", "30-34", "35-39", "40-44", "45-49", "50-54", "55-59", "60-64", "65-69", "70-74", "75-79", "80-84", "85+")</f>
        <v>30-34</v>
      </c>
      <c r="D1917" t="s">
        <v>8</v>
      </c>
    </row>
    <row r="1918" spans="1:4">
      <c r="A1918" t="s">
        <v>6</v>
      </c>
      <c r="B1918">
        <v>33</v>
      </c>
      <c r="C1918" t="str">
        <f>CHOOSE(MATCH(B1918, {20,25,30,35,40,45,50,55,60,65,70,75,80,85}, 1), "20-24", "25-29", "30-34", "35-39", "40-44", "45-49", "50-54", "55-59", "60-64", "65-69", "70-74", "75-79", "80-84", "85+")</f>
        <v>30-34</v>
      </c>
      <c r="D1918" t="s">
        <v>7</v>
      </c>
    </row>
    <row r="1919" spans="1:4">
      <c r="A1919" t="s">
        <v>6</v>
      </c>
      <c r="B1919">
        <v>42</v>
      </c>
      <c r="C1919" t="str">
        <f>CHOOSE(MATCH(B1919, {20,25,30,35,40,45,50,55,60,65,70,75,80,85}, 1), "20-24", "25-29", "30-34", "35-39", "40-44", "45-49", "50-54", "55-59", "60-64", "65-69", "70-74", "75-79", "80-84", "85+")</f>
        <v>40-44</v>
      </c>
      <c r="D1919" t="s">
        <v>7</v>
      </c>
    </row>
    <row r="1920" spans="1:4">
      <c r="A1920" t="s">
        <v>6</v>
      </c>
      <c r="B1920">
        <v>21</v>
      </c>
      <c r="C1920" t="str">
        <f>CHOOSE(MATCH(B1920, {20,25,30,35,40,45,50,55,60,65,70,75,80,85}, 1), "20-24", "25-29", "30-34", "35-39", "40-44", "45-49", "50-54", "55-59", "60-64", "65-69", "70-74", "75-79", "80-84", "85+")</f>
        <v>20-24</v>
      </c>
      <c r="D1920" t="s">
        <v>8</v>
      </c>
    </row>
    <row r="1921" spans="1:4">
      <c r="A1921" t="s">
        <v>6</v>
      </c>
      <c r="B1921">
        <v>42</v>
      </c>
      <c r="C1921" t="str">
        <f>CHOOSE(MATCH(B1921, {20,25,30,35,40,45,50,55,60,65,70,75,80,85}, 1), "20-24", "25-29", "30-34", "35-39", "40-44", "45-49", "50-54", "55-59", "60-64", "65-69", "70-74", "75-79", "80-84", "85+")</f>
        <v>40-44</v>
      </c>
      <c r="D1921" t="s">
        <v>7</v>
      </c>
    </row>
    <row r="1922" spans="1:4">
      <c r="A1922" t="s">
        <v>6</v>
      </c>
      <c r="B1922">
        <v>63</v>
      </c>
      <c r="C1922" t="str">
        <f>CHOOSE(MATCH(B1922, {20,25,30,35,40,45,50,55,60,65,70,75,80,85}, 1), "20-24", "25-29", "30-34", "35-39", "40-44", "45-49", "50-54", "55-59", "60-64", "65-69", "70-74", "75-79", "80-84", "85+")</f>
        <v>60-64</v>
      </c>
      <c r="D1922" t="s">
        <v>8</v>
      </c>
    </row>
    <row r="1923" spans="1:4">
      <c r="A1923" t="s">
        <v>6</v>
      </c>
      <c r="B1923">
        <v>38</v>
      </c>
      <c r="C1923" t="str">
        <f>CHOOSE(MATCH(B1923, {20,25,30,35,40,45,50,55,60,65,70,75,80,85}, 1), "20-24", "25-29", "30-34", "35-39", "40-44", "45-49", "50-54", "55-59", "60-64", "65-69", "70-74", "75-79", "80-84", "85+")</f>
        <v>35-39</v>
      </c>
      <c r="D1923" t="s">
        <v>8</v>
      </c>
    </row>
    <row r="1924" spans="1:4">
      <c r="A1924" t="s">
        <v>6</v>
      </c>
      <c r="B1924">
        <v>34</v>
      </c>
      <c r="C1924" t="str">
        <f>CHOOSE(MATCH(B1924, {20,25,30,35,40,45,50,55,60,65,70,75,80,85}, 1), "20-24", "25-29", "30-34", "35-39", "40-44", "45-49", "50-54", "55-59", "60-64", "65-69", "70-74", "75-79", "80-84", "85+")</f>
        <v>30-34</v>
      </c>
      <c r="D1924" t="s">
        <v>8</v>
      </c>
    </row>
    <row r="1925" spans="1:4">
      <c r="A1925" t="s">
        <v>6</v>
      </c>
      <c r="B1925">
        <v>36</v>
      </c>
      <c r="C1925" t="str">
        <f>CHOOSE(MATCH(B1925, {20,25,30,35,40,45,50,55,60,65,70,75,80,85}, 1), "20-24", "25-29", "30-34", "35-39", "40-44", "45-49", "50-54", "55-59", "60-64", "65-69", "70-74", "75-79", "80-84", "85+")</f>
        <v>35-39</v>
      </c>
      <c r="D1925" t="s">
        <v>8</v>
      </c>
    </row>
    <row r="1926" spans="1:4">
      <c r="A1926" t="s">
        <v>6</v>
      </c>
      <c r="B1926">
        <v>36</v>
      </c>
      <c r="C1926" t="str">
        <f>CHOOSE(MATCH(B1926, {20,25,30,35,40,45,50,55,60,65,70,75,80,85}, 1), "20-24", "25-29", "30-34", "35-39", "40-44", "45-49", "50-54", "55-59", "60-64", "65-69", "70-74", "75-79", "80-84", "85+")</f>
        <v>35-39</v>
      </c>
      <c r="D1926" t="s">
        <v>8</v>
      </c>
    </row>
    <row r="1927" spans="1:4">
      <c r="A1927" t="s">
        <v>6</v>
      </c>
      <c r="B1927">
        <v>27</v>
      </c>
      <c r="C1927" t="str">
        <f>CHOOSE(MATCH(B1927, {20,25,30,35,40,45,50,55,60,65,70,75,80,85}, 1), "20-24", "25-29", "30-34", "35-39", "40-44", "45-49", "50-54", "55-59", "60-64", "65-69", "70-74", "75-79", "80-84", "85+")</f>
        <v>25-29</v>
      </c>
      <c r="D1927" t="s">
        <v>7</v>
      </c>
    </row>
    <row r="1928" spans="1:4">
      <c r="A1928" t="s">
        <v>6</v>
      </c>
      <c r="B1928">
        <v>39</v>
      </c>
      <c r="C1928" t="str">
        <f>CHOOSE(MATCH(B1928, {20,25,30,35,40,45,50,55,60,65,70,75,80,85}, 1), "20-24", "25-29", "30-34", "35-39", "40-44", "45-49", "50-54", "55-59", "60-64", "65-69", "70-74", "75-79", "80-84", "85+")</f>
        <v>35-39</v>
      </c>
      <c r="D1928" t="s">
        <v>7</v>
      </c>
    </row>
    <row r="1929" spans="1:4">
      <c r="A1929" t="s">
        <v>6</v>
      </c>
      <c r="B1929">
        <v>39</v>
      </c>
      <c r="C1929" t="str">
        <f>CHOOSE(MATCH(B1929, {20,25,30,35,40,45,50,55,60,65,70,75,80,85}, 1), "20-24", "25-29", "30-34", "35-39", "40-44", "45-49", "50-54", "55-59", "60-64", "65-69", "70-74", "75-79", "80-84", "85+")</f>
        <v>35-39</v>
      </c>
      <c r="D1929" t="s">
        <v>7</v>
      </c>
    </row>
    <row r="1930" spans="1:4">
      <c r="A1930" t="s">
        <v>6</v>
      </c>
      <c r="B1930">
        <v>36</v>
      </c>
      <c r="C1930" t="str">
        <f>CHOOSE(MATCH(B1930, {20,25,30,35,40,45,50,55,60,65,70,75,80,85}, 1), "20-24", "25-29", "30-34", "35-39", "40-44", "45-49", "50-54", "55-59", "60-64", "65-69", "70-74", "75-79", "80-84", "85+")</f>
        <v>35-39</v>
      </c>
      <c r="D1930" t="s">
        <v>8</v>
      </c>
    </row>
    <row r="1931" spans="1:4">
      <c r="A1931" t="s">
        <v>6</v>
      </c>
      <c r="B1931">
        <v>37</v>
      </c>
      <c r="C1931" t="str">
        <f>CHOOSE(MATCH(B1931, {20,25,30,35,40,45,50,55,60,65,70,75,80,85}, 1), "20-24", "25-29", "30-34", "35-39", "40-44", "45-49", "50-54", "55-59", "60-64", "65-69", "70-74", "75-79", "80-84", "85+")</f>
        <v>35-39</v>
      </c>
      <c r="D1931" t="s">
        <v>7</v>
      </c>
    </row>
    <row r="1932" spans="1:4">
      <c r="A1932" t="s">
        <v>6</v>
      </c>
      <c r="B1932">
        <v>26</v>
      </c>
      <c r="C1932" t="str">
        <f>CHOOSE(MATCH(B1932, {20,25,30,35,40,45,50,55,60,65,70,75,80,85}, 1), "20-24", "25-29", "30-34", "35-39", "40-44", "45-49", "50-54", "55-59", "60-64", "65-69", "70-74", "75-79", "80-84", "85+")</f>
        <v>25-29</v>
      </c>
      <c r="D1932" t="s">
        <v>7</v>
      </c>
    </row>
    <row r="1933" spans="1:4">
      <c r="A1933" t="s">
        <v>6</v>
      </c>
      <c r="B1933">
        <v>43</v>
      </c>
      <c r="C1933" t="str">
        <f>CHOOSE(MATCH(B1933, {20,25,30,35,40,45,50,55,60,65,70,75,80,85}, 1), "20-24", "25-29", "30-34", "35-39", "40-44", "45-49", "50-54", "55-59", "60-64", "65-69", "70-74", "75-79", "80-84", "85+")</f>
        <v>40-44</v>
      </c>
      <c r="D1933" t="s">
        <v>8</v>
      </c>
    </row>
    <row r="1934" spans="1:4">
      <c r="A1934" t="s">
        <v>6</v>
      </c>
      <c r="B1934">
        <v>32</v>
      </c>
      <c r="C1934" t="str">
        <f>CHOOSE(MATCH(B1934, {20,25,30,35,40,45,50,55,60,65,70,75,80,85}, 1), "20-24", "25-29", "30-34", "35-39", "40-44", "45-49", "50-54", "55-59", "60-64", "65-69", "70-74", "75-79", "80-84", "85+")</f>
        <v>30-34</v>
      </c>
      <c r="D1934" t="s">
        <v>7</v>
      </c>
    </row>
    <row r="1935" spans="1:4">
      <c r="A1935" t="s">
        <v>6</v>
      </c>
      <c r="B1935">
        <v>31</v>
      </c>
      <c r="C1935" t="str">
        <f>CHOOSE(MATCH(B1935, {20,25,30,35,40,45,50,55,60,65,70,75,80,85}, 1), "20-24", "25-29", "30-34", "35-39", "40-44", "45-49", "50-54", "55-59", "60-64", "65-69", "70-74", "75-79", "80-84", "85+")</f>
        <v>30-34</v>
      </c>
      <c r="D1935" t="s">
        <v>8</v>
      </c>
    </row>
    <row r="1936" spans="1:4">
      <c r="A1936" t="s">
        <v>6</v>
      </c>
      <c r="B1936">
        <v>27</v>
      </c>
      <c r="C1936" t="str">
        <f>CHOOSE(MATCH(B1936, {20,25,30,35,40,45,50,55,60,65,70,75,80,85}, 1), "20-24", "25-29", "30-34", "35-39", "40-44", "45-49", "50-54", "55-59", "60-64", "65-69", "70-74", "75-79", "80-84", "85+")</f>
        <v>25-29</v>
      </c>
      <c r="D1936" t="s">
        <v>7</v>
      </c>
    </row>
    <row r="1937" spans="1:4">
      <c r="A1937" t="s">
        <v>6</v>
      </c>
      <c r="B1937">
        <v>30</v>
      </c>
      <c r="C1937" t="str">
        <f>CHOOSE(MATCH(B1937, {20,25,30,35,40,45,50,55,60,65,70,75,80,85}, 1), "20-24", "25-29", "30-34", "35-39", "40-44", "45-49", "50-54", "55-59", "60-64", "65-69", "70-74", "75-79", "80-84", "85+")</f>
        <v>30-34</v>
      </c>
      <c r="D1937" t="s">
        <v>8</v>
      </c>
    </row>
    <row r="1938" spans="1:4">
      <c r="A1938" t="s">
        <v>6</v>
      </c>
      <c r="B1938">
        <v>41</v>
      </c>
      <c r="C1938" t="str">
        <f>CHOOSE(MATCH(B1938, {20,25,30,35,40,45,50,55,60,65,70,75,80,85}, 1), "20-24", "25-29", "30-34", "35-39", "40-44", "45-49", "50-54", "55-59", "60-64", "65-69", "70-74", "75-79", "80-84", "85+")</f>
        <v>40-44</v>
      </c>
      <c r="D1938" t="s">
        <v>7</v>
      </c>
    </row>
    <row r="1939" spans="1:4">
      <c r="A1939" t="s">
        <v>6</v>
      </c>
      <c r="B1939">
        <v>86</v>
      </c>
      <c r="C1939" t="str">
        <f>CHOOSE(MATCH(B1939, {20,25,30,35,40,45,50,55,60,65,70,75,80,85}, 1), "20-24", "25-29", "30-34", "35-39", "40-44", "45-49", "50-54", "55-59", "60-64", "65-69", "70-74", "75-79", "80-84", "85+")</f>
        <v>85+</v>
      </c>
      <c r="D1939" t="s">
        <v>7</v>
      </c>
    </row>
    <row r="1940" spans="1:4">
      <c r="A1940" t="s">
        <v>6</v>
      </c>
      <c r="B1940">
        <v>58</v>
      </c>
      <c r="C1940" t="str">
        <f>CHOOSE(MATCH(B1940, {20,25,30,35,40,45,50,55,60,65,70,75,80,85}, 1), "20-24", "25-29", "30-34", "35-39", "40-44", "45-49", "50-54", "55-59", "60-64", "65-69", "70-74", "75-79", "80-84", "85+")</f>
        <v>55-59</v>
      </c>
      <c r="D1940" t="s">
        <v>7</v>
      </c>
    </row>
    <row r="1941" spans="1:4">
      <c r="A1941" t="s">
        <v>6</v>
      </c>
      <c r="B1941">
        <v>34</v>
      </c>
      <c r="C1941" t="str">
        <f>CHOOSE(MATCH(B1941, {20,25,30,35,40,45,50,55,60,65,70,75,80,85}, 1), "20-24", "25-29", "30-34", "35-39", "40-44", "45-49", "50-54", "55-59", "60-64", "65-69", "70-74", "75-79", "80-84", "85+")</f>
        <v>30-34</v>
      </c>
      <c r="D1941" t="s">
        <v>8</v>
      </c>
    </row>
    <row r="1942" spans="1:4">
      <c r="A1942" t="s">
        <v>6</v>
      </c>
      <c r="B1942">
        <v>32</v>
      </c>
      <c r="C1942" t="str">
        <f>CHOOSE(MATCH(B1942, {20,25,30,35,40,45,50,55,60,65,70,75,80,85}, 1), "20-24", "25-29", "30-34", "35-39", "40-44", "45-49", "50-54", "55-59", "60-64", "65-69", "70-74", "75-79", "80-84", "85+")</f>
        <v>30-34</v>
      </c>
      <c r="D1942" t="s">
        <v>7</v>
      </c>
    </row>
    <row r="1943" spans="1:4">
      <c r="A1943" t="s">
        <v>6</v>
      </c>
      <c r="B1943">
        <v>33</v>
      </c>
      <c r="C1943" t="str">
        <f>CHOOSE(MATCH(B1943, {20,25,30,35,40,45,50,55,60,65,70,75,80,85}, 1), "20-24", "25-29", "30-34", "35-39", "40-44", "45-49", "50-54", "55-59", "60-64", "65-69", "70-74", "75-79", "80-84", "85+")</f>
        <v>30-34</v>
      </c>
      <c r="D1943" t="s">
        <v>7</v>
      </c>
    </row>
    <row r="1944" spans="1:4">
      <c r="A1944" t="s">
        <v>6</v>
      </c>
      <c r="B1944">
        <v>22</v>
      </c>
      <c r="C1944" t="str">
        <f>CHOOSE(MATCH(B1944, {20,25,30,35,40,45,50,55,60,65,70,75,80,85}, 1), "20-24", "25-29", "30-34", "35-39", "40-44", "45-49", "50-54", "55-59", "60-64", "65-69", "70-74", "75-79", "80-84", "85+")</f>
        <v>20-24</v>
      </c>
      <c r="D1944" t="s">
        <v>7</v>
      </c>
    </row>
    <row r="1945" spans="1:4">
      <c r="A1945" t="s">
        <v>6</v>
      </c>
      <c r="B1945">
        <v>39</v>
      </c>
      <c r="C1945" t="str">
        <f>CHOOSE(MATCH(B1945, {20,25,30,35,40,45,50,55,60,65,70,75,80,85}, 1), "20-24", "25-29", "30-34", "35-39", "40-44", "45-49", "50-54", "55-59", "60-64", "65-69", "70-74", "75-79", "80-84", "85+")</f>
        <v>35-39</v>
      </c>
      <c r="D1945" t="s">
        <v>8</v>
      </c>
    </row>
    <row r="1946" spans="1:4">
      <c r="A1946" t="s">
        <v>6</v>
      </c>
      <c r="B1946">
        <v>45</v>
      </c>
      <c r="C1946" t="str">
        <f>CHOOSE(MATCH(B1946, {20,25,30,35,40,45,50,55,60,65,70,75,80,85}, 1), "20-24", "25-29", "30-34", "35-39", "40-44", "45-49", "50-54", "55-59", "60-64", "65-69", "70-74", "75-79", "80-84", "85+")</f>
        <v>45-49</v>
      </c>
      <c r="D1946" t="s">
        <v>7</v>
      </c>
    </row>
    <row r="1947" spans="1:4">
      <c r="A1947" t="s">
        <v>6</v>
      </c>
      <c r="B1947">
        <v>28</v>
      </c>
      <c r="C1947" t="str">
        <f>CHOOSE(MATCH(B1947, {20,25,30,35,40,45,50,55,60,65,70,75,80,85}, 1), "20-24", "25-29", "30-34", "35-39", "40-44", "45-49", "50-54", "55-59", "60-64", "65-69", "70-74", "75-79", "80-84", "85+")</f>
        <v>25-29</v>
      </c>
      <c r="D1947" t="s">
        <v>8</v>
      </c>
    </row>
    <row r="1948" spans="1:4">
      <c r="A1948" t="s">
        <v>6</v>
      </c>
      <c r="B1948">
        <v>27</v>
      </c>
      <c r="C1948" t="str">
        <f>CHOOSE(MATCH(B1948, {20,25,30,35,40,45,50,55,60,65,70,75,80,85}, 1), "20-24", "25-29", "30-34", "35-39", "40-44", "45-49", "50-54", "55-59", "60-64", "65-69", "70-74", "75-79", "80-84", "85+")</f>
        <v>25-29</v>
      </c>
      <c r="D1948" t="s">
        <v>8</v>
      </c>
    </row>
    <row r="1949" spans="1:4">
      <c r="A1949" t="s">
        <v>6</v>
      </c>
      <c r="B1949">
        <v>63</v>
      </c>
      <c r="C1949" t="str">
        <f>CHOOSE(MATCH(B1949, {20,25,30,35,40,45,50,55,60,65,70,75,80,85}, 1), "20-24", "25-29", "30-34", "35-39", "40-44", "45-49", "50-54", "55-59", "60-64", "65-69", "70-74", "75-79", "80-84", "85+")</f>
        <v>60-64</v>
      </c>
      <c r="D1949" t="s">
        <v>8</v>
      </c>
    </row>
    <row r="1950" spans="1:4">
      <c r="A1950" t="s">
        <v>6</v>
      </c>
      <c r="B1950">
        <v>66</v>
      </c>
      <c r="C1950" t="str">
        <f>CHOOSE(MATCH(B1950, {20,25,30,35,40,45,50,55,60,65,70,75,80,85}, 1), "20-24", "25-29", "30-34", "35-39", "40-44", "45-49", "50-54", "55-59", "60-64", "65-69", "70-74", "75-79", "80-84", "85+")</f>
        <v>65-69</v>
      </c>
      <c r="D1950" t="s">
        <v>8</v>
      </c>
    </row>
    <row r="1951" spans="1:4">
      <c r="A1951" t="s">
        <v>6</v>
      </c>
      <c r="B1951">
        <v>31</v>
      </c>
      <c r="C1951" t="str">
        <f>CHOOSE(MATCH(B1951, {20,25,30,35,40,45,50,55,60,65,70,75,80,85}, 1), "20-24", "25-29", "30-34", "35-39", "40-44", "45-49", "50-54", "55-59", "60-64", "65-69", "70-74", "75-79", "80-84", "85+")</f>
        <v>30-34</v>
      </c>
      <c r="D1951" t="s">
        <v>7</v>
      </c>
    </row>
    <row r="1952" spans="1:4">
      <c r="A1952" t="s">
        <v>6</v>
      </c>
      <c r="B1952">
        <v>30</v>
      </c>
      <c r="C1952" t="str">
        <f>CHOOSE(MATCH(B1952, {20,25,30,35,40,45,50,55,60,65,70,75,80,85}, 1), "20-24", "25-29", "30-34", "35-39", "40-44", "45-49", "50-54", "55-59", "60-64", "65-69", "70-74", "75-79", "80-84", "85+")</f>
        <v>30-34</v>
      </c>
      <c r="D1952" t="s">
        <v>7</v>
      </c>
    </row>
    <row r="1953" spans="1:4">
      <c r="A1953" t="s">
        <v>6</v>
      </c>
      <c r="B1953">
        <v>30</v>
      </c>
      <c r="C1953" t="str">
        <f>CHOOSE(MATCH(B1953, {20,25,30,35,40,45,50,55,60,65,70,75,80,85}, 1), "20-24", "25-29", "30-34", "35-39", "40-44", "45-49", "50-54", "55-59", "60-64", "65-69", "70-74", "75-79", "80-84", "85+")</f>
        <v>30-34</v>
      </c>
      <c r="D1953" t="s">
        <v>8</v>
      </c>
    </row>
    <row r="1954" spans="1:4">
      <c r="A1954" t="s">
        <v>6</v>
      </c>
      <c r="B1954">
        <v>51</v>
      </c>
      <c r="C1954" t="str">
        <f>CHOOSE(MATCH(B1954, {20,25,30,35,40,45,50,55,60,65,70,75,80,85}, 1), "20-24", "25-29", "30-34", "35-39", "40-44", "45-49", "50-54", "55-59", "60-64", "65-69", "70-74", "75-79", "80-84", "85+")</f>
        <v>50-54</v>
      </c>
      <c r="D1954" t="s">
        <v>7</v>
      </c>
    </row>
    <row r="1955" spans="1:4">
      <c r="A1955" t="s">
        <v>6</v>
      </c>
      <c r="B1955">
        <v>47</v>
      </c>
      <c r="C1955" t="str">
        <f>CHOOSE(MATCH(B1955, {20,25,30,35,40,45,50,55,60,65,70,75,80,85}, 1), "20-24", "25-29", "30-34", "35-39", "40-44", "45-49", "50-54", "55-59", "60-64", "65-69", "70-74", "75-79", "80-84", "85+")</f>
        <v>45-49</v>
      </c>
      <c r="D1955" t="s">
        <v>8</v>
      </c>
    </row>
    <row r="1956" spans="1:4">
      <c r="A1956" t="s">
        <v>6</v>
      </c>
      <c r="B1956">
        <v>34</v>
      </c>
      <c r="C1956" t="str">
        <f>CHOOSE(MATCH(B1956, {20,25,30,35,40,45,50,55,60,65,70,75,80,85}, 1), "20-24", "25-29", "30-34", "35-39", "40-44", "45-49", "50-54", "55-59", "60-64", "65-69", "70-74", "75-79", "80-84", "85+")</f>
        <v>30-34</v>
      </c>
      <c r="D1956" t="s">
        <v>7</v>
      </c>
    </row>
    <row r="1957" spans="1:4">
      <c r="A1957" t="s">
        <v>6</v>
      </c>
      <c r="B1957">
        <v>46</v>
      </c>
      <c r="C1957" t="str">
        <f>CHOOSE(MATCH(B1957, {20,25,30,35,40,45,50,55,60,65,70,75,80,85}, 1), "20-24", "25-29", "30-34", "35-39", "40-44", "45-49", "50-54", "55-59", "60-64", "65-69", "70-74", "75-79", "80-84", "85+")</f>
        <v>45-49</v>
      </c>
      <c r="D1957" t="s">
        <v>8</v>
      </c>
    </row>
    <row r="1958" spans="1:4">
      <c r="A1958" t="s">
        <v>6</v>
      </c>
      <c r="B1958">
        <v>52</v>
      </c>
      <c r="C1958" t="str">
        <f>CHOOSE(MATCH(B1958, {20,25,30,35,40,45,50,55,60,65,70,75,80,85}, 1), "20-24", "25-29", "30-34", "35-39", "40-44", "45-49", "50-54", "55-59", "60-64", "65-69", "70-74", "75-79", "80-84", "85+")</f>
        <v>50-54</v>
      </c>
      <c r="D1958" t="s">
        <v>8</v>
      </c>
    </row>
    <row r="1959" spans="1:4">
      <c r="A1959" t="s">
        <v>6</v>
      </c>
      <c r="B1959">
        <v>67</v>
      </c>
      <c r="C1959" t="str">
        <f>CHOOSE(MATCH(B1959, {20,25,30,35,40,45,50,55,60,65,70,75,80,85}, 1), "20-24", "25-29", "30-34", "35-39", "40-44", "45-49", "50-54", "55-59", "60-64", "65-69", "70-74", "75-79", "80-84", "85+")</f>
        <v>65-69</v>
      </c>
      <c r="D1959" t="s">
        <v>8</v>
      </c>
    </row>
    <row r="1960" spans="1:4">
      <c r="A1960" t="s">
        <v>6</v>
      </c>
      <c r="B1960">
        <v>36</v>
      </c>
      <c r="C1960" t="str">
        <f>CHOOSE(MATCH(B1960, {20,25,30,35,40,45,50,55,60,65,70,75,80,85}, 1), "20-24", "25-29", "30-34", "35-39", "40-44", "45-49", "50-54", "55-59", "60-64", "65-69", "70-74", "75-79", "80-84", "85+")</f>
        <v>35-39</v>
      </c>
      <c r="D1960" t="s">
        <v>7</v>
      </c>
    </row>
    <row r="1961" spans="1:4">
      <c r="A1961" t="s">
        <v>6</v>
      </c>
      <c r="B1961">
        <v>44</v>
      </c>
      <c r="C1961" t="str">
        <f>CHOOSE(MATCH(B1961, {20,25,30,35,40,45,50,55,60,65,70,75,80,85}, 1), "20-24", "25-29", "30-34", "35-39", "40-44", "45-49", "50-54", "55-59", "60-64", "65-69", "70-74", "75-79", "80-84", "85+")</f>
        <v>40-44</v>
      </c>
      <c r="D1961" t="s">
        <v>7</v>
      </c>
    </row>
    <row r="1962" spans="1:4">
      <c r="A1962" t="s">
        <v>6</v>
      </c>
      <c r="B1962">
        <v>38</v>
      </c>
      <c r="C1962" t="str">
        <f>CHOOSE(MATCH(B1962, {20,25,30,35,40,45,50,55,60,65,70,75,80,85}, 1), "20-24", "25-29", "30-34", "35-39", "40-44", "45-49", "50-54", "55-59", "60-64", "65-69", "70-74", "75-79", "80-84", "85+")</f>
        <v>35-39</v>
      </c>
      <c r="D1962" t="s">
        <v>8</v>
      </c>
    </row>
    <row r="1963" spans="1:4">
      <c r="A1963" t="s">
        <v>6</v>
      </c>
      <c r="B1963">
        <v>32</v>
      </c>
      <c r="C1963" t="str">
        <f>CHOOSE(MATCH(B1963, {20,25,30,35,40,45,50,55,60,65,70,75,80,85}, 1), "20-24", "25-29", "30-34", "35-39", "40-44", "45-49", "50-54", "55-59", "60-64", "65-69", "70-74", "75-79", "80-84", "85+")</f>
        <v>30-34</v>
      </c>
      <c r="D1963" t="s">
        <v>7</v>
      </c>
    </row>
    <row r="1964" spans="1:4">
      <c r="A1964" t="s">
        <v>6</v>
      </c>
      <c r="B1964">
        <v>54</v>
      </c>
      <c r="C1964" t="str">
        <f>CHOOSE(MATCH(B1964, {20,25,30,35,40,45,50,55,60,65,70,75,80,85}, 1), "20-24", "25-29", "30-34", "35-39", "40-44", "45-49", "50-54", "55-59", "60-64", "65-69", "70-74", "75-79", "80-84", "85+")</f>
        <v>50-54</v>
      </c>
      <c r="D1964" t="s">
        <v>8</v>
      </c>
    </row>
    <row r="1965" spans="1:4">
      <c r="A1965" t="s">
        <v>6</v>
      </c>
      <c r="B1965">
        <v>33</v>
      </c>
      <c r="C1965" t="str">
        <f>CHOOSE(MATCH(B1965, {20,25,30,35,40,45,50,55,60,65,70,75,80,85}, 1), "20-24", "25-29", "30-34", "35-39", "40-44", "45-49", "50-54", "55-59", "60-64", "65-69", "70-74", "75-79", "80-84", "85+")</f>
        <v>30-34</v>
      </c>
      <c r="D1965" t="s">
        <v>7</v>
      </c>
    </row>
    <row r="1966" spans="1:4">
      <c r="A1966" t="s">
        <v>6</v>
      </c>
      <c r="B1966">
        <v>35</v>
      </c>
      <c r="C1966" t="str">
        <f>CHOOSE(MATCH(B1966, {20,25,30,35,40,45,50,55,60,65,70,75,80,85}, 1), "20-24", "25-29", "30-34", "35-39", "40-44", "45-49", "50-54", "55-59", "60-64", "65-69", "70-74", "75-79", "80-84", "85+")</f>
        <v>35-39</v>
      </c>
      <c r="D1966" t="s">
        <v>7</v>
      </c>
    </row>
    <row r="1967" spans="1:4">
      <c r="A1967" t="s">
        <v>6</v>
      </c>
      <c r="B1967">
        <v>71</v>
      </c>
      <c r="C1967" t="str">
        <f>CHOOSE(MATCH(B1967, {20,25,30,35,40,45,50,55,60,65,70,75,80,85}, 1), "20-24", "25-29", "30-34", "35-39", "40-44", "45-49", "50-54", "55-59", "60-64", "65-69", "70-74", "75-79", "80-84", "85+")</f>
        <v>70-74</v>
      </c>
      <c r="D1967" t="s">
        <v>8</v>
      </c>
    </row>
    <row r="1968" spans="1:4">
      <c r="A1968" t="s">
        <v>6</v>
      </c>
      <c r="B1968">
        <v>38</v>
      </c>
      <c r="C1968" t="str">
        <f>CHOOSE(MATCH(B1968, {20,25,30,35,40,45,50,55,60,65,70,75,80,85}, 1), "20-24", "25-29", "30-34", "35-39", "40-44", "45-49", "50-54", "55-59", "60-64", "65-69", "70-74", "75-79", "80-84", "85+")</f>
        <v>35-39</v>
      </c>
      <c r="D1968" t="s">
        <v>7</v>
      </c>
    </row>
    <row r="1969" spans="1:4">
      <c r="A1969" t="s">
        <v>6</v>
      </c>
      <c r="B1969">
        <v>42</v>
      </c>
      <c r="C1969" t="str">
        <f>CHOOSE(MATCH(B1969, {20,25,30,35,40,45,50,55,60,65,70,75,80,85}, 1), "20-24", "25-29", "30-34", "35-39", "40-44", "45-49", "50-54", "55-59", "60-64", "65-69", "70-74", "75-79", "80-84", "85+")</f>
        <v>40-44</v>
      </c>
      <c r="D1969" t="s">
        <v>8</v>
      </c>
    </row>
    <row r="1970" spans="1:4">
      <c r="A1970" t="s">
        <v>6</v>
      </c>
      <c r="B1970">
        <v>67</v>
      </c>
      <c r="C1970" t="str">
        <f>CHOOSE(MATCH(B1970, {20,25,30,35,40,45,50,55,60,65,70,75,80,85}, 1), "20-24", "25-29", "30-34", "35-39", "40-44", "45-49", "50-54", "55-59", "60-64", "65-69", "70-74", "75-79", "80-84", "85+")</f>
        <v>65-69</v>
      </c>
      <c r="D1970" t="s">
        <v>8</v>
      </c>
    </row>
    <row r="1971" spans="1:4">
      <c r="A1971" t="s">
        <v>6</v>
      </c>
      <c r="B1971">
        <v>35</v>
      </c>
      <c r="C1971" t="str">
        <f>CHOOSE(MATCH(B1971, {20,25,30,35,40,45,50,55,60,65,70,75,80,85}, 1), "20-24", "25-29", "30-34", "35-39", "40-44", "45-49", "50-54", "55-59", "60-64", "65-69", "70-74", "75-79", "80-84", "85+")</f>
        <v>35-39</v>
      </c>
      <c r="D1971" t="s">
        <v>8</v>
      </c>
    </row>
    <row r="1972" spans="1:4">
      <c r="A1972" t="s">
        <v>6</v>
      </c>
      <c r="B1972">
        <v>46</v>
      </c>
      <c r="C1972" t="str">
        <f>CHOOSE(MATCH(B1972, {20,25,30,35,40,45,50,55,60,65,70,75,80,85}, 1), "20-24", "25-29", "30-34", "35-39", "40-44", "45-49", "50-54", "55-59", "60-64", "65-69", "70-74", "75-79", "80-84", "85+")</f>
        <v>45-49</v>
      </c>
      <c r="D1972" t="s">
        <v>8</v>
      </c>
    </row>
    <row r="1973" spans="1:4">
      <c r="A1973" t="s">
        <v>6</v>
      </c>
      <c r="B1973">
        <v>31</v>
      </c>
      <c r="C1973" t="str">
        <f>CHOOSE(MATCH(B1973, {20,25,30,35,40,45,50,55,60,65,70,75,80,85}, 1), "20-24", "25-29", "30-34", "35-39", "40-44", "45-49", "50-54", "55-59", "60-64", "65-69", "70-74", "75-79", "80-84", "85+")</f>
        <v>30-34</v>
      </c>
      <c r="D1973" t="s">
        <v>7</v>
      </c>
    </row>
    <row r="1974" spans="1:4">
      <c r="A1974" t="s">
        <v>6</v>
      </c>
      <c r="B1974">
        <v>33</v>
      </c>
      <c r="C1974" t="str">
        <f>CHOOSE(MATCH(B1974, {20,25,30,35,40,45,50,55,60,65,70,75,80,85}, 1), "20-24", "25-29", "30-34", "35-39", "40-44", "45-49", "50-54", "55-59", "60-64", "65-69", "70-74", "75-79", "80-84", "85+")</f>
        <v>30-34</v>
      </c>
      <c r="D1974" t="s">
        <v>7</v>
      </c>
    </row>
    <row r="1975" spans="1:4">
      <c r="A1975" t="s">
        <v>6</v>
      </c>
      <c r="B1975">
        <v>54</v>
      </c>
      <c r="C1975" t="str">
        <f>CHOOSE(MATCH(B1975, {20,25,30,35,40,45,50,55,60,65,70,75,80,85}, 1), "20-24", "25-29", "30-34", "35-39", "40-44", "45-49", "50-54", "55-59", "60-64", "65-69", "70-74", "75-79", "80-84", "85+")</f>
        <v>50-54</v>
      </c>
      <c r="D1975" t="s">
        <v>7</v>
      </c>
    </row>
    <row r="1976" spans="1:4">
      <c r="A1976" t="s">
        <v>6</v>
      </c>
      <c r="B1976">
        <v>44</v>
      </c>
      <c r="C1976" t="str">
        <f>CHOOSE(MATCH(B1976, {20,25,30,35,40,45,50,55,60,65,70,75,80,85}, 1), "20-24", "25-29", "30-34", "35-39", "40-44", "45-49", "50-54", "55-59", "60-64", "65-69", "70-74", "75-79", "80-84", "85+")</f>
        <v>40-44</v>
      </c>
      <c r="D1976" t="s">
        <v>8</v>
      </c>
    </row>
    <row r="1977" spans="1:4">
      <c r="A1977" t="s">
        <v>6</v>
      </c>
      <c r="B1977">
        <v>33</v>
      </c>
      <c r="C1977" t="str">
        <f>CHOOSE(MATCH(B1977, {20,25,30,35,40,45,50,55,60,65,70,75,80,85}, 1), "20-24", "25-29", "30-34", "35-39", "40-44", "45-49", "50-54", "55-59", "60-64", "65-69", "70-74", "75-79", "80-84", "85+")</f>
        <v>30-34</v>
      </c>
      <c r="D1977" t="s">
        <v>7</v>
      </c>
    </row>
    <row r="1978" spans="1:4">
      <c r="A1978" t="s">
        <v>6</v>
      </c>
      <c r="B1978">
        <v>73</v>
      </c>
      <c r="C1978" t="str">
        <f>CHOOSE(MATCH(B1978, {20,25,30,35,40,45,50,55,60,65,70,75,80,85}, 1), "20-24", "25-29", "30-34", "35-39", "40-44", "45-49", "50-54", "55-59", "60-64", "65-69", "70-74", "75-79", "80-84", "85+")</f>
        <v>70-74</v>
      </c>
      <c r="D1978" t="s">
        <v>7</v>
      </c>
    </row>
    <row r="1979" spans="1:4">
      <c r="A1979" t="s">
        <v>6</v>
      </c>
      <c r="B1979">
        <v>58</v>
      </c>
      <c r="C1979" t="str">
        <f>CHOOSE(MATCH(B1979, {20,25,30,35,40,45,50,55,60,65,70,75,80,85}, 1), "20-24", "25-29", "30-34", "35-39", "40-44", "45-49", "50-54", "55-59", "60-64", "65-69", "70-74", "75-79", "80-84", "85+")</f>
        <v>55-59</v>
      </c>
      <c r="D1979" t="s">
        <v>8</v>
      </c>
    </row>
    <row r="1980" spans="1:4">
      <c r="A1980" t="s">
        <v>6</v>
      </c>
      <c r="B1980">
        <v>61</v>
      </c>
      <c r="C1980" t="str">
        <f>CHOOSE(MATCH(B1980, {20,25,30,35,40,45,50,55,60,65,70,75,80,85}, 1), "20-24", "25-29", "30-34", "35-39", "40-44", "45-49", "50-54", "55-59", "60-64", "65-69", "70-74", "75-79", "80-84", "85+")</f>
        <v>60-64</v>
      </c>
      <c r="D1980" t="s">
        <v>8</v>
      </c>
    </row>
    <row r="1981" spans="1:4">
      <c r="A1981" t="s">
        <v>6</v>
      </c>
      <c r="B1981">
        <v>35</v>
      </c>
      <c r="C1981" t="str">
        <f>CHOOSE(MATCH(B1981, {20,25,30,35,40,45,50,55,60,65,70,75,80,85}, 1), "20-24", "25-29", "30-34", "35-39", "40-44", "45-49", "50-54", "55-59", "60-64", "65-69", "70-74", "75-79", "80-84", "85+")</f>
        <v>35-39</v>
      </c>
      <c r="D1981" t="s">
        <v>8</v>
      </c>
    </row>
    <row r="1982" spans="1:4">
      <c r="A1982" t="s">
        <v>6</v>
      </c>
      <c r="B1982">
        <v>72</v>
      </c>
      <c r="C1982" t="str">
        <f>CHOOSE(MATCH(B1982, {20,25,30,35,40,45,50,55,60,65,70,75,80,85}, 1), "20-24", "25-29", "30-34", "35-39", "40-44", "45-49", "50-54", "55-59", "60-64", "65-69", "70-74", "75-79", "80-84", "85+")</f>
        <v>70-74</v>
      </c>
      <c r="D1982" t="s">
        <v>7</v>
      </c>
    </row>
    <row r="1983" spans="1:4">
      <c r="A1983" t="s">
        <v>6</v>
      </c>
      <c r="B1983">
        <v>38</v>
      </c>
      <c r="C1983" t="str">
        <f>CHOOSE(MATCH(B1983, {20,25,30,35,40,45,50,55,60,65,70,75,80,85}, 1), "20-24", "25-29", "30-34", "35-39", "40-44", "45-49", "50-54", "55-59", "60-64", "65-69", "70-74", "75-79", "80-84", "85+")</f>
        <v>35-39</v>
      </c>
      <c r="D1983" t="s">
        <v>7</v>
      </c>
    </row>
    <row r="1984" spans="1:4">
      <c r="A1984" t="s">
        <v>6</v>
      </c>
      <c r="B1984">
        <v>54</v>
      </c>
      <c r="C1984" t="str">
        <f>CHOOSE(MATCH(B1984, {20,25,30,35,40,45,50,55,60,65,70,75,80,85}, 1), "20-24", "25-29", "30-34", "35-39", "40-44", "45-49", "50-54", "55-59", "60-64", "65-69", "70-74", "75-79", "80-84", "85+")</f>
        <v>50-54</v>
      </c>
      <c r="D1984" t="s">
        <v>8</v>
      </c>
    </row>
    <row r="1985" spans="1:4">
      <c r="A1985" t="s">
        <v>6</v>
      </c>
      <c r="B1985">
        <v>54</v>
      </c>
      <c r="C1985" t="str">
        <f>CHOOSE(MATCH(B1985, {20,25,30,35,40,45,50,55,60,65,70,75,80,85}, 1), "20-24", "25-29", "30-34", "35-39", "40-44", "45-49", "50-54", "55-59", "60-64", "65-69", "70-74", "75-79", "80-84", "85+")</f>
        <v>50-54</v>
      </c>
      <c r="D1985" t="s">
        <v>8</v>
      </c>
    </row>
    <row r="1986" spans="1:4">
      <c r="A1986" t="s">
        <v>6</v>
      </c>
      <c r="B1986">
        <v>42</v>
      </c>
      <c r="C1986" t="str">
        <f>CHOOSE(MATCH(B1986, {20,25,30,35,40,45,50,55,60,65,70,75,80,85}, 1), "20-24", "25-29", "30-34", "35-39", "40-44", "45-49", "50-54", "55-59", "60-64", "65-69", "70-74", "75-79", "80-84", "85+")</f>
        <v>40-44</v>
      </c>
      <c r="D1986" t="s">
        <v>7</v>
      </c>
    </row>
    <row r="1987" spans="1:4">
      <c r="A1987" t="s">
        <v>6</v>
      </c>
      <c r="B1987">
        <v>43</v>
      </c>
      <c r="C1987" t="str">
        <f>CHOOSE(MATCH(B1987, {20,25,30,35,40,45,50,55,60,65,70,75,80,85}, 1), "20-24", "25-29", "30-34", "35-39", "40-44", "45-49", "50-54", "55-59", "60-64", "65-69", "70-74", "75-79", "80-84", "85+")</f>
        <v>40-44</v>
      </c>
      <c r="D1987" t="s">
        <v>8</v>
      </c>
    </row>
    <row r="1988" spans="1:4">
      <c r="A1988" t="s">
        <v>6</v>
      </c>
      <c r="B1988">
        <v>31</v>
      </c>
      <c r="C1988" t="str">
        <f>CHOOSE(MATCH(B1988, {20,25,30,35,40,45,50,55,60,65,70,75,80,85}, 1), "20-24", "25-29", "30-34", "35-39", "40-44", "45-49", "50-54", "55-59", "60-64", "65-69", "70-74", "75-79", "80-84", "85+")</f>
        <v>30-34</v>
      </c>
      <c r="D1988" t="s">
        <v>8</v>
      </c>
    </row>
    <row r="1989" spans="1:4">
      <c r="A1989" t="s">
        <v>6</v>
      </c>
      <c r="B1989">
        <v>22</v>
      </c>
      <c r="C1989" t="str">
        <f>CHOOSE(MATCH(B1989, {20,25,30,35,40,45,50,55,60,65,70,75,80,85}, 1), "20-24", "25-29", "30-34", "35-39", "40-44", "45-49", "50-54", "55-59", "60-64", "65-69", "70-74", "75-79", "80-84", "85+")</f>
        <v>20-24</v>
      </c>
      <c r="D1989" t="s">
        <v>8</v>
      </c>
    </row>
    <row r="1990" spans="1:4">
      <c r="A1990" t="s">
        <v>6</v>
      </c>
      <c r="B1990">
        <v>60</v>
      </c>
      <c r="C1990" t="str">
        <f>CHOOSE(MATCH(B1990, {20,25,30,35,40,45,50,55,60,65,70,75,80,85}, 1), "20-24", "25-29", "30-34", "35-39", "40-44", "45-49", "50-54", "55-59", "60-64", "65-69", "70-74", "75-79", "80-84", "85+")</f>
        <v>60-64</v>
      </c>
      <c r="D1990" t="s">
        <v>8</v>
      </c>
    </row>
    <row r="1991" spans="1:4">
      <c r="A1991" t="s">
        <v>6</v>
      </c>
      <c r="B1991">
        <v>36</v>
      </c>
      <c r="C1991" t="str">
        <f>CHOOSE(MATCH(B1991, {20,25,30,35,40,45,50,55,60,65,70,75,80,85}, 1), "20-24", "25-29", "30-34", "35-39", "40-44", "45-49", "50-54", "55-59", "60-64", "65-69", "70-74", "75-79", "80-84", "85+")</f>
        <v>35-39</v>
      </c>
      <c r="D1991" t="s">
        <v>7</v>
      </c>
    </row>
    <row r="1992" spans="1:4">
      <c r="A1992" t="s">
        <v>6</v>
      </c>
      <c r="B1992">
        <v>41</v>
      </c>
      <c r="C1992" t="str">
        <f>CHOOSE(MATCH(B1992, {20,25,30,35,40,45,50,55,60,65,70,75,80,85}, 1), "20-24", "25-29", "30-34", "35-39", "40-44", "45-49", "50-54", "55-59", "60-64", "65-69", "70-74", "75-79", "80-84", "85+")</f>
        <v>40-44</v>
      </c>
      <c r="D1992" t="s">
        <v>8</v>
      </c>
    </row>
    <row r="1993" spans="1:4">
      <c r="A1993" t="s">
        <v>6</v>
      </c>
      <c r="B1993">
        <v>48</v>
      </c>
      <c r="C1993" t="str">
        <f>CHOOSE(MATCH(B1993, {20,25,30,35,40,45,50,55,60,65,70,75,80,85}, 1), "20-24", "25-29", "30-34", "35-39", "40-44", "45-49", "50-54", "55-59", "60-64", "65-69", "70-74", "75-79", "80-84", "85+")</f>
        <v>45-49</v>
      </c>
      <c r="D1993" t="s">
        <v>8</v>
      </c>
    </row>
    <row r="1994" spans="1:4">
      <c r="A1994" t="s">
        <v>6</v>
      </c>
      <c r="B1994">
        <v>54</v>
      </c>
      <c r="C1994" t="str">
        <f>CHOOSE(MATCH(B1994, {20,25,30,35,40,45,50,55,60,65,70,75,80,85}, 1), "20-24", "25-29", "30-34", "35-39", "40-44", "45-49", "50-54", "55-59", "60-64", "65-69", "70-74", "75-79", "80-84", "85+")</f>
        <v>50-54</v>
      </c>
      <c r="D1994" t="s">
        <v>8</v>
      </c>
    </row>
    <row r="1995" spans="1:4">
      <c r="A1995" t="s">
        <v>6</v>
      </c>
      <c r="B1995">
        <v>41</v>
      </c>
      <c r="C1995" t="str">
        <f>CHOOSE(MATCH(B1995, {20,25,30,35,40,45,50,55,60,65,70,75,80,85}, 1), "20-24", "25-29", "30-34", "35-39", "40-44", "45-49", "50-54", "55-59", "60-64", "65-69", "70-74", "75-79", "80-84", "85+")</f>
        <v>40-44</v>
      </c>
      <c r="D1995" t="s">
        <v>8</v>
      </c>
    </row>
    <row r="1996" spans="1:4">
      <c r="A1996" t="s">
        <v>6</v>
      </c>
      <c r="B1996">
        <v>43</v>
      </c>
      <c r="C1996" t="str">
        <f>CHOOSE(MATCH(B1996, {20,25,30,35,40,45,50,55,60,65,70,75,80,85}, 1), "20-24", "25-29", "30-34", "35-39", "40-44", "45-49", "50-54", "55-59", "60-64", "65-69", "70-74", "75-79", "80-84", "85+")</f>
        <v>40-44</v>
      </c>
      <c r="D1996" t="s">
        <v>7</v>
      </c>
    </row>
    <row r="1997" spans="1:4">
      <c r="A1997" t="s">
        <v>6</v>
      </c>
      <c r="B1997">
        <v>34</v>
      </c>
      <c r="C1997" t="str">
        <f>CHOOSE(MATCH(B1997, {20,25,30,35,40,45,50,55,60,65,70,75,80,85}, 1), "20-24", "25-29", "30-34", "35-39", "40-44", "45-49", "50-54", "55-59", "60-64", "65-69", "70-74", "75-79", "80-84", "85+")</f>
        <v>30-34</v>
      </c>
      <c r="D1997" t="s">
        <v>7</v>
      </c>
    </row>
    <row r="1998" spans="1:4">
      <c r="A1998" t="s">
        <v>6</v>
      </c>
      <c r="B1998">
        <v>52</v>
      </c>
      <c r="C1998" t="str">
        <f>CHOOSE(MATCH(B1998, {20,25,30,35,40,45,50,55,60,65,70,75,80,85}, 1), "20-24", "25-29", "30-34", "35-39", "40-44", "45-49", "50-54", "55-59", "60-64", "65-69", "70-74", "75-79", "80-84", "85+")</f>
        <v>50-54</v>
      </c>
      <c r="D1998" t="s">
        <v>7</v>
      </c>
    </row>
    <row r="1999" spans="1:4">
      <c r="A1999" t="s">
        <v>6</v>
      </c>
      <c r="B1999">
        <v>25</v>
      </c>
      <c r="C1999" t="str">
        <f>CHOOSE(MATCH(B1999, {20,25,30,35,40,45,50,55,60,65,70,75,80,85}, 1), "20-24", "25-29", "30-34", "35-39", "40-44", "45-49", "50-54", "55-59", "60-64", "65-69", "70-74", "75-79", "80-84", "85+")</f>
        <v>25-29</v>
      </c>
      <c r="D1999" t="s">
        <v>7</v>
      </c>
    </row>
    <row r="2000" spans="1:4">
      <c r="A2000" t="s">
        <v>6</v>
      </c>
      <c r="B2000">
        <v>28</v>
      </c>
      <c r="C2000" t="str">
        <f>CHOOSE(MATCH(B2000, {20,25,30,35,40,45,50,55,60,65,70,75,80,85}, 1), "20-24", "25-29", "30-34", "35-39", "40-44", "45-49", "50-54", "55-59", "60-64", "65-69", "70-74", "75-79", "80-84", "85+")</f>
        <v>25-29</v>
      </c>
      <c r="D2000" t="s">
        <v>8</v>
      </c>
    </row>
    <row r="2001" spans="1:4">
      <c r="A2001" t="s">
        <v>6</v>
      </c>
      <c r="B2001">
        <v>37</v>
      </c>
      <c r="C2001" t="str">
        <f>CHOOSE(MATCH(B2001, {20,25,30,35,40,45,50,55,60,65,70,75,80,85}, 1), "20-24", "25-29", "30-34", "35-39", "40-44", "45-49", "50-54", "55-59", "60-64", "65-69", "70-74", "75-79", "80-84", "85+")</f>
        <v>35-39</v>
      </c>
      <c r="D2001" t="s">
        <v>7</v>
      </c>
    </row>
    <row r="2002" spans="1:4">
      <c r="A2002" t="s">
        <v>6</v>
      </c>
      <c r="B2002">
        <v>47</v>
      </c>
      <c r="C2002" t="str">
        <f>CHOOSE(MATCH(B2002, {20,25,30,35,40,45,50,55,60,65,70,75,80,85}, 1), "20-24", "25-29", "30-34", "35-39", "40-44", "45-49", "50-54", "55-59", "60-64", "65-69", "70-74", "75-79", "80-84", "85+")</f>
        <v>45-49</v>
      </c>
      <c r="D2002" t="s">
        <v>8</v>
      </c>
    </row>
    <row r="2003" spans="1:4">
      <c r="A2003" t="s">
        <v>6</v>
      </c>
      <c r="B2003">
        <v>64</v>
      </c>
      <c r="C2003" t="str">
        <f>CHOOSE(MATCH(B2003, {20,25,30,35,40,45,50,55,60,65,70,75,80,85}, 1), "20-24", "25-29", "30-34", "35-39", "40-44", "45-49", "50-54", "55-59", "60-64", "65-69", "70-74", "75-79", "80-84", "85+")</f>
        <v>60-64</v>
      </c>
      <c r="D2003" t="s">
        <v>7</v>
      </c>
    </row>
    <row r="2004" spans="1:4">
      <c r="A2004" t="s">
        <v>6</v>
      </c>
      <c r="B2004">
        <v>36</v>
      </c>
      <c r="C2004" t="str">
        <f>CHOOSE(MATCH(B2004, {20,25,30,35,40,45,50,55,60,65,70,75,80,85}, 1), "20-24", "25-29", "30-34", "35-39", "40-44", "45-49", "50-54", "55-59", "60-64", "65-69", "70-74", "75-79", "80-84", "85+")</f>
        <v>35-39</v>
      </c>
      <c r="D2004" t="s">
        <v>7</v>
      </c>
    </row>
    <row r="2005" spans="1:4">
      <c r="A2005" t="s">
        <v>6</v>
      </c>
      <c r="B2005">
        <v>78</v>
      </c>
      <c r="C2005" t="str">
        <f>CHOOSE(MATCH(B2005, {20,25,30,35,40,45,50,55,60,65,70,75,80,85}, 1), "20-24", "25-29", "30-34", "35-39", "40-44", "45-49", "50-54", "55-59", "60-64", "65-69", "70-74", "75-79", "80-84", "85+")</f>
        <v>75-79</v>
      </c>
      <c r="D2005" t="s">
        <v>8</v>
      </c>
    </row>
    <row r="2006" spans="1:4">
      <c r="A2006" t="s">
        <v>6</v>
      </c>
      <c r="B2006">
        <v>36</v>
      </c>
      <c r="C2006" t="str">
        <f>CHOOSE(MATCH(B2006, {20,25,30,35,40,45,50,55,60,65,70,75,80,85}, 1), "20-24", "25-29", "30-34", "35-39", "40-44", "45-49", "50-54", "55-59", "60-64", "65-69", "70-74", "75-79", "80-84", "85+")</f>
        <v>35-39</v>
      </c>
      <c r="D2006" t="s">
        <v>8</v>
      </c>
    </row>
    <row r="2007" spans="1:4">
      <c r="A2007" t="s">
        <v>6</v>
      </c>
      <c r="B2007">
        <v>27</v>
      </c>
      <c r="C2007" t="str">
        <f>CHOOSE(MATCH(B2007, {20,25,30,35,40,45,50,55,60,65,70,75,80,85}, 1), "20-24", "25-29", "30-34", "35-39", "40-44", "45-49", "50-54", "55-59", "60-64", "65-69", "70-74", "75-79", "80-84", "85+")</f>
        <v>25-29</v>
      </c>
      <c r="D2007" t="s">
        <v>8</v>
      </c>
    </row>
    <row r="2008" spans="1:4">
      <c r="A2008" t="s">
        <v>6</v>
      </c>
      <c r="B2008">
        <v>32</v>
      </c>
      <c r="C2008" t="str">
        <f>CHOOSE(MATCH(B2008, {20,25,30,35,40,45,50,55,60,65,70,75,80,85}, 1), "20-24", "25-29", "30-34", "35-39", "40-44", "45-49", "50-54", "55-59", "60-64", "65-69", "70-74", "75-79", "80-84", "85+")</f>
        <v>30-34</v>
      </c>
      <c r="D2008" t="s">
        <v>7</v>
      </c>
    </row>
    <row r="2009" spans="1:4">
      <c r="A2009" t="s">
        <v>6</v>
      </c>
      <c r="B2009">
        <v>61</v>
      </c>
      <c r="C2009" t="str">
        <f>CHOOSE(MATCH(B2009, {20,25,30,35,40,45,50,55,60,65,70,75,80,85}, 1), "20-24", "25-29", "30-34", "35-39", "40-44", "45-49", "50-54", "55-59", "60-64", "65-69", "70-74", "75-79", "80-84", "85+")</f>
        <v>60-64</v>
      </c>
      <c r="D2009" t="s">
        <v>8</v>
      </c>
    </row>
    <row r="2010" spans="1:4">
      <c r="A2010" t="s">
        <v>6</v>
      </c>
      <c r="B2010">
        <v>57</v>
      </c>
      <c r="C2010" t="str">
        <f>CHOOSE(MATCH(B2010, {20,25,30,35,40,45,50,55,60,65,70,75,80,85}, 1), "20-24", "25-29", "30-34", "35-39", "40-44", "45-49", "50-54", "55-59", "60-64", "65-69", "70-74", "75-79", "80-84", "85+")</f>
        <v>55-59</v>
      </c>
      <c r="D2010" t="s">
        <v>8</v>
      </c>
    </row>
    <row r="2011" spans="1:4">
      <c r="A2011" t="s">
        <v>6</v>
      </c>
      <c r="B2011">
        <v>35</v>
      </c>
      <c r="C2011" t="str">
        <f>CHOOSE(MATCH(B2011, {20,25,30,35,40,45,50,55,60,65,70,75,80,85}, 1), "20-24", "25-29", "30-34", "35-39", "40-44", "45-49", "50-54", "55-59", "60-64", "65-69", "70-74", "75-79", "80-84", "85+")</f>
        <v>35-39</v>
      </c>
      <c r="D2011" t="s">
        <v>7</v>
      </c>
    </row>
    <row r="2012" spans="1:4">
      <c r="A2012" t="s">
        <v>6</v>
      </c>
      <c r="B2012">
        <v>32</v>
      </c>
      <c r="C2012" t="str">
        <f>CHOOSE(MATCH(B2012, {20,25,30,35,40,45,50,55,60,65,70,75,80,85}, 1), "20-24", "25-29", "30-34", "35-39", "40-44", "45-49", "50-54", "55-59", "60-64", "65-69", "70-74", "75-79", "80-84", "85+")</f>
        <v>30-34</v>
      </c>
      <c r="D2012" t="s">
        <v>8</v>
      </c>
    </row>
    <row r="2013" spans="1:4">
      <c r="A2013" t="s">
        <v>6</v>
      </c>
      <c r="B2013">
        <v>30</v>
      </c>
      <c r="C2013" t="str">
        <f>CHOOSE(MATCH(B2013, {20,25,30,35,40,45,50,55,60,65,70,75,80,85}, 1), "20-24", "25-29", "30-34", "35-39", "40-44", "45-49", "50-54", "55-59", "60-64", "65-69", "70-74", "75-79", "80-84", "85+")</f>
        <v>30-34</v>
      </c>
      <c r="D2013" t="s">
        <v>7</v>
      </c>
    </row>
    <row r="2014" spans="1:4">
      <c r="A2014" t="s">
        <v>6</v>
      </c>
      <c r="B2014">
        <v>27</v>
      </c>
      <c r="C2014" t="str">
        <f>CHOOSE(MATCH(B2014, {20,25,30,35,40,45,50,55,60,65,70,75,80,85}, 1), "20-24", "25-29", "30-34", "35-39", "40-44", "45-49", "50-54", "55-59", "60-64", "65-69", "70-74", "75-79", "80-84", "85+")</f>
        <v>25-29</v>
      </c>
      <c r="D2014" t="s">
        <v>8</v>
      </c>
    </row>
    <row r="2015" spans="1:4">
      <c r="A2015" t="s">
        <v>6</v>
      </c>
      <c r="B2015">
        <v>54</v>
      </c>
      <c r="C2015" t="str">
        <f>CHOOSE(MATCH(B2015, {20,25,30,35,40,45,50,55,60,65,70,75,80,85}, 1), "20-24", "25-29", "30-34", "35-39", "40-44", "45-49", "50-54", "55-59", "60-64", "65-69", "70-74", "75-79", "80-84", "85+")</f>
        <v>50-54</v>
      </c>
      <c r="D2015" t="s">
        <v>7</v>
      </c>
    </row>
    <row r="2016" spans="1:4">
      <c r="A2016" t="s">
        <v>6</v>
      </c>
      <c r="B2016">
        <v>51</v>
      </c>
      <c r="C2016" t="str">
        <f>CHOOSE(MATCH(B2016, {20,25,30,35,40,45,50,55,60,65,70,75,80,85}, 1), "20-24", "25-29", "30-34", "35-39", "40-44", "45-49", "50-54", "55-59", "60-64", "65-69", "70-74", "75-79", "80-84", "85+")</f>
        <v>50-54</v>
      </c>
      <c r="D2016" t="s">
        <v>8</v>
      </c>
    </row>
    <row r="2017" spans="1:4">
      <c r="A2017" t="s">
        <v>6</v>
      </c>
      <c r="B2017">
        <v>28</v>
      </c>
      <c r="C2017" t="str">
        <f>CHOOSE(MATCH(B2017, {20,25,30,35,40,45,50,55,60,65,70,75,80,85}, 1), "20-24", "25-29", "30-34", "35-39", "40-44", "45-49", "50-54", "55-59", "60-64", "65-69", "70-74", "75-79", "80-84", "85+")</f>
        <v>25-29</v>
      </c>
      <c r="D2017" t="s">
        <v>8</v>
      </c>
    </row>
    <row r="2018" spans="1:4">
      <c r="A2018" t="s">
        <v>6</v>
      </c>
      <c r="B2018">
        <v>48</v>
      </c>
      <c r="C2018" t="str">
        <f>CHOOSE(MATCH(B2018, {20,25,30,35,40,45,50,55,60,65,70,75,80,85}, 1), "20-24", "25-29", "30-34", "35-39", "40-44", "45-49", "50-54", "55-59", "60-64", "65-69", "70-74", "75-79", "80-84", "85+")</f>
        <v>45-49</v>
      </c>
      <c r="D2018" t="s">
        <v>7</v>
      </c>
    </row>
    <row r="2019" spans="1:4">
      <c r="A2019" t="s">
        <v>6</v>
      </c>
      <c r="B2019">
        <v>35</v>
      </c>
      <c r="C2019" t="str">
        <f>CHOOSE(MATCH(B2019, {20,25,30,35,40,45,50,55,60,65,70,75,80,85}, 1), "20-24", "25-29", "30-34", "35-39", "40-44", "45-49", "50-54", "55-59", "60-64", "65-69", "70-74", "75-79", "80-84", "85+")</f>
        <v>35-39</v>
      </c>
      <c r="D2019" t="s">
        <v>7</v>
      </c>
    </row>
    <row r="2020" spans="1:4">
      <c r="A2020" t="s">
        <v>6</v>
      </c>
      <c r="B2020">
        <v>54</v>
      </c>
      <c r="C2020" t="str">
        <f>CHOOSE(MATCH(B2020, {20,25,30,35,40,45,50,55,60,65,70,75,80,85}, 1), "20-24", "25-29", "30-34", "35-39", "40-44", "45-49", "50-54", "55-59", "60-64", "65-69", "70-74", "75-79", "80-84", "85+")</f>
        <v>50-54</v>
      </c>
      <c r="D2020" t="s">
        <v>8</v>
      </c>
    </row>
    <row r="2021" spans="1:4">
      <c r="A2021" t="s">
        <v>6</v>
      </c>
      <c r="B2021">
        <v>41</v>
      </c>
      <c r="C2021" t="str">
        <f>CHOOSE(MATCH(B2021, {20,25,30,35,40,45,50,55,60,65,70,75,80,85}, 1), "20-24", "25-29", "30-34", "35-39", "40-44", "45-49", "50-54", "55-59", "60-64", "65-69", "70-74", "75-79", "80-84", "85+")</f>
        <v>40-44</v>
      </c>
      <c r="D2021" t="s">
        <v>7</v>
      </c>
    </row>
    <row r="2022" spans="1:4">
      <c r="A2022" t="s">
        <v>6</v>
      </c>
      <c r="B2022">
        <v>38</v>
      </c>
      <c r="C2022" t="str">
        <f>CHOOSE(MATCH(B2022, {20,25,30,35,40,45,50,55,60,65,70,75,80,85}, 1), "20-24", "25-29", "30-34", "35-39", "40-44", "45-49", "50-54", "55-59", "60-64", "65-69", "70-74", "75-79", "80-84", "85+")</f>
        <v>35-39</v>
      </c>
      <c r="D2022" t="s">
        <v>8</v>
      </c>
    </row>
    <row r="2023" spans="1:4">
      <c r="A2023" t="s">
        <v>6</v>
      </c>
      <c r="B2023">
        <v>48</v>
      </c>
      <c r="C2023" t="str">
        <f>CHOOSE(MATCH(B2023, {20,25,30,35,40,45,50,55,60,65,70,75,80,85}, 1), "20-24", "25-29", "30-34", "35-39", "40-44", "45-49", "50-54", "55-59", "60-64", "65-69", "70-74", "75-79", "80-84", "85+")</f>
        <v>45-49</v>
      </c>
      <c r="D2023" t="s">
        <v>7</v>
      </c>
    </row>
    <row r="2024" spans="1:4">
      <c r="A2024" t="s">
        <v>6</v>
      </c>
      <c r="B2024">
        <v>25</v>
      </c>
      <c r="C2024" t="str">
        <f>CHOOSE(MATCH(B2024, {20,25,30,35,40,45,50,55,60,65,70,75,80,85}, 1), "20-24", "25-29", "30-34", "35-39", "40-44", "45-49", "50-54", "55-59", "60-64", "65-69", "70-74", "75-79", "80-84", "85+")</f>
        <v>25-29</v>
      </c>
      <c r="D2024" t="s">
        <v>8</v>
      </c>
    </row>
    <row r="2025" spans="1:4">
      <c r="A2025" t="s">
        <v>6</v>
      </c>
      <c r="B2025">
        <v>63</v>
      </c>
      <c r="C2025" t="str">
        <f>CHOOSE(MATCH(B2025, {20,25,30,35,40,45,50,55,60,65,70,75,80,85}, 1), "20-24", "25-29", "30-34", "35-39", "40-44", "45-49", "50-54", "55-59", "60-64", "65-69", "70-74", "75-79", "80-84", "85+")</f>
        <v>60-64</v>
      </c>
      <c r="D2025" t="s">
        <v>8</v>
      </c>
    </row>
    <row r="2026" spans="1:4">
      <c r="A2026" t="s">
        <v>6</v>
      </c>
      <c r="B2026">
        <v>34</v>
      </c>
      <c r="C2026" t="str">
        <f>CHOOSE(MATCH(B2026, {20,25,30,35,40,45,50,55,60,65,70,75,80,85}, 1), "20-24", "25-29", "30-34", "35-39", "40-44", "45-49", "50-54", "55-59", "60-64", "65-69", "70-74", "75-79", "80-84", "85+")</f>
        <v>30-34</v>
      </c>
      <c r="D2026" t="s">
        <v>7</v>
      </c>
    </row>
    <row r="2027" spans="1:4">
      <c r="A2027" t="s">
        <v>6</v>
      </c>
      <c r="B2027">
        <v>33</v>
      </c>
      <c r="C2027" t="str">
        <f>CHOOSE(MATCH(B2027, {20,25,30,35,40,45,50,55,60,65,70,75,80,85}, 1), "20-24", "25-29", "30-34", "35-39", "40-44", "45-49", "50-54", "55-59", "60-64", "65-69", "70-74", "75-79", "80-84", "85+")</f>
        <v>30-34</v>
      </c>
      <c r="D2027" t="s">
        <v>7</v>
      </c>
    </row>
    <row r="2028" spans="1:4">
      <c r="A2028" t="s">
        <v>6</v>
      </c>
      <c r="B2028">
        <v>30</v>
      </c>
      <c r="C2028" t="str">
        <f>CHOOSE(MATCH(B2028, {20,25,30,35,40,45,50,55,60,65,70,75,80,85}, 1), "20-24", "25-29", "30-34", "35-39", "40-44", "45-49", "50-54", "55-59", "60-64", "65-69", "70-74", "75-79", "80-84", "85+")</f>
        <v>30-34</v>
      </c>
      <c r="D2028" t="s">
        <v>8</v>
      </c>
    </row>
    <row r="2029" spans="1:4">
      <c r="A2029" t="s">
        <v>6</v>
      </c>
      <c r="B2029">
        <v>40</v>
      </c>
      <c r="C2029" t="str">
        <f>CHOOSE(MATCH(B2029, {20,25,30,35,40,45,50,55,60,65,70,75,80,85}, 1), "20-24", "25-29", "30-34", "35-39", "40-44", "45-49", "50-54", "55-59", "60-64", "65-69", "70-74", "75-79", "80-84", "85+")</f>
        <v>40-44</v>
      </c>
      <c r="D2029" t="s">
        <v>7</v>
      </c>
    </row>
    <row r="2030" spans="1:4">
      <c r="A2030" t="s">
        <v>6</v>
      </c>
      <c r="B2030">
        <v>34</v>
      </c>
      <c r="C2030" t="str">
        <f>CHOOSE(MATCH(B2030, {20,25,30,35,40,45,50,55,60,65,70,75,80,85}, 1), "20-24", "25-29", "30-34", "35-39", "40-44", "45-49", "50-54", "55-59", "60-64", "65-69", "70-74", "75-79", "80-84", "85+")</f>
        <v>30-34</v>
      </c>
      <c r="D2030" t="s">
        <v>7</v>
      </c>
    </row>
    <row r="2031" spans="1:4">
      <c r="A2031" t="s">
        <v>6</v>
      </c>
      <c r="B2031">
        <v>53</v>
      </c>
      <c r="C2031" t="str">
        <f>CHOOSE(MATCH(B2031, {20,25,30,35,40,45,50,55,60,65,70,75,80,85}, 1), "20-24", "25-29", "30-34", "35-39", "40-44", "45-49", "50-54", "55-59", "60-64", "65-69", "70-74", "75-79", "80-84", "85+")</f>
        <v>50-54</v>
      </c>
      <c r="D2031" t="s">
        <v>8</v>
      </c>
    </row>
    <row r="2032" spans="1:4">
      <c r="A2032" t="s">
        <v>6</v>
      </c>
      <c r="B2032">
        <v>59</v>
      </c>
      <c r="C2032" t="str">
        <f>CHOOSE(MATCH(B2032, {20,25,30,35,40,45,50,55,60,65,70,75,80,85}, 1), "20-24", "25-29", "30-34", "35-39", "40-44", "45-49", "50-54", "55-59", "60-64", "65-69", "70-74", "75-79", "80-84", "85+")</f>
        <v>55-59</v>
      </c>
      <c r="D2032" t="s">
        <v>7</v>
      </c>
    </row>
    <row r="2033" spans="1:4">
      <c r="A2033" t="s">
        <v>6</v>
      </c>
      <c r="B2033">
        <v>64</v>
      </c>
      <c r="C2033" t="str">
        <f>CHOOSE(MATCH(B2033, {20,25,30,35,40,45,50,55,60,65,70,75,80,85}, 1), "20-24", "25-29", "30-34", "35-39", "40-44", "45-49", "50-54", "55-59", "60-64", "65-69", "70-74", "75-79", "80-84", "85+")</f>
        <v>60-64</v>
      </c>
      <c r="D2033" t="s">
        <v>8</v>
      </c>
    </row>
    <row r="2034" spans="1:4">
      <c r="A2034" t="s">
        <v>6</v>
      </c>
      <c r="B2034">
        <v>51</v>
      </c>
      <c r="C2034" t="str">
        <f>CHOOSE(MATCH(B2034, {20,25,30,35,40,45,50,55,60,65,70,75,80,85}, 1), "20-24", "25-29", "30-34", "35-39", "40-44", "45-49", "50-54", "55-59", "60-64", "65-69", "70-74", "75-79", "80-84", "85+")</f>
        <v>50-54</v>
      </c>
      <c r="D2034" t="s">
        <v>8</v>
      </c>
    </row>
    <row r="2035" spans="1:4">
      <c r="A2035" t="s">
        <v>6</v>
      </c>
      <c r="B2035">
        <v>50</v>
      </c>
      <c r="C2035" t="str">
        <f>CHOOSE(MATCH(B2035, {20,25,30,35,40,45,50,55,60,65,70,75,80,85}, 1), "20-24", "25-29", "30-34", "35-39", "40-44", "45-49", "50-54", "55-59", "60-64", "65-69", "70-74", "75-79", "80-84", "85+")</f>
        <v>50-54</v>
      </c>
      <c r="D2035" t="s">
        <v>8</v>
      </c>
    </row>
    <row r="2036" spans="1:4">
      <c r="A2036" t="s">
        <v>6</v>
      </c>
      <c r="B2036">
        <v>56</v>
      </c>
      <c r="C2036" t="str">
        <f>CHOOSE(MATCH(B2036, {20,25,30,35,40,45,50,55,60,65,70,75,80,85}, 1), "20-24", "25-29", "30-34", "35-39", "40-44", "45-49", "50-54", "55-59", "60-64", "65-69", "70-74", "75-79", "80-84", "85+")</f>
        <v>55-59</v>
      </c>
      <c r="D2036" t="s">
        <v>8</v>
      </c>
    </row>
    <row r="2037" spans="1:4">
      <c r="A2037" t="s">
        <v>6</v>
      </c>
      <c r="B2037">
        <v>25</v>
      </c>
      <c r="C2037" t="str">
        <f>CHOOSE(MATCH(B2037, {20,25,30,35,40,45,50,55,60,65,70,75,80,85}, 1), "20-24", "25-29", "30-34", "35-39", "40-44", "45-49", "50-54", "55-59", "60-64", "65-69", "70-74", "75-79", "80-84", "85+")</f>
        <v>25-29</v>
      </c>
      <c r="D2037" t="s">
        <v>7</v>
      </c>
    </row>
    <row r="2038" spans="1:4">
      <c r="A2038" t="s">
        <v>6</v>
      </c>
      <c r="B2038">
        <v>31</v>
      </c>
      <c r="C2038" t="str">
        <f>CHOOSE(MATCH(B2038, {20,25,30,35,40,45,50,55,60,65,70,75,80,85}, 1), "20-24", "25-29", "30-34", "35-39", "40-44", "45-49", "50-54", "55-59", "60-64", "65-69", "70-74", "75-79", "80-84", "85+")</f>
        <v>30-34</v>
      </c>
      <c r="D2038" t="s">
        <v>7</v>
      </c>
    </row>
    <row r="2039" spans="1:4">
      <c r="A2039" t="s">
        <v>6</v>
      </c>
      <c r="B2039">
        <v>30</v>
      </c>
      <c r="C2039" t="str">
        <f>CHOOSE(MATCH(B2039, {20,25,30,35,40,45,50,55,60,65,70,75,80,85}, 1), "20-24", "25-29", "30-34", "35-39", "40-44", "45-49", "50-54", "55-59", "60-64", "65-69", "70-74", "75-79", "80-84", "85+")</f>
        <v>30-34</v>
      </c>
      <c r="D2039" t="s">
        <v>8</v>
      </c>
    </row>
    <row r="2040" spans="1:4">
      <c r="A2040" t="s">
        <v>6</v>
      </c>
      <c r="B2040">
        <v>49</v>
      </c>
      <c r="C2040" t="str">
        <f>CHOOSE(MATCH(B2040, {20,25,30,35,40,45,50,55,60,65,70,75,80,85}, 1), "20-24", "25-29", "30-34", "35-39", "40-44", "45-49", "50-54", "55-59", "60-64", "65-69", "70-74", "75-79", "80-84", "85+")</f>
        <v>45-49</v>
      </c>
      <c r="D2040" t="s">
        <v>7</v>
      </c>
    </row>
    <row r="2041" spans="1:4">
      <c r="A2041" t="s">
        <v>6</v>
      </c>
      <c r="B2041">
        <v>29</v>
      </c>
      <c r="C2041" t="str">
        <f>CHOOSE(MATCH(B2041, {20,25,30,35,40,45,50,55,60,65,70,75,80,85}, 1), "20-24", "25-29", "30-34", "35-39", "40-44", "45-49", "50-54", "55-59", "60-64", "65-69", "70-74", "75-79", "80-84", "85+")</f>
        <v>25-29</v>
      </c>
      <c r="D2041" t="s">
        <v>7</v>
      </c>
    </row>
    <row r="2042" spans="1:4">
      <c r="A2042" t="s">
        <v>6</v>
      </c>
      <c r="B2042">
        <v>29</v>
      </c>
      <c r="C2042" t="str">
        <f>CHOOSE(MATCH(B2042, {20,25,30,35,40,45,50,55,60,65,70,75,80,85}, 1), "20-24", "25-29", "30-34", "35-39", "40-44", "45-49", "50-54", "55-59", "60-64", "65-69", "70-74", "75-79", "80-84", "85+")</f>
        <v>25-29</v>
      </c>
      <c r="D2042" t="s">
        <v>7</v>
      </c>
    </row>
    <row r="2043" spans="1:4">
      <c r="A2043" t="s">
        <v>6</v>
      </c>
      <c r="B2043">
        <v>55</v>
      </c>
      <c r="C2043" t="str">
        <f>CHOOSE(MATCH(B2043, {20,25,30,35,40,45,50,55,60,65,70,75,80,85}, 1), "20-24", "25-29", "30-34", "35-39", "40-44", "45-49", "50-54", "55-59", "60-64", "65-69", "70-74", "75-79", "80-84", "85+")</f>
        <v>55-59</v>
      </c>
      <c r="D2043" t="s">
        <v>8</v>
      </c>
    </row>
    <row r="2044" spans="1:4">
      <c r="A2044" t="s">
        <v>6</v>
      </c>
      <c r="B2044">
        <v>32</v>
      </c>
      <c r="C2044" t="str">
        <f>CHOOSE(MATCH(B2044, {20,25,30,35,40,45,50,55,60,65,70,75,80,85}, 1), "20-24", "25-29", "30-34", "35-39", "40-44", "45-49", "50-54", "55-59", "60-64", "65-69", "70-74", "75-79", "80-84", "85+")</f>
        <v>30-34</v>
      </c>
      <c r="D2044" t="s">
        <v>8</v>
      </c>
    </row>
    <row r="2045" spans="1:4">
      <c r="A2045" t="s">
        <v>6</v>
      </c>
      <c r="B2045">
        <v>74</v>
      </c>
      <c r="C2045" t="str">
        <f>CHOOSE(MATCH(B2045, {20,25,30,35,40,45,50,55,60,65,70,75,80,85}, 1), "20-24", "25-29", "30-34", "35-39", "40-44", "45-49", "50-54", "55-59", "60-64", "65-69", "70-74", "75-79", "80-84", "85+")</f>
        <v>70-74</v>
      </c>
      <c r="D2045" t="s">
        <v>8</v>
      </c>
    </row>
    <row r="2046" spans="1:4">
      <c r="A2046" t="s">
        <v>6</v>
      </c>
      <c r="B2046">
        <v>65</v>
      </c>
      <c r="C2046" t="str">
        <f>CHOOSE(MATCH(B2046, {20,25,30,35,40,45,50,55,60,65,70,75,80,85}, 1), "20-24", "25-29", "30-34", "35-39", "40-44", "45-49", "50-54", "55-59", "60-64", "65-69", "70-74", "75-79", "80-84", "85+")</f>
        <v>65-69</v>
      </c>
      <c r="D2046" t="s">
        <v>7</v>
      </c>
    </row>
    <row r="2047" spans="1:4">
      <c r="A2047" t="s">
        <v>6</v>
      </c>
      <c r="B2047">
        <v>42</v>
      </c>
      <c r="C2047" t="str">
        <f>CHOOSE(MATCH(B2047, {20,25,30,35,40,45,50,55,60,65,70,75,80,85}, 1), "20-24", "25-29", "30-34", "35-39", "40-44", "45-49", "50-54", "55-59", "60-64", "65-69", "70-74", "75-79", "80-84", "85+")</f>
        <v>40-44</v>
      </c>
      <c r="D2047" t="s">
        <v>7</v>
      </c>
    </row>
    <row r="2048" spans="1:4">
      <c r="A2048" t="s">
        <v>6</v>
      </c>
      <c r="B2048">
        <v>36</v>
      </c>
      <c r="C2048" t="str">
        <f>CHOOSE(MATCH(B2048, {20,25,30,35,40,45,50,55,60,65,70,75,80,85}, 1), "20-24", "25-29", "30-34", "35-39", "40-44", "45-49", "50-54", "55-59", "60-64", "65-69", "70-74", "75-79", "80-84", "85+")</f>
        <v>35-39</v>
      </c>
      <c r="D2048" t="s">
        <v>7</v>
      </c>
    </row>
    <row r="2049" spans="1:4">
      <c r="A2049" t="s">
        <v>6</v>
      </c>
      <c r="B2049">
        <v>24</v>
      </c>
      <c r="C2049" t="str">
        <f>CHOOSE(MATCH(B2049, {20,25,30,35,40,45,50,55,60,65,70,75,80,85}, 1), "20-24", "25-29", "30-34", "35-39", "40-44", "45-49", "50-54", "55-59", "60-64", "65-69", "70-74", "75-79", "80-84", "85+")</f>
        <v>20-24</v>
      </c>
      <c r="D2049" t="s">
        <v>7</v>
      </c>
    </row>
    <row r="2050" spans="1:4">
      <c r="A2050" t="s">
        <v>6</v>
      </c>
      <c r="B2050">
        <v>48</v>
      </c>
      <c r="C2050" t="str">
        <f>CHOOSE(MATCH(B2050, {20,25,30,35,40,45,50,55,60,65,70,75,80,85}, 1), "20-24", "25-29", "30-34", "35-39", "40-44", "45-49", "50-54", "55-59", "60-64", "65-69", "70-74", "75-79", "80-84", "85+")</f>
        <v>45-49</v>
      </c>
      <c r="D2050" t="s">
        <v>7</v>
      </c>
    </row>
    <row r="2051" spans="1:4">
      <c r="A2051" t="s">
        <v>6</v>
      </c>
      <c r="B2051">
        <v>35</v>
      </c>
      <c r="C2051" t="str">
        <f>CHOOSE(MATCH(B2051, {20,25,30,35,40,45,50,55,60,65,70,75,80,85}, 1), "20-24", "25-29", "30-34", "35-39", "40-44", "45-49", "50-54", "55-59", "60-64", "65-69", "70-74", "75-79", "80-84", "85+")</f>
        <v>35-39</v>
      </c>
      <c r="D2051" t="s">
        <v>8</v>
      </c>
    </row>
    <row r="2052" spans="1:4">
      <c r="A2052" t="s">
        <v>6</v>
      </c>
      <c r="B2052">
        <v>32</v>
      </c>
      <c r="C2052" t="str">
        <f>CHOOSE(MATCH(B2052, {20,25,30,35,40,45,50,55,60,65,70,75,80,85}, 1), "20-24", "25-29", "30-34", "35-39", "40-44", "45-49", "50-54", "55-59", "60-64", "65-69", "70-74", "75-79", "80-84", "85+")</f>
        <v>30-34</v>
      </c>
      <c r="D2052" t="s">
        <v>8</v>
      </c>
    </row>
    <row r="2053" spans="1:4">
      <c r="A2053" t="s">
        <v>6</v>
      </c>
      <c r="B2053">
        <v>22</v>
      </c>
      <c r="C2053" t="str">
        <f>CHOOSE(MATCH(B2053, {20,25,30,35,40,45,50,55,60,65,70,75,80,85}, 1), "20-24", "25-29", "30-34", "35-39", "40-44", "45-49", "50-54", "55-59", "60-64", "65-69", "70-74", "75-79", "80-84", "85+")</f>
        <v>20-24</v>
      </c>
      <c r="D2053" t="s">
        <v>7</v>
      </c>
    </row>
    <row r="2054" spans="1:4">
      <c r="A2054" t="s">
        <v>6</v>
      </c>
      <c r="B2054">
        <v>39</v>
      </c>
      <c r="C2054" t="str">
        <f>CHOOSE(MATCH(B2054, {20,25,30,35,40,45,50,55,60,65,70,75,80,85}, 1), "20-24", "25-29", "30-34", "35-39", "40-44", "45-49", "50-54", "55-59", "60-64", "65-69", "70-74", "75-79", "80-84", "85+")</f>
        <v>35-39</v>
      </c>
      <c r="D2054" t="s">
        <v>7</v>
      </c>
    </row>
    <row r="2055" spans="1:4">
      <c r="A2055" t="s">
        <v>6</v>
      </c>
      <c r="B2055">
        <v>38</v>
      </c>
      <c r="C2055" t="str">
        <f>CHOOSE(MATCH(B2055, {20,25,30,35,40,45,50,55,60,65,70,75,80,85}, 1), "20-24", "25-29", "30-34", "35-39", "40-44", "45-49", "50-54", "55-59", "60-64", "65-69", "70-74", "75-79", "80-84", "85+")</f>
        <v>35-39</v>
      </c>
      <c r="D2055" t="s">
        <v>7</v>
      </c>
    </row>
    <row r="2056" spans="1:4">
      <c r="A2056" t="s">
        <v>6</v>
      </c>
      <c r="B2056">
        <v>36</v>
      </c>
      <c r="C2056" t="str">
        <f>CHOOSE(MATCH(B2056, {20,25,30,35,40,45,50,55,60,65,70,75,80,85}, 1), "20-24", "25-29", "30-34", "35-39", "40-44", "45-49", "50-54", "55-59", "60-64", "65-69", "70-74", "75-79", "80-84", "85+")</f>
        <v>35-39</v>
      </c>
      <c r="D2056" t="s">
        <v>7</v>
      </c>
    </row>
    <row r="2057" spans="1:4">
      <c r="A2057" t="s">
        <v>6</v>
      </c>
      <c r="B2057">
        <v>34</v>
      </c>
      <c r="C2057" t="str">
        <f>CHOOSE(MATCH(B2057, {20,25,30,35,40,45,50,55,60,65,70,75,80,85}, 1), "20-24", "25-29", "30-34", "35-39", "40-44", "45-49", "50-54", "55-59", "60-64", "65-69", "70-74", "75-79", "80-84", "85+")</f>
        <v>30-34</v>
      </c>
      <c r="D2057" t="s">
        <v>7</v>
      </c>
    </row>
    <row r="2058" spans="1:4">
      <c r="A2058" t="s">
        <v>6</v>
      </c>
      <c r="B2058">
        <v>30</v>
      </c>
      <c r="C2058" t="str">
        <f>CHOOSE(MATCH(B2058, {20,25,30,35,40,45,50,55,60,65,70,75,80,85}, 1), "20-24", "25-29", "30-34", "35-39", "40-44", "45-49", "50-54", "55-59", "60-64", "65-69", "70-74", "75-79", "80-84", "85+")</f>
        <v>30-34</v>
      </c>
      <c r="D2058" t="s">
        <v>7</v>
      </c>
    </row>
    <row r="2059" spans="1:4">
      <c r="A2059" t="s">
        <v>6</v>
      </c>
      <c r="B2059">
        <v>23</v>
      </c>
      <c r="C2059" t="str">
        <f>CHOOSE(MATCH(B2059, {20,25,30,35,40,45,50,55,60,65,70,75,80,85}, 1), "20-24", "25-29", "30-34", "35-39", "40-44", "45-49", "50-54", "55-59", "60-64", "65-69", "70-74", "75-79", "80-84", "85+")</f>
        <v>20-24</v>
      </c>
      <c r="D2059" t="s">
        <v>7</v>
      </c>
    </row>
    <row r="2060" spans="1:4">
      <c r="A2060" t="s">
        <v>6</v>
      </c>
      <c r="B2060">
        <v>34</v>
      </c>
      <c r="C2060" t="str">
        <f>CHOOSE(MATCH(B2060, {20,25,30,35,40,45,50,55,60,65,70,75,80,85}, 1), "20-24", "25-29", "30-34", "35-39", "40-44", "45-49", "50-54", "55-59", "60-64", "65-69", "70-74", "75-79", "80-84", "85+")</f>
        <v>30-34</v>
      </c>
      <c r="D2060" t="s">
        <v>8</v>
      </c>
    </row>
    <row r="2061" spans="1:4">
      <c r="A2061" t="s">
        <v>6</v>
      </c>
      <c r="B2061">
        <v>65</v>
      </c>
      <c r="C2061" t="str">
        <f>CHOOSE(MATCH(B2061, {20,25,30,35,40,45,50,55,60,65,70,75,80,85}, 1), "20-24", "25-29", "30-34", "35-39", "40-44", "45-49", "50-54", "55-59", "60-64", "65-69", "70-74", "75-79", "80-84", "85+")</f>
        <v>65-69</v>
      </c>
      <c r="D2061" t="s">
        <v>8</v>
      </c>
    </row>
    <row r="2062" spans="1:4">
      <c r="A2062" t="s">
        <v>6</v>
      </c>
      <c r="B2062">
        <v>29</v>
      </c>
      <c r="C2062" t="str">
        <f>CHOOSE(MATCH(B2062, {20,25,30,35,40,45,50,55,60,65,70,75,80,85}, 1), "20-24", "25-29", "30-34", "35-39", "40-44", "45-49", "50-54", "55-59", "60-64", "65-69", "70-74", "75-79", "80-84", "85+")</f>
        <v>25-29</v>
      </c>
      <c r="D2062" t="s">
        <v>7</v>
      </c>
    </row>
    <row r="2063" spans="1:4">
      <c r="A2063" t="s">
        <v>6</v>
      </c>
      <c r="B2063">
        <v>29</v>
      </c>
      <c r="C2063" t="str">
        <f>CHOOSE(MATCH(B2063, {20,25,30,35,40,45,50,55,60,65,70,75,80,85}, 1), "20-24", "25-29", "30-34", "35-39", "40-44", "45-49", "50-54", "55-59", "60-64", "65-69", "70-74", "75-79", "80-84", "85+")</f>
        <v>25-29</v>
      </c>
      <c r="D2063" t="s">
        <v>7</v>
      </c>
    </row>
    <row r="2064" spans="1:4">
      <c r="A2064" t="s">
        <v>6</v>
      </c>
      <c r="B2064">
        <v>38</v>
      </c>
      <c r="C2064" t="str">
        <f>CHOOSE(MATCH(B2064, {20,25,30,35,40,45,50,55,60,65,70,75,80,85}, 1), "20-24", "25-29", "30-34", "35-39", "40-44", "45-49", "50-54", "55-59", "60-64", "65-69", "70-74", "75-79", "80-84", "85+")</f>
        <v>35-39</v>
      </c>
      <c r="D2064" t="s">
        <v>7</v>
      </c>
    </row>
    <row r="2065" spans="1:4">
      <c r="A2065" t="s">
        <v>6</v>
      </c>
      <c r="B2065">
        <v>30</v>
      </c>
      <c r="C2065" t="str">
        <f>CHOOSE(MATCH(B2065, {20,25,30,35,40,45,50,55,60,65,70,75,80,85}, 1), "20-24", "25-29", "30-34", "35-39", "40-44", "45-49", "50-54", "55-59", "60-64", "65-69", "70-74", "75-79", "80-84", "85+")</f>
        <v>30-34</v>
      </c>
      <c r="D2065" t="s">
        <v>7</v>
      </c>
    </row>
    <row r="2066" spans="1:4">
      <c r="A2066" t="s">
        <v>6</v>
      </c>
      <c r="B2066">
        <v>30</v>
      </c>
      <c r="C2066" t="str">
        <f>CHOOSE(MATCH(B2066, {20,25,30,35,40,45,50,55,60,65,70,75,80,85}, 1), "20-24", "25-29", "30-34", "35-39", "40-44", "45-49", "50-54", "55-59", "60-64", "65-69", "70-74", "75-79", "80-84", "85+")</f>
        <v>30-34</v>
      </c>
      <c r="D2066" t="s">
        <v>8</v>
      </c>
    </row>
    <row r="2067" spans="1:4">
      <c r="A2067" t="s">
        <v>6</v>
      </c>
      <c r="B2067">
        <v>31</v>
      </c>
      <c r="C2067" t="str">
        <f>CHOOSE(MATCH(B2067, {20,25,30,35,40,45,50,55,60,65,70,75,80,85}, 1), "20-24", "25-29", "30-34", "35-39", "40-44", "45-49", "50-54", "55-59", "60-64", "65-69", "70-74", "75-79", "80-84", "85+")</f>
        <v>30-34</v>
      </c>
      <c r="D2067" t="s">
        <v>7</v>
      </c>
    </row>
    <row r="2068" spans="1:4">
      <c r="A2068" t="s">
        <v>6</v>
      </c>
      <c r="B2068">
        <v>25</v>
      </c>
      <c r="C2068" t="str">
        <f>CHOOSE(MATCH(B2068, {20,25,30,35,40,45,50,55,60,65,70,75,80,85}, 1), "20-24", "25-29", "30-34", "35-39", "40-44", "45-49", "50-54", "55-59", "60-64", "65-69", "70-74", "75-79", "80-84", "85+")</f>
        <v>25-29</v>
      </c>
      <c r="D2068" t="s">
        <v>7</v>
      </c>
    </row>
    <row r="2069" spans="1:4">
      <c r="A2069" t="s">
        <v>6</v>
      </c>
      <c r="B2069">
        <v>25</v>
      </c>
      <c r="C2069" t="str">
        <f>CHOOSE(MATCH(B2069, {20,25,30,35,40,45,50,55,60,65,70,75,80,85}, 1), "20-24", "25-29", "30-34", "35-39", "40-44", "45-49", "50-54", "55-59", "60-64", "65-69", "70-74", "75-79", "80-84", "85+")</f>
        <v>25-29</v>
      </c>
      <c r="D2069" t="s">
        <v>7</v>
      </c>
    </row>
    <row r="2070" spans="1:4">
      <c r="A2070" t="s">
        <v>6</v>
      </c>
      <c r="B2070">
        <v>30</v>
      </c>
      <c r="C2070" t="str">
        <f>CHOOSE(MATCH(B2070, {20,25,30,35,40,45,50,55,60,65,70,75,80,85}, 1), "20-24", "25-29", "30-34", "35-39", "40-44", "45-49", "50-54", "55-59", "60-64", "65-69", "70-74", "75-79", "80-84", "85+")</f>
        <v>30-34</v>
      </c>
      <c r="D2070" t="s">
        <v>7</v>
      </c>
    </row>
    <row r="2071" spans="1:4">
      <c r="A2071" t="s">
        <v>6</v>
      </c>
      <c r="B2071">
        <v>64</v>
      </c>
      <c r="C2071" t="str">
        <f>CHOOSE(MATCH(B2071, {20,25,30,35,40,45,50,55,60,65,70,75,80,85}, 1), "20-24", "25-29", "30-34", "35-39", "40-44", "45-49", "50-54", "55-59", "60-64", "65-69", "70-74", "75-79", "80-84", "85+")</f>
        <v>60-64</v>
      </c>
      <c r="D2071" t="s">
        <v>8</v>
      </c>
    </row>
    <row r="2072" spans="1:4">
      <c r="A2072" t="s">
        <v>6</v>
      </c>
      <c r="B2072">
        <v>67</v>
      </c>
      <c r="C2072" t="str">
        <f>CHOOSE(MATCH(B2072, {20,25,30,35,40,45,50,55,60,65,70,75,80,85}, 1), "20-24", "25-29", "30-34", "35-39", "40-44", "45-49", "50-54", "55-59", "60-64", "65-69", "70-74", "75-79", "80-84", "85+")</f>
        <v>65-69</v>
      </c>
      <c r="D2072" t="s">
        <v>8</v>
      </c>
    </row>
    <row r="2073" spans="1:4">
      <c r="A2073" t="s">
        <v>6</v>
      </c>
      <c r="B2073">
        <v>57</v>
      </c>
      <c r="C2073" t="str">
        <f>CHOOSE(MATCH(B2073, {20,25,30,35,40,45,50,55,60,65,70,75,80,85}, 1), "20-24", "25-29", "30-34", "35-39", "40-44", "45-49", "50-54", "55-59", "60-64", "65-69", "70-74", "75-79", "80-84", "85+")</f>
        <v>55-59</v>
      </c>
      <c r="D2073" t="s">
        <v>8</v>
      </c>
    </row>
    <row r="2074" spans="1:4">
      <c r="A2074" t="s">
        <v>6</v>
      </c>
      <c r="B2074">
        <v>53</v>
      </c>
      <c r="C2074" t="str">
        <f>CHOOSE(MATCH(B2074, {20,25,30,35,40,45,50,55,60,65,70,75,80,85}, 1), "20-24", "25-29", "30-34", "35-39", "40-44", "45-49", "50-54", "55-59", "60-64", "65-69", "70-74", "75-79", "80-84", "85+")</f>
        <v>50-54</v>
      </c>
      <c r="D2074" t="s">
        <v>8</v>
      </c>
    </row>
    <row r="2075" spans="1:4">
      <c r="A2075" t="s">
        <v>6</v>
      </c>
      <c r="B2075">
        <v>41</v>
      </c>
      <c r="C2075" t="str">
        <f>CHOOSE(MATCH(B2075, {20,25,30,35,40,45,50,55,60,65,70,75,80,85}, 1), "20-24", "25-29", "30-34", "35-39", "40-44", "45-49", "50-54", "55-59", "60-64", "65-69", "70-74", "75-79", "80-84", "85+")</f>
        <v>40-44</v>
      </c>
      <c r="D2075" t="s">
        <v>7</v>
      </c>
    </row>
    <row r="2076" spans="1:4">
      <c r="A2076" t="s">
        <v>6</v>
      </c>
      <c r="B2076">
        <v>58</v>
      </c>
      <c r="C2076" t="str">
        <f>CHOOSE(MATCH(B2076, {20,25,30,35,40,45,50,55,60,65,70,75,80,85}, 1), "20-24", "25-29", "30-34", "35-39", "40-44", "45-49", "50-54", "55-59", "60-64", "65-69", "70-74", "75-79", "80-84", "85+")</f>
        <v>55-59</v>
      </c>
      <c r="D2076" t="s">
        <v>8</v>
      </c>
    </row>
    <row r="2077" spans="1:4">
      <c r="A2077" t="s">
        <v>6</v>
      </c>
      <c r="B2077">
        <v>53</v>
      </c>
      <c r="C2077" t="str">
        <f>CHOOSE(MATCH(B2077, {20,25,30,35,40,45,50,55,60,65,70,75,80,85}, 1), "20-24", "25-29", "30-34", "35-39", "40-44", "45-49", "50-54", "55-59", "60-64", "65-69", "70-74", "75-79", "80-84", "85+")</f>
        <v>50-54</v>
      </c>
      <c r="D2077" t="s">
        <v>7</v>
      </c>
    </row>
    <row r="2078" spans="1:4">
      <c r="A2078" t="s">
        <v>6</v>
      </c>
      <c r="B2078">
        <v>25</v>
      </c>
      <c r="C2078" t="str">
        <f>CHOOSE(MATCH(B2078, {20,25,30,35,40,45,50,55,60,65,70,75,80,85}, 1), "20-24", "25-29", "30-34", "35-39", "40-44", "45-49", "50-54", "55-59", "60-64", "65-69", "70-74", "75-79", "80-84", "85+")</f>
        <v>25-29</v>
      </c>
      <c r="D2078" t="s">
        <v>7</v>
      </c>
    </row>
    <row r="2079" spans="1:4">
      <c r="A2079" t="s">
        <v>6</v>
      </c>
      <c r="B2079">
        <v>32</v>
      </c>
      <c r="C2079" t="str">
        <f>CHOOSE(MATCH(B2079, {20,25,30,35,40,45,50,55,60,65,70,75,80,85}, 1), "20-24", "25-29", "30-34", "35-39", "40-44", "45-49", "50-54", "55-59", "60-64", "65-69", "70-74", "75-79", "80-84", "85+")</f>
        <v>30-34</v>
      </c>
      <c r="D2079" t="s">
        <v>7</v>
      </c>
    </row>
    <row r="2080" spans="1:4">
      <c r="A2080" t="s">
        <v>6</v>
      </c>
      <c r="B2080">
        <v>36</v>
      </c>
      <c r="C2080" t="str">
        <f>CHOOSE(MATCH(B2080, {20,25,30,35,40,45,50,55,60,65,70,75,80,85}, 1), "20-24", "25-29", "30-34", "35-39", "40-44", "45-49", "50-54", "55-59", "60-64", "65-69", "70-74", "75-79", "80-84", "85+")</f>
        <v>35-39</v>
      </c>
      <c r="D2080" t="s">
        <v>8</v>
      </c>
    </row>
    <row r="2081" spans="1:4">
      <c r="A2081" t="s">
        <v>6</v>
      </c>
      <c r="B2081">
        <v>26</v>
      </c>
      <c r="C2081" t="str">
        <f>CHOOSE(MATCH(B2081, {20,25,30,35,40,45,50,55,60,65,70,75,80,85}, 1), "20-24", "25-29", "30-34", "35-39", "40-44", "45-49", "50-54", "55-59", "60-64", "65-69", "70-74", "75-79", "80-84", "85+")</f>
        <v>25-29</v>
      </c>
      <c r="D2081" t="s">
        <v>8</v>
      </c>
    </row>
    <row r="2082" spans="1:4">
      <c r="A2082" t="s">
        <v>6</v>
      </c>
      <c r="B2082">
        <v>54</v>
      </c>
      <c r="C2082" t="str">
        <f>CHOOSE(MATCH(B2082, {20,25,30,35,40,45,50,55,60,65,70,75,80,85}, 1), "20-24", "25-29", "30-34", "35-39", "40-44", "45-49", "50-54", "55-59", "60-64", "65-69", "70-74", "75-79", "80-84", "85+")</f>
        <v>50-54</v>
      </c>
      <c r="D2082" t="s">
        <v>7</v>
      </c>
    </row>
    <row r="2083" spans="1:4">
      <c r="A2083" t="s">
        <v>6</v>
      </c>
      <c r="B2083">
        <v>42</v>
      </c>
      <c r="C2083" t="str">
        <f>CHOOSE(MATCH(B2083, {20,25,30,35,40,45,50,55,60,65,70,75,80,85}, 1), "20-24", "25-29", "30-34", "35-39", "40-44", "45-49", "50-54", "55-59", "60-64", "65-69", "70-74", "75-79", "80-84", "85+")</f>
        <v>40-44</v>
      </c>
      <c r="D2083" t="s">
        <v>8</v>
      </c>
    </row>
    <row r="2084" spans="1:4">
      <c r="A2084" t="s">
        <v>6</v>
      </c>
      <c r="B2084">
        <v>64</v>
      </c>
      <c r="C2084" t="str">
        <f>CHOOSE(MATCH(B2084, {20,25,30,35,40,45,50,55,60,65,70,75,80,85}, 1), "20-24", "25-29", "30-34", "35-39", "40-44", "45-49", "50-54", "55-59", "60-64", "65-69", "70-74", "75-79", "80-84", "85+")</f>
        <v>60-64</v>
      </c>
      <c r="D2084" t="s">
        <v>7</v>
      </c>
    </row>
    <row r="2085" spans="1:4">
      <c r="A2085" t="s">
        <v>6</v>
      </c>
      <c r="B2085">
        <v>25</v>
      </c>
      <c r="C2085" t="str">
        <f>CHOOSE(MATCH(B2085, {20,25,30,35,40,45,50,55,60,65,70,75,80,85}, 1), "20-24", "25-29", "30-34", "35-39", "40-44", "45-49", "50-54", "55-59", "60-64", "65-69", "70-74", "75-79", "80-84", "85+")</f>
        <v>25-29</v>
      </c>
      <c r="D2085" t="s">
        <v>8</v>
      </c>
    </row>
    <row r="2086" spans="1:4">
      <c r="A2086" t="s">
        <v>6</v>
      </c>
      <c r="B2086">
        <v>32</v>
      </c>
      <c r="C2086" t="str">
        <f>CHOOSE(MATCH(B2086, {20,25,30,35,40,45,50,55,60,65,70,75,80,85}, 1), "20-24", "25-29", "30-34", "35-39", "40-44", "45-49", "50-54", "55-59", "60-64", "65-69", "70-74", "75-79", "80-84", "85+")</f>
        <v>30-34</v>
      </c>
      <c r="D2086" t="s">
        <v>7</v>
      </c>
    </row>
    <row r="2087" spans="1:4">
      <c r="A2087" t="s">
        <v>6</v>
      </c>
      <c r="B2087">
        <v>26</v>
      </c>
      <c r="C2087" t="str">
        <f>CHOOSE(MATCH(B2087, {20,25,30,35,40,45,50,55,60,65,70,75,80,85}, 1), "20-24", "25-29", "30-34", "35-39", "40-44", "45-49", "50-54", "55-59", "60-64", "65-69", "70-74", "75-79", "80-84", "85+")</f>
        <v>25-29</v>
      </c>
      <c r="D2087" t="s">
        <v>7</v>
      </c>
    </row>
    <row r="2088" spans="1:4">
      <c r="A2088" t="s">
        <v>6</v>
      </c>
      <c r="B2088">
        <v>41</v>
      </c>
      <c r="C2088" t="str">
        <f>CHOOSE(MATCH(B2088, {20,25,30,35,40,45,50,55,60,65,70,75,80,85}, 1), "20-24", "25-29", "30-34", "35-39", "40-44", "45-49", "50-54", "55-59", "60-64", "65-69", "70-74", "75-79", "80-84", "85+")</f>
        <v>40-44</v>
      </c>
      <c r="D2088" t="s">
        <v>8</v>
      </c>
    </row>
    <row r="2089" spans="1:4">
      <c r="A2089" t="s">
        <v>6</v>
      </c>
      <c r="B2089">
        <v>50</v>
      </c>
      <c r="C2089" t="str">
        <f>CHOOSE(MATCH(B2089, {20,25,30,35,40,45,50,55,60,65,70,75,80,85}, 1), "20-24", "25-29", "30-34", "35-39", "40-44", "45-49", "50-54", "55-59", "60-64", "65-69", "70-74", "75-79", "80-84", "85+")</f>
        <v>50-54</v>
      </c>
      <c r="D2089" t="s">
        <v>8</v>
      </c>
    </row>
    <row r="2090" spans="1:4">
      <c r="A2090" t="s">
        <v>6</v>
      </c>
      <c r="B2090">
        <v>31</v>
      </c>
      <c r="C2090" t="str">
        <f>CHOOSE(MATCH(B2090, {20,25,30,35,40,45,50,55,60,65,70,75,80,85}, 1), "20-24", "25-29", "30-34", "35-39", "40-44", "45-49", "50-54", "55-59", "60-64", "65-69", "70-74", "75-79", "80-84", "85+")</f>
        <v>30-34</v>
      </c>
      <c r="D2090" t="s">
        <v>7</v>
      </c>
    </row>
    <row r="2091" spans="1:4">
      <c r="A2091" t="s">
        <v>6</v>
      </c>
      <c r="B2091">
        <v>31</v>
      </c>
      <c r="C2091" t="str">
        <f>CHOOSE(MATCH(B2091, {20,25,30,35,40,45,50,55,60,65,70,75,80,85}, 1), "20-24", "25-29", "30-34", "35-39", "40-44", "45-49", "50-54", "55-59", "60-64", "65-69", "70-74", "75-79", "80-84", "85+")</f>
        <v>30-34</v>
      </c>
      <c r="D2091" t="s">
        <v>8</v>
      </c>
    </row>
    <row r="2092" spans="1:4">
      <c r="A2092" t="s">
        <v>6</v>
      </c>
      <c r="B2092">
        <v>37</v>
      </c>
      <c r="C2092" t="str">
        <f>CHOOSE(MATCH(B2092, {20,25,30,35,40,45,50,55,60,65,70,75,80,85}, 1), "20-24", "25-29", "30-34", "35-39", "40-44", "45-49", "50-54", "55-59", "60-64", "65-69", "70-74", "75-79", "80-84", "85+")</f>
        <v>35-39</v>
      </c>
      <c r="D2092" t="s">
        <v>7</v>
      </c>
    </row>
    <row r="2093" spans="1:4">
      <c r="A2093" t="s">
        <v>6</v>
      </c>
      <c r="B2093">
        <v>47</v>
      </c>
      <c r="C2093" t="str">
        <f>CHOOSE(MATCH(B2093, {20,25,30,35,40,45,50,55,60,65,70,75,80,85}, 1), "20-24", "25-29", "30-34", "35-39", "40-44", "45-49", "50-54", "55-59", "60-64", "65-69", "70-74", "75-79", "80-84", "85+")</f>
        <v>45-49</v>
      </c>
      <c r="D2093" t="s">
        <v>7</v>
      </c>
    </row>
    <row r="2094" spans="1:4">
      <c r="A2094" t="s">
        <v>6</v>
      </c>
      <c r="B2094">
        <v>49</v>
      </c>
      <c r="C2094" t="str">
        <f>CHOOSE(MATCH(B2094, {20,25,30,35,40,45,50,55,60,65,70,75,80,85}, 1), "20-24", "25-29", "30-34", "35-39", "40-44", "45-49", "50-54", "55-59", "60-64", "65-69", "70-74", "75-79", "80-84", "85+")</f>
        <v>45-49</v>
      </c>
      <c r="D2094" t="s">
        <v>8</v>
      </c>
    </row>
    <row r="2095" spans="1:4">
      <c r="A2095" t="s">
        <v>6</v>
      </c>
      <c r="B2095">
        <v>51</v>
      </c>
      <c r="C2095" t="str">
        <f>CHOOSE(MATCH(B2095, {20,25,30,35,40,45,50,55,60,65,70,75,80,85}, 1), "20-24", "25-29", "30-34", "35-39", "40-44", "45-49", "50-54", "55-59", "60-64", "65-69", "70-74", "75-79", "80-84", "85+")</f>
        <v>50-54</v>
      </c>
      <c r="D2095" t="s">
        <v>7</v>
      </c>
    </row>
    <row r="2096" spans="1:4">
      <c r="A2096" t="s">
        <v>6</v>
      </c>
      <c r="B2096">
        <v>59</v>
      </c>
      <c r="C2096" t="str">
        <f>CHOOSE(MATCH(B2096, {20,25,30,35,40,45,50,55,60,65,70,75,80,85}, 1), "20-24", "25-29", "30-34", "35-39", "40-44", "45-49", "50-54", "55-59", "60-64", "65-69", "70-74", "75-79", "80-84", "85+")</f>
        <v>55-59</v>
      </c>
      <c r="D2096" t="s">
        <v>7</v>
      </c>
    </row>
    <row r="2097" spans="1:4">
      <c r="A2097" t="s">
        <v>6</v>
      </c>
      <c r="B2097">
        <v>48</v>
      </c>
      <c r="C2097" t="str">
        <f>CHOOSE(MATCH(B2097, {20,25,30,35,40,45,50,55,60,65,70,75,80,85}, 1), "20-24", "25-29", "30-34", "35-39", "40-44", "45-49", "50-54", "55-59", "60-64", "65-69", "70-74", "75-79", "80-84", "85+")</f>
        <v>45-49</v>
      </c>
      <c r="D2097" t="s">
        <v>8</v>
      </c>
    </row>
    <row r="2098" spans="1:4">
      <c r="A2098" t="s">
        <v>6</v>
      </c>
      <c r="B2098">
        <v>65</v>
      </c>
      <c r="C2098" t="str">
        <f>CHOOSE(MATCH(B2098, {20,25,30,35,40,45,50,55,60,65,70,75,80,85}, 1), "20-24", "25-29", "30-34", "35-39", "40-44", "45-49", "50-54", "55-59", "60-64", "65-69", "70-74", "75-79", "80-84", "85+")</f>
        <v>65-69</v>
      </c>
      <c r="D2098" t="s">
        <v>8</v>
      </c>
    </row>
    <row r="2099" spans="1:4">
      <c r="A2099" t="s">
        <v>6</v>
      </c>
      <c r="B2099">
        <v>54</v>
      </c>
      <c r="C2099" t="str">
        <f>CHOOSE(MATCH(B2099, {20,25,30,35,40,45,50,55,60,65,70,75,80,85}, 1), "20-24", "25-29", "30-34", "35-39", "40-44", "45-49", "50-54", "55-59", "60-64", "65-69", "70-74", "75-79", "80-84", "85+")</f>
        <v>50-54</v>
      </c>
      <c r="D2099" t="s">
        <v>8</v>
      </c>
    </row>
    <row r="2100" spans="1:4">
      <c r="A2100" t="s">
        <v>6</v>
      </c>
      <c r="B2100">
        <v>38</v>
      </c>
      <c r="C2100" t="str">
        <f>CHOOSE(MATCH(B2100, {20,25,30,35,40,45,50,55,60,65,70,75,80,85}, 1), "20-24", "25-29", "30-34", "35-39", "40-44", "45-49", "50-54", "55-59", "60-64", "65-69", "70-74", "75-79", "80-84", "85+")</f>
        <v>35-39</v>
      </c>
      <c r="D2100" t="s">
        <v>8</v>
      </c>
    </row>
    <row r="2101" spans="1:4">
      <c r="A2101" t="s">
        <v>6</v>
      </c>
      <c r="B2101">
        <v>49</v>
      </c>
      <c r="C2101" t="str">
        <f>CHOOSE(MATCH(B2101, {20,25,30,35,40,45,50,55,60,65,70,75,80,85}, 1), "20-24", "25-29", "30-34", "35-39", "40-44", "45-49", "50-54", "55-59", "60-64", "65-69", "70-74", "75-79", "80-84", "85+")</f>
        <v>45-49</v>
      </c>
      <c r="D2101" t="s">
        <v>8</v>
      </c>
    </row>
    <row r="2102" spans="1:4">
      <c r="A2102" t="s">
        <v>6</v>
      </c>
      <c r="B2102">
        <v>47</v>
      </c>
      <c r="C2102" t="str">
        <f>CHOOSE(MATCH(B2102, {20,25,30,35,40,45,50,55,60,65,70,75,80,85}, 1), "20-24", "25-29", "30-34", "35-39", "40-44", "45-49", "50-54", "55-59", "60-64", "65-69", "70-74", "75-79", "80-84", "85+")</f>
        <v>45-49</v>
      </c>
      <c r="D2102" t="s">
        <v>8</v>
      </c>
    </row>
    <row r="2103" spans="1:4">
      <c r="A2103" t="s">
        <v>6</v>
      </c>
      <c r="B2103">
        <v>33</v>
      </c>
      <c r="C2103" t="str">
        <f>CHOOSE(MATCH(B2103, {20,25,30,35,40,45,50,55,60,65,70,75,80,85}, 1), "20-24", "25-29", "30-34", "35-39", "40-44", "45-49", "50-54", "55-59", "60-64", "65-69", "70-74", "75-79", "80-84", "85+")</f>
        <v>30-34</v>
      </c>
      <c r="D2103" t="s">
        <v>8</v>
      </c>
    </row>
    <row r="2104" spans="1:4">
      <c r="A2104" t="s">
        <v>6</v>
      </c>
      <c r="B2104">
        <v>34</v>
      </c>
      <c r="C2104" t="str">
        <f>CHOOSE(MATCH(B2104, {20,25,30,35,40,45,50,55,60,65,70,75,80,85}, 1), "20-24", "25-29", "30-34", "35-39", "40-44", "45-49", "50-54", "55-59", "60-64", "65-69", "70-74", "75-79", "80-84", "85+")</f>
        <v>30-34</v>
      </c>
      <c r="D2104" t="s">
        <v>7</v>
      </c>
    </row>
    <row r="2105" spans="1:4">
      <c r="A2105" t="s">
        <v>6</v>
      </c>
      <c r="B2105">
        <v>29</v>
      </c>
      <c r="C2105" t="str">
        <f>CHOOSE(MATCH(B2105, {20,25,30,35,40,45,50,55,60,65,70,75,80,85}, 1), "20-24", "25-29", "30-34", "35-39", "40-44", "45-49", "50-54", "55-59", "60-64", "65-69", "70-74", "75-79", "80-84", "85+")</f>
        <v>25-29</v>
      </c>
      <c r="D2105" t="s">
        <v>7</v>
      </c>
    </row>
    <row r="2106" spans="1:4">
      <c r="A2106" t="s">
        <v>6</v>
      </c>
      <c r="B2106">
        <v>46</v>
      </c>
      <c r="C2106" t="str">
        <f>CHOOSE(MATCH(B2106, {20,25,30,35,40,45,50,55,60,65,70,75,80,85}, 1), "20-24", "25-29", "30-34", "35-39", "40-44", "45-49", "50-54", "55-59", "60-64", "65-69", "70-74", "75-79", "80-84", "85+")</f>
        <v>45-49</v>
      </c>
      <c r="D2106" t="s">
        <v>7</v>
      </c>
    </row>
    <row r="2107" spans="1:4">
      <c r="A2107" t="s">
        <v>6</v>
      </c>
      <c r="B2107">
        <v>41</v>
      </c>
      <c r="C2107" t="str">
        <f>CHOOSE(MATCH(B2107, {20,25,30,35,40,45,50,55,60,65,70,75,80,85}, 1), "20-24", "25-29", "30-34", "35-39", "40-44", "45-49", "50-54", "55-59", "60-64", "65-69", "70-74", "75-79", "80-84", "85+")</f>
        <v>40-44</v>
      </c>
      <c r="D2107" t="s">
        <v>7</v>
      </c>
    </row>
    <row r="2108" spans="1:4">
      <c r="A2108" t="s">
        <v>6</v>
      </c>
      <c r="B2108">
        <v>27</v>
      </c>
      <c r="C2108" t="str">
        <f>CHOOSE(MATCH(B2108, {20,25,30,35,40,45,50,55,60,65,70,75,80,85}, 1), "20-24", "25-29", "30-34", "35-39", "40-44", "45-49", "50-54", "55-59", "60-64", "65-69", "70-74", "75-79", "80-84", "85+")</f>
        <v>25-29</v>
      </c>
      <c r="D2108" t="s">
        <v>8</v>
      </c>
    </row>
    <row r="2109" spans="1:4">
      <c r="A2109" t="s">
        <v>6</v>
      </c>
      <c r="B2109">
        <v>23</v>
      </c>
      <c r="C2109" t="str">
        <f>CHOOSE(MATCH(B2109, {20,25,30,35,40,45,50,55,60,65,70,75,80,85}, 1), "20-24", "25-29", "30-34", "35-39", "40-44", "45-49", "50-54", "55-59", "60-64", "65-69", "70-74", "75-79", "80-84", "85+")</f>
        <v>20-24</v>
      </c>
      <c r="D2109" t="s">
        <v>7</v>
      </c>
    </row>
    <row r="2110" spans="1:4">
      <c r="A2110" t="s">
        <v>6</v>
      </c>
      <c r="B2110">
        <v>26</v>
      </c>
      <c r="C2110" t="str">
        <f>CHOOSE(MATCH(B2110, {20,25,30,35,40,45,50,55,60,65,70,75,80,85}, 1), "20-24", "25-29", "30-34", "35-39", "40-44", "45-49", "50-54", "55-59", "60-64", "65-69", "70-74", "75-79", "80-84", "85+")</f>
        <v>25-29</v>
      </c>
      <c r="D2110" t="s">
        <v>7</v>
      </c>
    </row>
    <row r="2111" spans="1:4">
      <c r="A2111" t="s">
        <v>6</v>
      </c>
      <c r="B2111">
        <v>33</v>
      </c>
      <c r="C2111" t="str">
        <f>CHOOSE(MATCH(B2111, {20,25,30,35,40,45,50,55,60,65,70,75,80,85}, 1), "20-24", "25-29", "30-34", "35-39", "40-44", "45-49", "50-54", "55-59", "60-64", "65-69", "70-74", "75-79", "80-84", "85+")</f>
        <v>30-34</v>
      </c>
      <c r="D2111" t="s">
        <v>7</v>
      </c>
    </row>
    <row r="2112" spans="1:4">
      <c r="A2112" t="s">
        <v>6</v>
      </c>
      <c r="B2112">
        <v>42</v>
      </c>
      <c r="C2112" t="str">
        <f>CHOOSE(MATCH(B2112, {20,25,30,35,40,45,50,55,60,65,70,75,80,85}, 1), "20-24", "25-29", "30-34", "35-39", "40-44", "45-49", "50-54", "55-59", "60-64", "65-69", "70-74", "75-79", "80-84", "85+")</f>
        <v>40-44</v>
      </c>
      <c r="D2112" t="s">
        <v>7</v>
      </c>
    </row>
    <row r="2113" spans="1:4">
      <c r="A2113" t="s">
        <v>6</v>
      </c>
      <c r="B2113">
        <v>61</v>
      </c>
      <c r="C2113" t="str">
        <f>CHOOSE(MATCH(B2113, {20,25,30,35,40,45,50,55,60,65,70,75,80,85}, 1), "20-24", "25-29", "30-34", "35-39", "40-44", "45-49", "50-54", "55-59", "60-64", "65-69", "70-74", "75-79", "80-84", "85+")</f>
        <v>60-64</v>
      </c>
      <c r="D2113" t="s">
        <v>8</v>
      </c>
    </row>
    <row r="2114" spans="1:4">
      <c r="A2114" t="s">
        <v>6</v>
      </c>
      <c r="B2114">
        <v>42</v>
      </c>
      <c r="C2114" t="str">
        <f>CHOOSE(MATCH(B2114, {20,25,30,35,40,45,50,55,60,65,70,75,80,85}, 1), "20-24", "25-29", "30-34", "35-39", "40-44", "45-49", "50-54", "55-59", "60-64", "65-69", "70-74", "75-79", "80-84", "85+")</f>
        <v>40-44</v>
      </c>
      <c r="D2114" t="s">
        <v>7</v>
      </c>
    </row>
    <row r="2115" spans="1:4">
      <c r="A2115" t="s">
        <v>6</v>
      </c>
      <c r="B2115">
        <v>34</v>
      </c>
      <c r="C2115" t="str">
        <f>CHOOSE(MATCH(B2115, {20,25,30,35,40,45,50,55,60,65,70,75,80,85}, 1), "20-24", "25-29", "30-34", "35-39", "40-44", "45-49", "50-54", "55-59", "60-64", "65-69", "70-74", "75-79", "80-84", "85+")</f>
        <v>30-34</v>
      </c>
      <c r="D2115" t="s">
        <v>8</v>
      </c>
    </row>
    <row r="2116" spans="1:4">
      <c r="A2116" t="s">
        <v>6</v>
      </c>
      <c r="B2116">
        <v>46</v>
      </c>
      <c r="C2116" t="str">
        <f>CHOOSE(MATCH(B2116, {20,25,30,35,40,45,50,55,60,65,70,75,80,85}, 1), "20-24", "25-29", "30-34", "35-39", "40-44", "45-49", "50-54", "55-59", "60-64", "65-69", "70-74", "75-79", "80-84", "85+")</f>
        <v>45-49</v>
      </c>
      <c r="D2116" t="s">
        <v>8</v>
      </c>
    </row>
    <row r="2117" spans="1:4">
      <c r="A2117" t="s">
        <v>6</v>
      </c>
      <c r="B2117">
        <v>23</v>
      </c>
      <c r="C2117" t="str">
        <f>CHOOSE(MATCH(B2117, {20,25,30,35,40,45,50,55,60,65,70,75,80,85}, 1), "20-24", "25-29", "30-34", "35-39", "40-44", "45-49", "50-54", "55-59", "60-64", "65-69", "70-74", "75-79", "80-84", "85+")</f>
        <v>20-24</v>
      </c>
      <c r="D2117" t="s">
        <v>7</v>
      </c>
    </row>
    <row r="2118" spans="1:4">
      <c r="A2118" t="s">
        <v>6</v>
      </c>
      <c r="B2118">
        <v>42</v>
      </c>
      <c r="C2118" t="str">
        <f>CHOOSE(MATCH(B2118, {20,25,30,35,40,45,50,55,60,65,70,75,80,85}, 1), "20-24", "25-29", "30-34", "35-39", "40-44", "45-49", "50-54", "55-59", "60-64", "65-69", "70-74", "75-79", "80-84", "85+")</f>
        <v>40-44</v>
      </c>
      <c r="D2118" t="s">
        <v>7</v>
      </c>
    </row>
    <row r="2119" spans="1:4">
      <c r="A2119" t="s">
        <v>6</v>
      </c>
      <c r="B2119">
        <v>29</v>
      </c>
      <c r="C2119" t="str">
        <f>CHOOSE(MATCH(B2119, {20,25,30,35,40,45,50,55,60,65,70,75,80,85}, 1), "20-24", "25-29", "30-34", "35-39", "40-44", "45-49", "50-54", "55-59", "60-64", "65-69", "70-74", "75-79", "80-84", "85+")</f>
        <v>25-29</v>
      </c>
      <c r="D2119" t="s">
        <v>7</v>
      </c>
    </row>
    <row r="2120" spans="1:4">
      <c r="A2120" t="s">
        <v>6</v>
      </c>
      <c r="B2120">
        <v>56</v>
      </c>
      <c r="C2120" t="str">
        <f>CHOOSE(MATCH(B2120, {20,25,30,35,40,45,50,55,60,65,70,75,80,85}, 1), "20-24", "25-29", "30-34", "35-39", "40-44", "45-49", "50-54", "55-59", "60-64", "65-69", "70-74", "75-79", "80-84", "85+")</f>
        <v>55-59</v>
      </c>
      <c r="D2120" t="s">
        <v>7</v>
      </c>
    </row>
    <row r="2121" spans="1:4">
      <c r="A2121" t="s">
        <v>6</v>
      </c>
      <c r="B2121">
        <v>49</v>
      </c>
      <c r="C2121" t="str">
        <f>CHOOSE(MATCH(B2121, {20,25,30,35,40,45,50,55,60,65,70,75,80,85}, 1), "20-24", "25-29", "30-34", "35-39", "40-44", "45-49", "50-54", "55-59", "60-64", "65-69", "70-74", "75-79", "80-84", "85+")</f>
        <v>45-49</v>
      </c>
      <c r="D2121" t="s">
        <v>7</v>
      </c>
    </row>
    <row r="2122" spans="1:4">
      <c r="A2122" t="s">
        <v>6</v>
      </c>
      <c r="B2122">
        <v>66</v>
      </c>
      <c r="C2122" t="str">
        <f>CHOOSE(MATCH(B2122, {20,25,30,35,40,45,50,55,60,65,70,75,80,85}, 1), "20-24", "25-29", "30-34", "35-39", "40-44", "45-49", "50-54", "55-59", "60-64", "65-69", "70-74", "75-79", "80-84", "85+")</f>
        <v>65-69</v>
      </c>
      <c r="D2122" t="s">
        <v>8</v>
      </c>
    </row>
    <row r="2123" spans="1:4">
      <c r="A2123" t="s">
        <v>6</v>
      </c>
      <c r="B2123">
        <v>38</v>
      </c>
      <c r="C2123" t="str">
        <f>CHOOSE(MATCH(B2123, {20,25,30,35,40,45,50,55,60,65,70,75,80,85}, 1), "20-24", "25-29", "30-34", "35-39", "40-44", "45-49", "50-54", "55-59", "60-64", "65-69", "70-74", "75-79", "80-84", "85+")</f>
        <v>35-39</v>
      </c>
      <c r="D2123" t="s">
        <v>8</v>
      </c>
    </row>
    <row r="2124" spans="1:4">
      <c r="A2124" t="s">
        <v>6</v>
      </c>
      <c r="B2124">
        <v>47</v>
      </c>
      <c r="C2124" t="str">
        <f>CHOOSE(MATCH(B2124, {20,25,30,35,40,45,50,55,60,65,70,75,80,85}, 1), "20-24", "25-29", "30-34", "35-39", "40-44", "45-49", "50-54", "55-59", "60-64", "65-69", "70-74", "75-79", "80-84", "85+")</f>
        <v>45-49</v>
      </c>
      <c r="D2124" t="s">
        <v>8</v>
      </c>
    </row>
    <row r="2125" spans="1:4">
      <c r="A2125" t="s">
        <v>6</v>
      </c>
      <c r="B2125">
        <v>84</v>
      </c>
      <c r="C2125" t="str">
        <f>CHOOSE(MATCH(B2125, {20,25,30,35,40,45,50,55,60,65,70,75,80,85}, 1), "20-24", "25-29", "30-34", "35-39", "40-44", "45-49", "50-54", "55-59", "60-64", "65-69", "70-74", "75-79", "80-84", "85+")</f>
        <v>80-84</v>
      </c>
      <c r="D2125" t="s">
        <v>8</v>
      </c>
    </row>
    <row r="2126" spans="1:4">
      <c r="A2126" t="s">
        <v>6</v>
      </c>
      <c r="B2126">
        <v>64</v>
      </c>
      <c r="C2126" t="str">
        <f>CHOOSE(MATCH(B2126, {20,25,30,35,40,45,50,55,60,65,70,75,80,85}, 1), "20-24", "25-29", "30-34", "35-39", "40-44", "45-49", "50-54", "55-59", "60-64", "65-69", "70-74", "75-79", "80-84", "85+")</f>
        <v>60-64</v>
      </c>
      <c r="D2126" t="s">
        <v>8</v>
      </c>
    </row>
    <row r="2127" spans="1:4">
      <c r="A2127" t="s">
        <v>6</v>
      </c>
      <c r="B2127">
        <v>60</v>
      </c>
      <c r="C2127" t="str">
        <f>CHOOSE(MATCH(B2127, {20,25,30,35,40,45,50,55,60,65,70,75,80,85}, 1), "20-24", "25-29", "30-34", "35-39", "40-44", "45-49", "50-54", "55-59", "60-64", "65-69", "70-74", "75-79", "80-84", "85+")</f>
        <v>60-64</v>
      </c>
      <c r="D2127" t="s">
        <v>7</v>
      </c>
    </row>
    <row r="2128" spans="1:4">
      <c r="A2128" t="s">
        <v>6</v>
      </c>
      <c r="B2128">
        <v>49</v>
      </c>
      <c r="C2128" t="str">
        <f>CHOOSE(MATCH(B2128, {20,25,30,35,40,45,50,55,60,65,70,75,80,85}, 1), "20-24", "25-29", "30-34", "35-39", "40-44", "45-49", "50-54", "55-59", "60-64", "65-69", "70-74", "75-79", "80-84", "85+")</f>
        <v>45-49</v>
      </c>
      <c r="D2128" t="s">
        <v>7</v>
      </c>
    </row>
    <row r="2129" spans="1:4">
      <c r="A2129" t="s">
        <v>6</v>
      </c>
      <c r="B2129">
        <v>53</v>
      </c>
      <c r="C2129" t="str">
        <f>CHOOSE(MATCH(B2129, {20,25,30,35,40,45,50,55,60,65,70,75,80,85}, 1), "20-24", "25-29", "30-34", "35-39", "40-44", "45-49", "50-54", "55-59", "60-64", "65-69", "70-74", "75-79", "80-84", "85+")</f>
        <v>50-54</v>
      </c>
      <c r="D2129" t="s">
        <v>8</v>
      </c>
    </row>
    <row r="2130" spans="1:4">
      <c r="A2130" t="s">
        <v>6</v>
      </c>
      <c r="B2130">
        <v>20</v>
      </c>
      <c r="C2130" t="str">
        <f>CHOOSE(MATCH(B2130, {20,25,30,35,40,45,50,55,60,65,70,75,80,85}, 1), "20-24", "25-29", "30-34", "35-39", "40-44", "45-49", "50-54", "55-59", "60-64", "65-69", "70-74", "75-79", "80-84", "85+")</f>
        <v>20-24</v>
      </c>
      <c r="D2130" t="s">
        <v>7</v>
      </c>
    </row>
    <row r="2131" spans="1:4">
      <c r="A2131" t="s">
        <v>6</v>
      </c>
      <c r="B2131">
        <v>30</v>
      </c>
      <c r="C2131" t="str">
        <f>CHOOSE(MATCH(B2131, {20,25,30,35,40,45,50,55,60,65,70,75,80,85}, 1), "20-24", "25-29", "30-34", "35-39", "40-44", "45-49", "50-54", "55-59", "60-64", "65-69", "70-74", "75-79", "80-84", "85+")</f>
        <v>30-34</v>
      </c>
      <c r="D2131" t="s">
        <v>7</v>
      </c>
    </row>
    <row r="2132" spans="1:4">
      <c r="A2132" t="s">
        <v>6</v>
      </c>
      <c r="B2132">
        <v>65</v>
      </c>
      <c r="C2132" t="str">
        <f>CHOOSE(MATCH(B2132, {20,25,30,35,40,45,50,55,60,65,70,75,80,85}, 1), "20-24", "25-29", "30-34", "35-39", "40-44", "45-49", "50-54", "55-59", "60-64", "65-69", "70-74", "75-79", "80-84", "85+")</f>
        <v>65-69</v>
      </c>
      <c r="D2132" t="s">
        <v>7</v>
      </c>
    </row>
    <row r="2133" spans="1:4">
      <c r="A2133" t="s">
        <v>6</v>
      </c>
      <c r="B2133">
        <v>34</v>
      </c>
      <c r="C2133" t="str">
        <f>CHOOSE(MATCH(B2133, {20,25,30,35,40,45,50,55,60,65,70,75,80,85}, 1), "20-24", "25-29", "30-34", "35-39", "40-44", "45-49", "50-54", "55-59", "60-64", "65-69", "70-74", "75-79", "80-84", "85+")</f>
        <v>30-34</v>
      </c>
      <c r="D2133" t="s">
        <v>8</v>
      </c>
    </row>
    <row r="2134" spans="1:4">
      <c r="A2134" t="s">
        <v>6</v>
      </c>
      <c r="B2134">
        <v>38</v>
      </c>
      <c r="C2134" t="str">
        <f>CHOOSE(MATCH(B2134, {20,25,30,35,40,45,50,55,60,65,70,75,80,85}, 1), "20-24", "25-29", "30-34", "35-39", "40-44", "45-49", "50-54", "55-59", "60-64", "65-69", "70-74", "75-79", "80-84", "85+")</f>
        <v>35-39</v>
      </c>
      <c r="D2134" t="s">
        <v>8</v>
      </c>
    </row>
    <row r="2135" spans="1:4">
      <c r="A2135" t="s">
        <v>6</v>
      </c>
      <c r="B2135">
        <v>26</v>
      </c>
      <c r="C2135" t="str">
        <f>CHOOSE(MATCH(B2135, {20,25,30,35,40,45,50,55,60,65,70,75,80,85}, 1), "20-24", "25-29", "30-34", "35-39", "40-44", "45-49", "50-54", "55-59", "60-64", "65-69", "70-74", "75-79", "80-84", "85+")</f>
        <v>25-29</v>
      </c>
      <c r="D2135" t="s">
        <v>8</v>
      </c>
    </row>
    <row r="2136" spans="1:4">
      <c r="A2136" t="s">
        <v>6</v>
      </c>
      <c r="B2136">
        <v>32</v>
      </c>
      <c r="C2136" t="str">
        <f>CHOOSE(MATCH(B2136, {20,25,30,35,40,45,50,55,60,65,70,75,80,85}, 1), "20-24", "25-29", "30-34", "35-39", "40-44", "45-49", "50-54", "55-59", "60-64", "65-69", "70-74", "75-79", "80-84", "85+")</f>
        <v>30-34</v>
      </c>
      <c r="D2136" t="s">
        <v>7</v>
      </c>
    </row>
    <row r="2137" spans="1:4">
      <c r="A2137" t="s">
        <v>6</v>
      </c>
      <c r="B2137">
        <v>38</v>
      </c>
      <c r="C2137" t="str">
        <f>CHOOSE(MATCH(B2137, {20,25,30,35,40,45,50,55,60,65,70,75,80,85}, 1), "20-24", "25-29", "30-34", "35-39", "40-44", "45-49", "50-54", "55-59", "60-64", "65-69", "70-74", "75-79", "80-84", "85+")</f>
        <v>35-39</v>
      </c>
      <c r="D2137" t="s">
        <v>7</v>
      </c>
    </row>
    <row r="2138" spans="1:4">
      <c r="A2138" t="s">
        <v>6</v>
      </c>
      <c r="B2138">
        <v>40</v>
      </c>
      <c r="C2138" t="str">
        <f>CHOOSE(MATCH(B2138, {20,25,30,35,40,45,50,55,60,65,70,75,80,85}, 1), "20-24", "25-29", "30-34", "35-39", "40-44", "45-49", "50-54", "55-59", "60-64", "65-69", "70-74", "75-79", "80-84", "85+")</f>
        <v>40-44</v>
      </c>
      <c r="D2138" t="s">
        <v>7</v>
      </c>
    </row>
    <row r="2139" spans="1:4">
      <c r="A2139" t="s">
        <v>6</v>
      </c>
      <c r="B2139">
        <v>33</v>
      </c>
      <c r="C2139" t="str">
        <f>CHOOSE(MATCH(B2139, {20,25,30,35,40,45,50,55,60,65,70,75,80,85}, 1), "20-24", "25-29", "30-34", "35-39", "40-44", "45-49", "50-54", "55-59", "60-64", "65-69", "70-74", "75-79", "80-84", "85+")</f>
        <v>30-34</v>
      </c>
      <c r="D2139" t="s">
        <v>8</v>
      </c>
    </row>
    <row r="2140" spans="1:4">
      <c r="A2140" t="s">
        <v>6</v>
      </c>
      <c r="B2140">
        <v>36</v>
      </c>
      <c r="C2140" t="str">
        <f>CHOOSE(MATCH(B2140, {20,25,30,35,40,45,50,55,60,65,70,75,80,85}, 1), "20-24", "25-29", "30-34", "35-39", "40-44", "45-49", "50-54", "55-59", "60-64", "65-69", "70-74", "75-79", "80-84", "85+")</f>
        <v>35-39</v>
      </c>
      <c r="D2140" t="s">
        <v>8</v>
      </c>
    </row>
    <row r="2141" spans="1:4">
      <c r="A2141" t="s">
        <v>6</v>
      </c>
      <c r="B2141">
        <v>27</v>
      </c>
      <c r="C2141" t="str">
        <f>CHOOSE(MATCH(B2141, {20,25,30,35,40,45,50,55,60,65,70,75,80,85}, 1), "20-24", "25-29", "30-34", "35-39", "40-44", "45-49", "50-54", "55-59", "60-64", "65-69", "70-74", "75-79", "80-84", "85+")</f>
        <v>25-29</v>
      </c>
      <c r="D2141" t="s">
        <v>7</v>
      </c>
    </row>
    <row r="2142" spans="1:4">
      <c r="A2142" t="s">
        <v>6</v>
      </c>
      <c r="B2142">
        <v>24</v>
      </c>
      <c r="C2142" t="str">
        <f>CHOOSE(MATCH(B2142, {20,25,30,35,40,45,50,55,60,65,70,75,80,85}, 1), "20-24", "25-29", "30-34", "35-39", "40-44", "45-49", "50-54", "55-59", "60-64", "65-69", "70-74", "75-79", "80-84", "85+")</f>
        <v>20-24</v>
      </c>
      <c r="D2142" t="s">
        <v>7</v>
      </c>
    </row>
    <row r="2143" spans="1:4">
      <c r="A2143" t="s">
        <v>6</v>
      </c>
      <c r="B2143">
        <v>71</v>
      </c>
      <c r="C2143" t="str">
        <f>CHOOSE(MATCH(B2143, {20,25,30,35,40,45,50,55,60,65,70,75,80,85}, 1), "20-24", "25-29", "30-34", "35-39", "40-44", "45-49", "50-54", "55-59", "60-64", "65-69", "70-74", "75-79", "80-84", "85+")</f>
        <v>70-74</v>
      </c>
      <c r="D2143" t="s">
        <v>7</v>
      </c>
    </row>
    <row r="2144" spans="1:4">
      <c r="A2144" t="s">
        <v>6</v>
      </c>
      <c r="B2144">
        <v>28</v>
      </c>
      <c r="C2144" t="str">
        <f>CHOOSE(MATCH(B2144, {20,25,30,35,40,45,50,55,60,65,70,75,80,85}, 1), "20-24", "25-29", "30-34", "35-39", "40-44", "45-49", "50-54", "55-59", "60-64", "65-69", "70-74", "75-79", "80-84", "85+")</f>
        <v>25-29</v>
      </c>
      <c r="D2144" t="s">
        <v>7</v>
      </c>
    </row>
    <row r="2145" spans="1:4">
      <c r="A2145" t="s">
        <v>6</v>
      </c>
      <c r="B2145">
        <v>36</v>
      </c>
      <c r="C2145" t="str">
        <f>CHOOSE(MATCH(B2145, {20,25,30,35,40,45,50,55,60,65,70,75,80,85}, 1), "20-24", "25-29", "30-34", "35-39", "40-44", "45-49", "50-54", "55-59", "60-64", "65-69", "70-74", "75-79", "80-84", "85+")</f>
        <v>35-39</v>
      </c>
      <c r="D2145" t="s">
        <v>7</v>
      </c>
    </row>
    <row r="2146" spans="1:4">
      <c r="A2146" t="s">
        <v>6</v>
      </c>
      <c r="B2146">
        <v>94</v>
      </c>
      <c r="C2146" t="str">
        <f>CHOOSE(MATCH(B2146, {20,25,30,35,40,45,50,55,60,65,70,75,80,85}, 1), "20-24", "25-29", "30-34", "35-39", "40-44", "45-49", "50-54", "55-59", "60-64", "65-69", "70-74", "75-79", "80-84", "85+")</f>
        <v>85+</v>
      </c>
      <c r="D2146" t="s">
        <v>8</v>
      </c>
    </row>
    <row r="2147" spans="1:4">
      <c r="A2147" t="s">
        <v>6</v>
      </c>
      <c r="B2147">
        <v>45</v>
      </c>
      <c r="C2147" t="str">
        <f>CHOOSE(MATCH(B2147, {20,25,30,35,40,45,50,55,60,65,70,75,80,85}, 1), "20-24", "25-29", "30-34", "35-39", "40-44", "45-49", "50-54", "55-59", "60-64", "65-69", "70-74", "75-79", "80-84", "85+")</f>
        <v>45-49</v>
      </c>
      <c r="D2147" t="s">
        <v>8</v>
      </c>
    </row>
    <row r="2148" spans="1:4">
      <c r="A2148" t="s">
        <v>6</v>
      </c>
      <c r="B2148">
        <v>49</v>
      </c>
      <c r="C2148" t="str">
        <f>CHOOSE(MATCH(B2148, {20,25,30,35,40,45,50,55,60,65,70,75,80,85}, 1), "20-24", "25-29", "30-34", "35-39", "40-44", "45-49", "50-54", "55-59", "60-64", "65-69", "70-74", "75-79", "80-84", "85+")</f>
        <v>45-49</v>
      </c>
      <c r="D2148" t="s">
        <v>8</v>
      </c>
    </row>
    <row r="2149" spans="1:4">
      <c r="A2149" t="s">
        <v>6</v>
      </c>
      <c r="B2149">
        <v>33</v>
      </c>
      <c r="C2149" t="str">
        <f>CHOOSE(MATCH(B2149, {20,25,30,35,40,45,50,55,60,65,70,75,80,85}, 1), "20-24", "25-29", "30-34", "35-39", "40-44", "45-49", "50-54", "55-59", "60-64", "65-69", "70-74", "75-79", "80-84", "85+")</f>
        <v>30-34</v>
      </c>
      <c r="D2149" t="s">
        <v>7</v>
      </c>
    </row>
    <row r="2150" spans="1:4">
      <c r="A2150" t="s">
        <v>6</v>
      </c>
      <c r="B2150">
        <v>42</v>
      </c>
      <c r="C2150" t="str">
        <f>CHOOSE(MATCH(B2150, {20,25,30,35,40,45,50,55,60,65,70,75,80,85}, 1), "20-24", "25-29", "30-34", "35-39", "40-44", "45-49", "50-54", "55-59", "60-64", "65-69", "70-74", "75-79", "80-84", "85+")</f>
        <v>40-44</v>
      </c>
      <c r="D2150" t="s">
        <v>7</v>
      </c>
    </row>
    <row r="2151" spans="1:4">
      <c r="A2151" t="s">
        <v>6</v>
      </c>
      <c r="B2151">
        <v>72</v>
      </c>
      <c r="C2151" t="str">
        <f>CHOOSE(MATCH(B2151, {20,25,30,35,40,45,50,55,60,65,70,75,80,85}, 1), "20-24", "25-29", "30-34", "35-39", "40-44", "45-49", "50-54", "55-59", "60-64", "65-69", "70-74", "75-79", "80-84", "85+")</f>
        <v>70-74</v>
      </c>
      <c r="D2151" t="s">
        <v>8</v>
      </c>
    </row>
    <row r="2152" spans="1:4">
      <c r="A2152" t="s">
        <v>6</v>
      </c>
      <c r="B2152">
        <v>66</v>
      </c>
      <c r="C2152" t="str">
        <f>CHOOSE(MATCH(B2152, {20,25,30,35,40,45,50,55,60,65,70,75,80,85}, 1), "20-24", "25-29", "30-34", "35-39", "40-44", "45-49", "50-54", "55-59", "60-64", "65-69", "70-74", "75-79", "80-84", "85+")</f>
        <v>65-69</v>
      </c>
      <c r="D2152" t="s">
        <v>7</v>
      </c>
    </row>
    <row r="2153" spans="1:4">
      <c r="A2153" t="s">
        <v>6</v>
      </c>
      <c r="B2153">
        <v>67</v>
      </c>
      <c r="C2153" t="str">
        <f>CHOOSE(MATCH(B2153, {20,25,30,35,40,45,50,55,60,65,70,75,80,85}, 1), "20-24", "25-29", "30-34", "35-39", "40-44", "45-49", "50-54", "55-59", "60-64", "65-69", "70-74", "75-79", "80-84", "85+")</f>
        <v>65-69</v>
      </c>
      <c r="D2153" t="s">
        <v>8</v>
      </c>
    </row>
    <row r="2154" spans="1:4">
      <c r="A2154" t="s">
        <v>6</v>
      </c>
      <c r="B2154">
        <v>27</v>
      </c>
      <c r="C2154" t="str">
        <f>CHOOSE(MATCH(B2154, {20,25,30,35,40,45,50,55,60,65,70,75,80,85}, 1), "20-24", "25-29", "30-34", "35-39", "40-44", "45-49", "50-54", "55-59", "60-64", "65-69", "70-74", "75-79", "80-84", "85+")</f>
        <v>25-29</v>
      </c>
      <c r="D2154" t="s">
        <v>7</v>
      </c>
    </row>
    <row r="2155" spans="1:4">
      <c r="A2155" t="s">
        <v>6</v>
      </c>
      <c r="B2155">
        <v>27</v>
      </c>
      <c r="C2155" t="str">
        <f>CHOOSE(MATCH(B2155, {20,25,30,35,40,45,50,55,60,65,70,75,80,85}, 1), "20-24", "25-29", "30-34", "35-39", "40-44", "45-49", "50-54", "55-59", "60-64", "65-69", "70-74", "75-79", "80-84", "85+")</f>
        <v>25-29</v>
      </c>
      <c r="D2155" t="s">
        <v>7</v>
      </c>
    </row>
    <row r="2156" spans="1:4">
      <c r="A2156" t="s">
        <v>6</v>
      </c>
      <c r="B2156">
        <v>36</v>
      </c>
      <c r="C2156" t="str">
        <f>CHOOSE(MATCH(B2156, {20,25,30,35,40,45,50,55,60,65,70,75,80,85}, 1), "20-24", "25-29", "30-34", "35-39", "40-44", "45-49", "50-54", "55-59", "60-64", "65-69", "70-74", "75-79", "80-84", "85+")</f>
        <v>35-39</v>
      </c>
      <c r="D2156" t="s">
        <v>7</v>
      </c>
    </row>
    <row r="2157" spans="1:4">
      <c r="A2157" t="s">
        <v>6</v>
      </c>
      <c r="B2157">
        <v>33</v>
      </c>
      <c r="C2157" t="str">
        <f>CHOOSE(MATCH(B2157, {20,25,30,35,40,45,50,55,60,65,70,75,80,85}, 1), "20-24", "25-29", "30-34", "35-39", "40-44", "45-49", "50-54", "55-59", "60-64", "65-69", "70-74", "75-79", "80-84", "85+")</f>
        <v>30-34</v>
      </c>
      <c r="D2157" t="s">
        <v>7</v>
      </c>
    </row>
    <row r="2158" spans="1:4">
      <c r="A2158" t="s">
        <v>6</v>
      </c>
      <c r="B2158">
        <v>33</v>
      </c>
      <c r="C2158" t="str">
        <f>CHOOSE(MATCH(B2158, {20,25,30,35,40,45,50,55,60,65,70,75,80,85}, 1), "20-24", "25-29", "30-34", "35-39", "40-44", "45-49", "50-54", "55-59", "60-64", "65-69", "70-74", "75-79", "80-84", "85+")</f>
        <v>30-34</v>
      </c>
      <c r="D2158" t="s">
        <v>8</v>
      </c>
    </row>
    <row r="2159" spans="1:4">
      <c r="A2159" t="s">
        <v>6</v>
      </c>
      <c r="B2159">
        <v>30</v>
      </c>
      <c r="C2159" t="str">
        <f>CHOOSE(MATCH(B2159, {20,25,30,35,40,45,50,55,60,65,70,75,80,85}, 1), "20-24", "25-29", "30-34", "35-39", "40-44", "45-49", "50-54", "55-59", "60-64", "65-69", "70-74", "75-79", "80-84", "85+")</f>
        <v>30-34</v>
      </c>
      <c r="D2159" t="s">
        <v>8</v>
      </c>
    </row>
    <row r="2160" spans="1:4">
      <c r="A2160" t="s">
        <v>6</v>
      </c>
      <c r="B2160">
        <v>32</v>
      </c>
      <c r="C2160" t="str">
        <f>CHOOSE(MATCH(B2160, {20,25,30,35,40,45,50,55,60,65,70,75,80,85}, 1), "20-24", "25-29", "30-34", "35-39", "40-44", "45-49", "50-54", "55-59", "60-64", "65-69", "70-74", "75-79", "80-84", "85+")</f>
        <v>30-34</v>
      </c>
      <c r="D2160" t="s">
        <v>7</v>
      </c>
    </row>
    <row r="2161" spans="1:4">
      <c r="A2161" t="s">
        <v>6</v>
      </c>
      <c r="B2161">
        <v>61</v>
      </c>
      <c r="C2161" t="str">
        <f>CHOOSE(MATCH(B2161, {20,25,30,35,40,45,50,55,60,65,70,75,80,85}, 1), "20-24", "25-29", "30-34", "35-39", "40-44", "45-49", "50-54", "55-59", "60-64", "65-69", "70-74", "75-79", "80-84", "85+")</f>
        <v>60-64</v>
      </c>
      <c r="D2161" t="s">
        <v>7</v>
      </c>
    </row>
    <row r="2162" spans="1:4">
      <c r="A2162" t="s">
        <v>6</v>
      </c>
      <c r="B2162">
        <v>40</v>
      </c>
      <c r="C2162" t="str">
        <f>CHOOSE(MATCH(B2162, {20,25,30,35,40,45,50,55,60,65,70,75,80,85}, 1), "20-24", "25-29", "30-34", "35-39", "40-44", "45-49", "50-54", "55-59", "60-64", "65-69", "70-74", "75-79", "80-84", "85+")</f>
        <v>40-44</v>
      </c>
      <c r="D2162" t="s">
        <v>7</v>
      </c>
    </row>
    <row r="2163" spans="1:4">
      <c r="A2163" t="s">
        <v>6</v>
      </c>
      <c r="B2163">
        <v>38</v>
      </c>
      <c r="C2163" t="str">
        <f>CHOOSE(MATCH(B2163, {20,25,30,35,40,45,50,55,60,65,70,75,80,85}, 1), "20-24", "25-29", "30-34", "35-39", "40-44", "45-49", "50-54", "55-59", "60-64", "65-69", "70-74", "75-79", "80-84", "85+")</f>
        <v>35-39</v>
      </c>
      <c r="D2163" t="s">
        <v>7</v>
      </c>
    </row>
    <row r="2164" spans="1:4">
      <c r="A2164" t="s">
        <v>6</v>
      </c>
      <c r="B2164">
        <v>30</v>
      </c>
      <c r="C2164" t="str">
        <f>CHOOSE(MATCH(B2164, {20,25,30,35,40,45,50,55,60,65,70,75,80,85}, 1), "20-24", "25-29", "30-34", "35-39", "40-44", "45-49", "50-54", "55-59", "60-64", "65-69", "70-74", "75-79", "80-84", "85+")</f>
        <v>30-34</v>
      </c>
      <c r="D2164" t="s">
        <v>7</v>
      </c>
    </row>
    <row r="2165" spans="1:4">
      <c r="A2165" t="s">
        <v>6</v>
      </c>
      <c r="B2165">
        <v>40</v>
      </c>
      <c r="C2165" t="str">
        <f>CHOOSE(MATCH(B2165, {20,25,30,35,40,45,50,55,60,65,70,75,80,85}, 1), "20-24", "25-29", "30-34", "35-39", "40-44", "45-49", "50-54", "55-59", "60-64", "65-69", "70-74", "75-79", "80-84", "85+")</f>
        <v>40-44</v>
      </c>
      <c r="D2165" t="s">
        <v>7</v>
      </c>
    </row>
    <row r="2166" spans="1:4">
      <c r="A2166" t="s">
        <v>6</v>
      </c>
      <c r="B2166">
        <v>48</v>
      </c>
      <c r="C2166" t="str">
        <f>CHOOSE(MATCH(B2166, {20,25,30,35,40,45,50,55,60,65,70,75,80,85}, 1), "20-24", "25-29", "30-34", "35-39", "40-44", "45-49", "50-54", "55-59", "60-64", "65-69", "70-74", "75-79", "80-84", "85+")</f>
        <v>45-49</v>
      </c>
      <c r="D2166" t="s">
        <v>7</v>
      </c>
    </row>
    <row r="2167" spans="1:4">
      <c r="A2167" t="s">
        <v>6</v>
      </c>
      <c r="B2167">
        <v>32</v>
      </c>
      <c r="C2167" t="str">
        <f>CHOOSE(MATCH(B2167, {20,25,30,35,40,45,50,55,60,65,70,75,80,85}, 1), "20-24", "25-29", "30-34", "35-39", "40-44", "45-49", "50-54", "55-59", "60-64", "65-69", "70-74", "75-79", "80-84", "85+")</f>
        <v>30-34</v>
      </c>
      <c r="D2167" t="s">
        <v>8</v>
      </c>
    </row>
    <row r="2168" spans="1:4">
      <c r="A2168" t="s">
        <v>6</v>
      </c>
      <c r="B2168">
        <v>56</v>
      </c>
      <c r="C2168" t="str">
        <f>CHOOSE(MATCH(B2168, {20,25,30,35,40,45,50,55,60,65,70,75,80,85}, 1), "20-24", "25-29", "30-34", "35-39", "40-44", "45-49", "50-54", "55-59", "60-64", "65-69", "70-74", "75-79", "80-84", "85+")</f>
        <v>55-59</v>
      </c>
      <c r="D2168" t="s">
        <v>8</v>
      </c>
    </row>
    <row r="2169" spans="1:4">
      <c r="A2169" t="s">
        <v>6</v>
      </c>
      <c r="B2169">
        <v>67</v>
      </c>
      <c r="C2169" t="str">
        <f>CHOOSE(MATCH(B2169, {20,25,30,35,40,45,50,55,60,65,70,75,80,85}, 1), "20-24", "25-29", "30-34", "35-39", "40-44", "45-49", "50-54", "55-59", "60-64", "65-69", "70-74", "75-79", "80-84", "85+")</f>
        <v>65-69</v>
      </c>
      <c r="D2169" t="s">
        <v>8</v>
      </c>
    </row>
    <row r="2170" spans="1:4">
      <c r="A2170" t="s">
        <v>6</v>
      </c>
      <c r="B2170">
        <v>63</v>
      </c>
      <c r="C2170" t="str">
        <f>CHOOSE(MATCH(B2170, {20,25,30,35,40,45,50,55,60,65,70,75,80,85}, 1), "20-24", "25-29", "30-34", "35-39", "40-44", "45-49", "50-54", "55-59", "60-64", "65-69", "70-74", "75-79", "80-84", "85+")</f>
        <v>60-64</v>
      </c>
      <c r="D2170" t="s">
        <v>7</v>
      </c>
    </row>
    <row r="2171" spans="1:4">
      <c r="A2171" t="s">
        <v>6</v>
      </c>
      <c r="B2171">
        <v>26</v>
      </c>
      <c r="C2171" t="str">
        <f>CHOOSE(MATCH(B2171, {20,25,30,35,40,45,50,55,60,65,70,75,80,85}, 1), "20-24", "25-29", "30-34", "35-39", "40-44", "45-49", "50-54", "55-59", "60-64", "65-69", "70-74", "75-79", "80-84", "85+")</f>
        <v>25-29</v>
      </c>
      <c r="D2171" t="s">
        <v>7</v>
      </c>
    </row>
    <row r="2172" spans="1:4">
      <c r="A2172" t="s">
        <v>6</v>
      </c>
      <c r="B2172">
        <v>90</v>
      </c>
      <c r="C2172" t="str">
        <f>CHOOSE(MATCH(B2172, {20,25,30,35,40,45,50,55,60,65,70,75,80,85}, 1), "20-24", "25-29", "30-34", "35-39", "40-44", "45-49", "50-54", "55-59", "60-64", "65-69", "70-74", "75-79", "80-84", "85+")</f>
        <v>85+</v>
      </c>
      <c r="D2172" t="s">
        <v>7</v>
      </c>
    </row>
    <row r="2173" spans="1:4">
      <c r="A2173" t="s">
        <v>6</v>
      </c>
      <c r="B2173">
        <v>30</v>
      </c>
      <c r="C2173" t="str">
        <f>CHOOSE(MATCH(B2173, {20,25,30,35,40,45,50,55,60,65,70,75,80,85}, 1), "20-24", "25-29", "30-34", "35-39", "40-44", "45-49", "50-54", "55-59", "60-64", "65-69", "70-74", "75-79", "80-84", "85+")</f>
        <v>30-34</v>
      </c>
      <c r="D2173" t="s">
        <v>7</v>
      </c>
    </row>
    <row r="2174" spans="1:4">
      <c r="A2174" t="s">
        <v>6</v>
      </c>
      <c r="B2174">
        <v>51</v>
      </c>
      <c r="C2174" t="str">
        <f>CHOOSE(MATCH(B2174, {20,25,30,35,40,45,50,55,60,65,70,75,80,85}, 1), "20-24", "25-29", "30-34", "35-39", "40-44", "45-49", "50-54", "55-59", "60-64", "65-69", "70-74", "75-79", "80-84", "85+")</f>
        <v>50-54</v>
      </c>
      <c r="D2174" t="s">
        <v>7</v>
      </c>
    </row>
    <row r="2175" spans="1:4">
      <c r="A2175" t="s">
        <v>6</v>
      </c>
      <c r="B2175">
        <v>35</v>
      </c>
      <c r="C2175" t="str">
        <f>CHOOSE(MATCH(B2175, {20,25,30,35,40,45,50,55,60,65,70,75,80,85}, 1), "20-24", "25-29", "30-34", "35-39", "40-44", "45-49", "50-54", "55-59", "60-64", "65-69", "70-74", "75-79", "80-84", "85+")</f>
        <v>35-39</v>
      </c>
      <c r="D2175" t="s">
        <v>8</v>
      </c>
    </row>
    <row r="2176" spans="1:4">
      <c r="A2176" t="s">
        <v>6</v>
      </c>
      <c r="B2176">
        <v>61</v>
      </c>
      <c r="C2176" t="str">
        <f>CHOOSE(MATCH(B2176, {20,25,30,35,40,45,50,55,60,65,70,75,80,85}, 1), "20-24", "25-29", "30-34", "35-39", "40-44", "45-49", "50-54", "55-59", "60-64", "65-69", "70-74", "75-79", "80-84", "85+")</f>
        <v>60-64</v>
      </c>
      <c r="D2176" t="s">
        <v>8</v>
      </c>
    </row>
    <row r="2177" spans="1:4">
      <c r="A2177" t="s">
        <v>6</v>
      </c>
      <c r="B2177">
        <v>48</v>
      </c>
      <c r="C2177" t="str">
        <f>CHOOSE(MATCH(B2177, {20,25,30,35,40,45,50,55,60,65,70,75,80,85}, 1), "20-24", "25-29", "30-34", "35-39", "40-44", "45-49", "50-54", "55-59", "60-64", "65-69", "70-74", "75-79", "80-84", "85+")</f>
        <v>45-49</v>
      </c>
      <c r="D2177" t="s">
        <v>8</v>
      </c>
    </row>
    <row r="2178" spans="1:4">
      <c r="A2178" t="s">
        <v>6</v>
      </c>
      <c r="B2178">
        <v>53</v>
      </c>
      <c r="C2178" t="str">
        <f>CHOOSE(MATCH(B2178, {20,25,30,35,40,45,50,55,60,65,70,75,80,85}, 1), "20-24", "25-29", "30-34", "35-39", "40-44", "45-49", "50-54", "55-59", "60-64", "65-69", "70-74", "75-79", "80-84", "85+")</f>
        <v>50-54</v>
      </c>
      <c r="D2178" t="s">
        <v>7</v>
      </c>
    </row>
    <row r="2179" spans="1:4">
      <c r="A2179" t="s">
        <v>6</v>
      </c>
      <c r="B2179">
        <v>34</v>
      </c>
      <c r="C2179" t="str">
        <f>CHOOSE(MATCH(B2179, {20,25,30,35,40,45,50,55,60,65,70,75,80,85}, 1), "20-24", "25-29", "30-34", "35-39", "40-44", "45-49", "50-54", "55-59", "60-64", "65-69", "70-74", "75-79", "80-84", "85+")</f>
        <v>30-34</v>
      </c>
      <c r="D2179" t="s">
        <v>7</v>
      </c>
    </row>
    <row r="2180" spans="1:4">
      <c r="A2180" t="s">
        <v>6</v>
      </c>
      <c r="B2180">
        <v>66</v>
      </c>
      <c r="C2180" t="str">
        <f>CHOOSE(MATCH(B2180, {20,25,30,35,40,45,50,55,60,65,70,75,80,85}, 1), "20-24", "25-29", "30-34", "35-39", "40-44", "45-49", "50-54", "55-59", "60-64", "65-69", "70-74", "75-79", "80-84", "85+")</f>
        <v>65-69</v>
      </c>
      <c r="D2180" t="s">
        <v>7</v>
      </c>
    </row>
    <row r="2181" spans="1:4">
      <c r="A2181" t="s">
        <v>6</v>
      </c>
      <c r="B2181">
        <v>36</v>
      </c>
      <c r="C2181" t="str">
        <f>CHOOSE(MATCH(B2181, {20,25,30,35,40,45,50,55,60,65,70,75,80,85}, 1), "20-24", "25-29", "30-34", "35-39", "40-44", "45-49", "50-54", "55-59", "60-64", "65-69", "70-74", "75-79", "80-84", "85+")</f>
        <v>35-39</v>
      </c>
      <c r="D2181" t="s">
        <v>7</v>
      </c>
    </row>
    <row r="2182" spans="1:4">
      <c r="A2182" t="s">
        <v>6</v>
      </c>
      <c r="B2182">
        <v>41</v>
      </c>
      <c r="C2182" t="str">
        <f>CHOOSE(MATCH(B2182, {20,25,30,35,40,45,50,55,60,65,70,75,80,85}, 1), "20-24", "25-29", "30-34", "35-39", "40-44", "45-49", "50-54", "55-59", "60-64", "65-69", "70-74", "75-79", "80-84", "85+")</f>
        <v>40-44</v>
      </c>
      <c r="D2182" t="s">
        <v>8</v>
      </c>
    </row>
    <row r="2183" spans="1:4">
      <c r="A2183" t="s">
        <v>6</v>
      </c>
      <c r="B2183">
        <v>21</v>
      </c>
      <c r="C2183" t="str">
        <f>CHOOSE(MATCH(B2183, {20,25,30,35,40,45,50,55,60,65,70,75,80,85}, 1), "20-24", "25-29", "30-34", "35-39", "40-44", "45-49", "50-54", "55-59", "60-64", "65-69", "70-74", "75-79", "80-84", "85+")</f>
        <v>20-24</v>
      </c>
      <c r="D2183" t="s">
        <v>7</v>
      </c>
    </row>
    <row r="2184" spans="1:4">
      <c r="A2184" t="s">
        <v>6</v>
      </c>
      <c r="B2184">
        <v>53</v>
      </c>
      <c r="C2184" t="str">
        <f>CHOOSE(MATCH(B2184, {20,25,30,35,40,45,50,55,60,65,70,75,80,85}, 1), "20-24", "25-29", "30-34", "35-39", "40-44", "45-49", "50-54", "55-59", "60-64", "65-69", "70-74", "75-79", "80-84", "85+")</f>
        <v>50-54</v>
      </c>
      <c r="D2184" t="s">
        <v>8</v>
      </c>
    </row>
    <row r="2185" spans="1:4">
      <c r="A2185" t="s">
        <v>6</v>
      </c>
      <c r="B2185">
        <v>22</v>
      </c>
      <c r="C2185" t="str">
        <f>CHOOSE(MATCH(B2185, {20,25,30,35,40,45,50,55,60,65,70,75,80,85}, 1), "20-24", "25-29", "30-34", "35-39", "40-44", "45-49", "50-54", "55-59", "60-64", "65-69", "70-74", "75-79", "80-84", "85+")</f>
        <v>20-24</v>
      </c>
      <c r="D2185" t="s">
        <v>8</v>
      </c>
    </row>
    <row r="2186" spans="1:4">
      <c r="A2186" t="s">
        <v>6</v>
      </c>
      <c r="B2186">
        <v>35</v>
      </c>
      <c r="C2186" t="str">
        <f>CHOOSE(MATCH(B2186, {20,25,30,35,40,45,50,55,60,65,70,75,80,85}, 1), "20-24", "25-29", "30-34", "35-39", "40-44", "45-49", "50-54", "55-59", "60-64", "65-69", "70-74", "75-79", "80-84", "85+")</f>
        <v>35-39</v>
      </c>
      <c r="D2186" t="s">
        <v>7</v>
      </c>
    </row>
    <row r="2187" spans="1:4">
      <c r="A2187" t="s">
        <v>6</v>
      </c>
      <c r="B2187">
        <v>49</v>
      </c>
      <c r="C2187" t="str">
        <f>CHOOSE(MATCH(B2187, {20,25,30,35,40,45,50,55,60,65,70,75,80,85}, 1), "20-24", "25-29", "30-34", "35-39", "40-44", "45-49", "50-54", "55-59", "60-64", "65-69", "70-74", "75-79", "80-84", "85+")</f>
        <v>45-49</v>
      </c>
      <c r="D2187" t="s">
        <v>8</v>
      </c>
    </row>
    <row r="2188" spans="1:4">
      <c r="A2188" t="s">
        <v>6</v>
      </c>
      <c r="B2188">
        <v>36</v>
      </c>
      <c r="C2188" t="str">
        <f>CHOOSE(MATCH(B2188, {20,25,30,35,40,45,50,55,60,65,70,75,80,85}, 1), "20-24", "25-29", "30-34", "35-39", "40-44", "45-49", "50-54", "55-59", "60-64", "65-69", "70-74", "75-79", "80-84", "85+")</f>
        <v>35-39</v>
      </c>
      <c r="D2188" t="s">
        <v>8</v>
      </c>
    </row>
    <row r="2189" spans="1:4">
      <c r="A2189" t="s">
        <v>6</v>
      </c>
      <c r="B2189">
        <v>35</v>
      </c>
      <c r="C2189" t="str">
        <f>CHOOSE(MATCH(B2189, {20,25,30,35,40,45,50,55,60,65,70,75,80,85}, 1), "20-24", "25-29", "30-34", "35-39", "40-44", "45-49", "50-54", "55-59", "60-64", "65-69", "70-74", "75-79", "80-84", "85+")</f>
        <v>35-39</v>
      </c>
      <c r="D2189" t="s">
        <v>7</v>
      </c>
    </row>
    <row r="2190" spans="1:4">
      <c r="A2190" t="s">
        <v>6</v>
      </c>
      <c r="B2190">
        <v>22</v>
      </c>
      <c r="C2190" t="str">
        <f>CHOOSE(MATCH(B2190, {20,25,30,35,40,45,50,55,60,65,70,75,80,85}, 1), "20-24", "25-29", "30-34", "35-39", "40-44", "45-49", "50-54", "55-59", "60-64", "65-69", "70-74", "75-79", "80-84", "85+")</f>
        <v>20-24</v>
      </c>
      <c r="D2190" t="s">
        <v>8</v>
      </c>
    </row>
    <row r="2191" spans="1:4">
      <c r="A2191" t="s">
        <v>6</v>
      </c>
      <c r="B2191">
        <v>28</v>
      </c>
      <c r="C2191" t="str">
        <f>CHOOSE(MATCH(B2191, {20,25,30,35,40,45,50,55,60,65,70,75,80,85}, 1), "20-24", "25-29", "30-34", "35-39", "40-44", "45-49", "50-54", "55-59", "60-64", "65-69", "70-74", "75-79", "80-84", "85+")</f>
        <v>25-29</v>
      </c>
      <c r="D2191" t="s">
        <v>8</v>
      </c>
    </row>
    <row r="2192" spans="1:4">
      <c r="A2192" t="s">
        <v>6</v>
      </c>
      <c r="B2192">
        <v>54</v>
      </c>
      <c r="C2192" t="str">
        <f>CHOOSE(MATCH(B2192, {20,25,30,35,40,45,50,55,60,65,70,75,80,85}, 1), "20-24", "25-29", "30-34", "35-39", "40-44", "45-49", "50-54", "55-59", "60-64", "65-69", "70-74", "75-79", "80-84", "85+")</f>
        <v>50-54</v>
      </c>
      <c r="D2192" t="s">
        <v>7</v>
      </c>
    </row>
    <row r="2193" spans="1:4">
      <c r="A2193" t="s">
        <v>6</v>
      </c>
      <c r="B2193">
        <v>35</v>
      </c>
      <c r="C2193" t="str">
        <f>CHOOSE(MATCH(B2193, {20,25,30,35,40,45,50,55,60,65,70,75,80,85}, 1), "20-24", "25-29", "30-34", "35-39", "40-44", "45-49", "50-54", "55-59", "60-64", "65-69", "70-74", "75-79", "80-84", "85+")</f>
        <v>35-39</v>
      </c>
      <c r="D2193" t="s">
        <v>7</v>
      </c>
    </row>
    <row r="2194" spans="1:4">
      <c r="A2194" t="s">
        <v>6</v>
      </c>
      <c r="B2194">
        <v>75</v>
      </c>
      <c r="C2194" t="str">
        <f>CHOOSE(MATCH(B2194, {20,25,30,35,40,45,50,55,60,65,70,75,80,85}, 1), "20-24", "25-29", "30-34", "35-39", "40-44", "45-49", "50-54", "55-59", "60-64", "65-69", "70-74", "75-79", "80-84", "85+")</f>
        <v>75-79</v>
      </c>
      <c r="D2194" t="s">
        <v>7</v>
      </c>
    </row>
    <row r="2195" spans="1:4">
      <c r="A2195" t="s">
        <v>6</v>
      </c>
      <c r="B2195">
        <v>49</v>
      </c>
      <c r="C2195" t="str">
        <f>CHOOSE(MATCH(B2195, {20,25,30,35,40,45,50,55,60,65,70,75,80,85}, 1), "20-24", "25-29", "30-34", "35-39", "40-44", "45-49", "50-54", "55-59", "60-64", "65-69", "70-74", "75-79", "80-84", "85+")</f>
        <v>45-49</v>
      </c>
      <c r="D2195" t="s">
        <v>8</v>
      </c>
    </row>
    <row r="2196" spans="1:4">
      <c r="A2196" t="s">
        <v>6</v>
      </c>
      <c r="B2196">
        <v>54</v>
      </c>
      <c r="C2196" t="str">
        <f>CHOOSE(MATCH(B2196, {20,25,30,35,40,45,50,55,60,65,70,75,80,85}, 1), "20-24", "25-29", "30-34", "35-39", "40-44", "45-49", "50-54", "55-59", "60-64", "65-69", "70-74", "75-79", "80-84", "85+")</f>
        <v>50-54</v>
      </c>
      <c r="D2196" t="s">
        <v>7</v>
      </c>
    </row>
    <row r="2197" spans="1:4">
      <c r="A2197" t="s">
        <v>6</v>
      </c>
      <c r="B2197">
        <v>42</v>
      </c>
      <c r="C2197" t="str">
        <f>CHOOSE(MATCH(B2197, {20,25,30,35,40,45,50,55,60,65,70,75,80,85}, 1), "20-24", "25-29", "30-34", "35-39", "40-44", "45-49", "50-54", "55-59", "60-64", "65-69", "70-74", "75-79", "80-84", "85+")</f>
        <v>40-44</v>
      </c>
      <c r="D2197" t="s">
        <v>7</v>
      </c>
    </row>
    <row r="2198" spans="1:4">
      <c r="A2198" t="s">
        <v>6</v>
      </c>
      <c r="B2198">
        <v>43</v>
      </c>
      <c r="C2198" t="str">
        <f>CHOOSE(MATCH(B2198, {20,25,30,35,40,45,50,55,60,65,70,75,80,85}, 1), "20-24", "25-29", "30-34", "35-39", "40-44", "45-49", "50-54", "55-59", "60-64", "65-69", "70-74", "75-79", "80-84", "85+")</f>
        <v>40-44</v>
      </c>
      <c r="D2198" t="s">
        <v>7</v>
      </c>
    </row>
    <row r="2199" spans="1:4">
      <c r="A2199" t="s">
        <v>6</v>
      </c>
      <c r="B2199">
        <v>34</v>
      </c>
      <c r="C2199" t="str">
        <f>CHOOSE(MATCH(B2199, {20,25,30,35,40,45,50,55,60,65,70,75,80,85}, 1), "20-24", "25-29", "30-34", "35-39", "40-44", "45-49", "50-54", "55-59", "60-64", "65-69", "70-74", "75-79", "80-84", "85+")</f>
        <v>30-34</v>
      </c>
      <c r="D2199" t="s">
        <v>8</v>
      </c>
    </row>
    <row r="2200" spans="1:4">
      <c r="A2200" t="s">
        <v>6</v>
      </c>
      <c r="B2200">
        <v>27</v>
      </c>
      <c r="C2200" t="str">
        <f>CHOOSE(MATCH(B2200, {20,25,30,35,40,45,50,55,60,65,70,75,80,85}, 1), "20-24", "25-29", "30-34", "35-39", "40-44", "45-49", "50-54", "55-59", "60-64", "65-69", "70-74", "75-79", "80-84", "85+")</f>
        <v>25-29</v>
      </c>
      <c r="D2200" t="s">
        <v>7</v>
      </c>
    </row>
    <row r="2201" spans="1:4">
      <c r="A2201" t="s">
        <v>6</v>
      </c>
      <c r="B2201">
        <v>58</v>
      </c>
      <c r="C2201" t="str">
        <f>CHOOSE(MATCH(B2201, {20,25,30,35,40,45,50,55,60,65,70,75,80,85}, 1), "20-24", "25-29", "30-34", "35-39", "40-44", "45-49", "50-54", "55-59", "60-64", "65-69", "70-74", "75-79", "80-84", "85+")</f>
        <v>55-59</v>
      </c>
      <c r="D2201" t="s">
        <v>7</v>
      </c>
    </row>
    <row r="2202" spans="1:4">
      <c r="A2202" t="s">
        <v>6</v>
      </c>
      <c r="B2202">
        <v>62</v>
      </c>
      <c r="C2202" t="str">
        <f>CHOOSE(MATCH(B2202, {20,25,30,35,40,45,50,55,60,65,70,75,80,85}, 1), "20-24", "25-29", "30-34", "35-39", "40-44", "45-49", "50-54", "55-59", "60-64", "65-69", "70-74", "75-79", "80-84", "85+")</f>
        <v>60-64</v>
      </c>
      <c r="D2202" t="s">
        <v>8</v>
      </c>
    </row>
    <row r="2203" spans="1:4">
      <c r="A2203" t="s">
        <v>6</v>
      </c>
      <c r="B2203">
        <v>39</v>
      </c>
      <c r="C2203" t="str">
        <f>CHOOSE(MATCH(B2203, {20,25,30,35,40,45,50,55,60,65,70,75,80,85}, 1), "20-24", "25-29", "30-34", "35-39", "40-44", "45-49", "50-54", "55-59", "60-64", "65-69", "70-74", "75-79", "80-84", "85+")</f>
        <v>35-39</v>
      </c>
      <c r="D2203" t="s">
        <v>7</v>
      </c>
    </row>
    <row r="2204" spans="1:4">
      <c r="A2204" t="s">
        <v>6</v>
      </c>
      <c r="B2204">
        <v>31</v>
      </c>
      <c r="C2204" t="str">
        <f>CHOOSE(MATCH(B2204, {20,25,30,35,40,45,50,55,60,65,70,75,80,85}, 1), "20-24", "25-29", "30-34", "35-39", "40-44", "45-49", "50-54", "55-59", "60-64", "65-69", "70-74", "75-79", "80-84", "85+")</f>
        <v>30-34</v>
      </c>
      <c r="D2204" t="s">
        <v>7</v>
      </c>
    </row>
    <row r="2205" spans="1:4">
      <c r="A2205" t="s">
        <v>6</v>
      </c>
      <c r="B2205">
        <v>55</v>
      </c>
      <c r="C2205" t="str">
        <f>CHOOSE(MATCH(B2205, {20,25,30,35,40,45,50,55,60,65,70,75,80,85}, 1), "20-24", "25-29", "30-34", "35-39", "40-44", "45-49", "50-54", "55-59", "60-64", "65-69", "70-74", "75-79", "80-84", "85+")</f>
        <v>55-59</v>
      </c>
      <c r="D2205" t="s">
        <v>7</v>
      </c>
    </row>
    <row r="2206" spans="1:4">
      <c r="A2206" t="s">
        <v>6</v>
      </c>
      <c r="B2206">
        <v>51</v>
      </c>
      <c r="C2206" t="str">
        <f>CHOOSE(MATCH(B2206, {20,25,30,35,40,45,50,55,60,65,70,75,80,85}, 1), "20-24", "25-29", "30-34", "35-39", "40-44", "45-49", "50-54", "55-59", "60-64", "65-69", "70-74", "75-79", "80-84", "85+")</f>
        <v>50-54</v>
      </c>
      <c r="D2206" t="s">
        <v>8</v>
      </c>
    </row>
    <row r="2207" spans="1:4">
      <c r="A2207" t="s">
        <v>6</v>
      </c>
      <c r="B2207">
        <v>25</v>
      </c>
      <c r="C2207" t="str">
        <f>CHOOSE(MATCH(B2207, {20,25,30,35,40,45,50,55,60,65,70,75,80,85}, 1), "20-24", "25-29", "30-34", "35-39", "40-44", "45-49", "50-54", "55-59", "60-64", "65-69", "70-74", "75-79", "80-84", "85+")</f>
        <v>25-29</v>
      </c>
      <c r="D2207" t="s">
        <v>7</v>
      </c>
    </row>
    <row r="2208" spans="1:4">
      <c r="A2208" t="s">
        <v>6</v>
      </c>
      <c r="B2208">
        <v>20</v>
      </c>
      <c r="C2208" t="str">
        <f>CHOOSE(MATCH(B2208, {20,25,30,35,40,45,50,55,60,65,70,75,80,85}, 1), "20-24", "25-29", "30-34", "35-39", "40-44", "45-49", "50-54", "55-59", "60-64", "65-69", "70-74", "75-79", "80-84", "85+")</f>
        <v>20-24</v>
      </c>
      <c r="D2208" t="s">
        <v>7</v>
      </c>
    </row>
    <row r="2209" spans="1:4">
      <c r="A2209" t="s">
        <v>6</v>
      </c>
      <c r="B2209">
        <v>37</v>
      </c>
      <c r="C2209" t="str">
        <f>CHOOSE(MATCH(B2209, {20,25,30,35,40,45,50,55,60,65,70,75,80,85}, 1), "20-24", "25-29", "30-34", "35-39", "40-44", "45-49", "50-54", "55-59", "60-64", "65-69", "70-74", "75-79", "80-84", "85+")</f>
        <v>35-39</v>
      </c>
      <c r="D2209" t="s">
        <v>7</v>
      </c>
    </row>
    <row r="2210" spans="1:4">
      <c r="A2210" t="s">
        <v>6</v>
      </c>
      <c r="B2210">
        <v>38</v>
      </c>
      <c r="C2210" t="str">
        <f>CHOOSE(MATCH(B2210, {20,25,30,35,40,45,50,55,60,65,70,75,80,85}, 1), "20-24", "25-29", "30-34", "35-39", "40-44", "45-49", "50-54", "55-59", "60-64", "65-69", "70-74", "75-79", "80-84", "85+")</f>
        <v>35-39</v>
      </c>
      <c r="D2210" t="s">
        <v>7</v>
      </c>
    </row>
    <row r="2211" spans="1:4">
      <c r="A2211" t="s">
        <v>6</v>
      </c>
      <c r="B2211">
        <v>31</v>
      </c>
      <c r="C2211" t="str">
        <f>CHOOSE(MATCH(B2211, {20,25,30,35,40,45,50,55,60,65,70,75,80,85}, 1), "20-24", "25-29", "30-34", "35-39", "40-44", "45-49", "50-54", "55-59", "60-64", "65-69", "70-74", "75-79", "80-84", "85+")</f>
        <v>30-34</v>
      </c>
      <c r="D2211" t="s">
        <v>7</v>
      </c>
    </row>
    <row r="2212" spans="1:4">
      <c r="A2212" t="s">
        <v>6</v>
      </c>
      <c r="B2212">
        <v>41</v>
      </c>
      <c r="C2212" t="str">
        <f>CHOOSE(MATCH(B2212, {20,25,30,35,40,45,50,55,60,65,70,75,80,85}, 1), "20-24", "25-29", "30-34", "35-39", "40-44", "45-49", "50-54", "55-59", "60-64", "65-69", "70-74", "75-79", "80-84", "85+")</f>
        <v>40-44</v>
      </c>
      <c r="D2212" t="s">
        <v>7</v>
      </c>
    </row>
    <row r="2213" spans="1:4">
      <c r="A2213" t="s">
        <v>6</v>
      </c>
      <c r="B2213">
        <v>85</v>
      </c>
      <c r="C2213" t="str">
        <f>CHOOSE(MATCH(B2213, {20,25,30,35,40,45,50,55,60,65,70,75,80,85}, 1), "20-24", "25-29", "30-34", "35-39", "40-44", "45-49", "50-54", "55-59", "60-64", "65-69", "70-74", "75-79", "80-84", "85+")</f>
        <v>85+</v>
      </c>
      <c r="D2213" t="s">
        <v>8</v>
      </c>
    </row>
    <row r="2214" spans="1:4">
      <c r="A2214" t="s">
        <v>6</v>
      </c>
      <c r="B2214">
        <v>36</v>
      </c>
      <c r="C2214" t="str">
        <f>CHOOSE(MATCH(B2214, {20,25,30,35,40,45,50,55,60,65,70,75,80,85}, 1), "20-24", "25-29", "30-34", "35-39", "40-44", "45-49", "50-54", "55-59", "60-64", "65-69", "70-74", "75-79", "80-84", "85+")</f>
        <v>35-39</v>
      </c>
      <c r="D2214" t="s">
        <v>8</v>
      </c>
    </row>
    <row r="2215" spans="1:4">
      <c r="A2215" t="s">
        <v>6</v>
      </c>
      <c r="B2215">
        <v>32</v>
      </c>
      <c r="C2215" t="str">
        <f>CHOOSE(MATCH(B2215, {20,25,30,35,40,45,50,55,60,65,70,75,80,85}, 1), "20-24", "25-29", "30-34", "35-39", "40-44", "45-49", "50-54", "55-59", "60-64", "65-69", "70-74", "75-79", "80-84", "85+")</f>
        <v>30-34</v>
      </c>
      <c r="D2215" t="s">
        <v>7</v>
      </c>
    </row>
    <row r="2216" spans="1:4">
      <c r="A2216" t="s">
        <v>6</v>
      </c>
      <c r="B2216">
        <v>56</v>
      </c>
      <c r="C2216" t="str">
        <f>CHOOSE(MATCH(B2216, {20,25,30,35,40,45,50,55,60,65,70,75,80,85}, 1), "20-24", "25-29", "30-34", "35-39", "40-44", "45-49", "50-54", "55-59", "60-64", "65-69", "70-74", "75-79", "80-84", "85+")</f>
        <v>55-59</v>
      </c>
      <c r="D2216" t="s">
        <v>8</v>
      </c>
    </row>
    <row r="2217" spans="1:4">
      <c r="A2217" t="s">
        <v>6</v>
      </c>
      <c r="B2217">
        <v>31</v>
      </c>
      <c r="C2217" t="str">
        <f>CHOOSE(MATCH(B2217, {20,25,30,35,40,45,50,55,60,65,70,75,80,85}, 1), "20-24", "25-29", "30-34", "35-39", "40-44", "45-49", "50-54", "55-59", "60-64", "65-69", "70-74", "75-79", "80-84", "85+")</f>
        <v>30-34</v>
      </c>
      <c r="D2217" t="s">
        <v>7</v>
      </c>
    </row>
    <row r="2218" spans="1:4">
      <c r="A2218" t="s">
        <v>6</v>
      </c>
      <c r="B2218">
        <v>59</v>
      </c>
      <c r="C2218" t="str">
        <f>CHOOSE(MATCH(B2218, {20,25,30,35,40,45,50,55,60,65,70,75,80,85}, 1), "20-24", "25-29", "30-34", "35-39", "40-44", "45-49", "50-54", "55-59", "60-64", "65-69", "70-74", "75-79", "80-84", "85+")</f>
        <v>55-59</v>
      </c>
      <c r="D2218" t="s">
        <v>7</v>
      </c>
    </row>
    <row r="2219" spans="1:4">
      <c r="A2219" t="s">
        <v>6</v>
      </c>
      <c r="B2219">
        <v>67</v>
      </c>
      <c r="C2219" t="str">
        <f>CHOOSE(MATCH(B2219, {20,25,30,35,40,45,50,55,60,65,70,75,80,85}, 1), "20-24", "25-29", "30-34", "35-39", "40-44", "45-49", "50-54", "55-59", "60-64", "65-69", "70-74", "75-79", "80-84", "85+")</f>
        <v>65-69</v>
      </c>
      <c r="D2219" t="s">
        <v>7</v>
      </c>
    </row>
    <row r="2220" spans="1:4">
      <c r="A2220" t="s">
        <v>6</v>
      </c>
      <c r="B2220">
        <v>35</v>
      </c>
      <c r="C2220" t="str">
        <f>CHOOSE(MATCH(B2220, {20,25,30,35,40,45,50,55,60,65,70,75,80,85}, 1), "20-24", "25-29", "30-34", "35-39", "40-44", "45-49", "50-54", "55-59", "60-64", "65-69", "70-74", "75-79", "80-84", "85+")</f>
        <v>35-39</v>
      </c>
      <c r="D2220" t="s">
        <v>8</v>
      </c>
    </row>
    <row r="2221" spans="1:4">
      <c r="A2221" t="s">
        <v>6</v>
      </c>
      <c r="B2221">
        <v>35</v>
      </c>
      <c r="C2221" t="str">
        <f>CHOOSE(MATCH(B2221, {20,25,30,35,40,45,50,55,60,65,70,75,80,85}, 1), "20-24", "25-29", "30-34", "35-39", "40-44", "45-49", "50-54", "55-59", "60-64", "65-69", "70-74", "75-79", "80-84", "85+")</f>
        <v>35-39</v>
      </c>
      <c r="D2221" t="s">
        <v>7</v>
      </c>
    </row>
    <row r="2222" spans="1:4">
      <c r="A2222" t="s">
        <v>6</v>
      </c>
      <c r="B2222">
        <v>61</v>
      </c>
      <c r="C2222" t="str">
        <f>CHOOSE(MATCH(B2222, {20,25,30,35,40,45,50,55,60,65,70,75,80,85}, 1), "20-24", "25-29", "30-34", "35-39", "40-44", "45-49", "50-54", "55-59", "60-64", "65-69", "70-74", "75-79", "80-84", "85+")</f>
        <v>60-64</v>
      </c>
      <c r="D2222" t="s">
        <v>7</v>
      </c>
    </row>
    <row r="2223" spans="1:4">
      <c r="A2223" t="s">
        <v>6</v>
      </c>
      <c r="B2223">
        <v>57</v>
      </c>
      <c r="C2223" t="str">
        <f>CHOOSE(MATCH(B2223, {20,25,30,35,40,45,50,55,60,65,70,75,80,85}, 1), "20-24", "25-29", "30-34", "35-39", "40-44", "45-49", "50-54", "55-59", "60-64", "65-69", "70-74", "75-79", "80-84", "85+")</f>
        <v>55-59</v>
      </c>
      <c r="D2223" t="s">
        <v>7</v>
      </c>
    </row>
    <row r="2224" spans="1:4">
      <c r="A2224" t="s">
        <v>6</v>
      </c>
      <c r="B2224">
        <v>46</v>
      </c>
      <c r="C2224" t="str">
        <f>CHOOSE(MATCH(B2224, {20,25,30,35,40,45,50,55,60,65,70,75,80,85}, 1), "20-24", "25-29", "30-34", "35-39", "40-44", "45-49", "50-54", "55-59", "60-64", "65-69", "70-74", "75-79", "80-84", "85+")</f>
        <v>45-49</v>
      </c>
      <c r="D2224" t="s">
        <v>7</v>
      </c>
    </row>
    <row r="2225" spans="1:4">
      <c r="A2225" t="s">
        <v>6</v>
      </c>
      <c r="B2225">
        <v>36</v>
      </c>
      <c r="C2225" t="str">
        <f>CHOOSE(MATCH(B2225, {20,25,30,35,40,45,50,55,60,65,70,75,80,85}, 1), "20-24", "25-29", "30-34", "35-39", "40-44", "45-49", "50-54", "55-59", "60-64", "65-69", "70-74", "75-79", "80-84", "85+")</f>
        <v>35-39</v>
      </c>
      <c r="D2225" t="s">
        <v>8</v>
      </c>
    </row>
    <row r="2226" spans="1:4">
      <c r="A2226" t="s">
        <v>6</v>
      </c>
      <c r="B2226">
        <v>30</v>
      </c>
      <c r="C2226" t="str">
        <f>CHOOSE(MATCH(B2226, {20,25,30,35,40,45,50,55,60,65,70,75,80,85}, 1), "20-24", "25-29", "30-34", "35-39", "40-44", "45-49", "50-54", "55-59", "60-64", "65-69", "70-74", "75-79", "80-84", "85+")</f>
        <v>30-34</v>
      </c>
      <c r="D2226" t="s">
        <v>7</v>
      </c>
    </row>
    <row r="2227" spans="1:4">
      <c r="A2227" t="s">
        <v>6</v>
      </c>
      <c r="B2227">
        <v>29</v>
      </c>
      <c r="C2227" t="str">
        <f>CHOOSE(MATCH(B2227, {20,25,30,35,40,45,50,55,60,65,70,75,80,85}, 1), "20-24", "25-29", "30-34", "35-39", "40-44", "45-49", "50-54", "55-59", "60-64", "65-69", "70-74", "75-79", "80-84", "85+")</f>
        <v>25-29</v>
      </c>
      <c r="D2227" t="s">
        <v>7</v>
      </c>
    </row>
    <row r="2228" spans="1:4">
      <c r="A2228" t="s">
        <v>6</v>
      </c>
      <c r="B2228">
        <v>33</v>
      </c>
      <c r="C2228" t="str">
        <f>CHOOSE(MATCH(B2228, {20,25,30,35,40,45,50,55,60,65,70,75,80,85}, 1), "20-24", "25-29", "30-34", "35-39", "40-44", "45-49", "50-54", "55-59", "60-64", "65-69", "70-74", "75-79", "80-84", "85+")</f>
        <v>30-34</v>
      </c>
      <c r="D2228" t="s">
        <v>7</v>
      </c>
    </row>
    <row r="2229" spans="1:4">
      <c r="A2229" t="s">
        <v>6</v>
      </c>
      <c r="B2229">
        <v>42</v>
      </c>
      <c r="C2229" t="str">
        <f>CHOOSE(MATCH(B2229, {20,25,30,35,40,45,50,55,60,65,70,75,80,85}, 1), "20-24", "25-29", "30-34", "35-39", "40-44", "45-49", "50-54", "55-59", "60-64", "65-69", "70-74", "75-79", "80-84", "85+")</f>
        <v>40-44</v>
      </c>
      <c r="D2229" t="s">
        <v>8</v>
      </c>
    </row>
    <row r="2230" spans="1:4">
      <c r="A2230" t="s">
        <v>6</v>
      </c>
      <c r="B2230">
        <v>32</v>
      </c>
      <c r="C2230" t="str">
        <f>CHOOSE(MATCH(B2230, {20,25,30,35,40,45,50,55,60,65,70,75,80,85}, 1), "20-24", "25-29", "30-34", "35-39", "40-44", "45-49", "50-54", "55-59", "60-64", "65-69", "70-74", "75-79", "80-84", "85+")</f>
        <v>30-34</v>
      </c>
      <c r="D2230" t="s">
        <v>8</v>
      </c>
    </row>
    <row r="2231" spans="1:4">
      <c r="A2231" t="s">
        <v>6</v>
      </c>
      <c r="B2231">
        <v>40</v>
      </c>
      <c r="C2231" t="str">
        <f>CHOOSE(MATCH(B2231, {20,25,30,35,40,45,50,55,60,65,70,75,80,85}, 1), "20-24", "25-29", "30-34", "35-39", "40-44", "45-49", "50-54", "55-59", "60-64", "65-69", "70-74", "75-79", "80-84", "85+")</f>
        <v>40-44</v>
      </c>
      <c r="D2231" t="s">
        <v>8</v>
      </c>
    </row>
    <row r="2232" spans="1:4">
      <c r="A2232" t="s">
        <v>6</v>
      </c>
      <c r="B2232">
        <v>65</v>
      </c>
      <c r="C2232" t="str">
        <f>CHOOSE(MATCH(B2232, {20,25,30,35,40,45,50,55,60,65,70,75,80,85}, 1), "20-24", "25-29", "30-34", "35-39", "40-44", "45-49", "50-54", "55-59", "60-64", "65-69", "70-74", "75-79", "80-84", "85+")</f>
        <v>65-69</v>
      </c>
      <c r="D2232" t="s">
        <v>8</v>
      </c>
    </row>
    <row r="2233" spans="1:4">
      <c r="A2233" t="s">
        <v>6</v>
      </c>
      <c r="B2233">
        <v>37</v>
      </c>
      <c r="C2233" t="str">
        <f>CHOOSE(MATCH(B2233, {20,25,30,35,40,45,50,55,60,65,70,75,80,85}, 1), "20-24", "25-29", "30-34", "35-39", "40-44", "45-49", "50-54", "55-59", "60-64", "65-69", "70-74", "75-79", "80-84", "85+")</f>
        <v>35-39</v>
      </c>
      <c r="D2233" t="s">
        <v>7</v>
      </c>
    </row>
    <row r="2234" spans="1:4">
      <c r="A2234" t="s">
        <v>6</v>
      </c>
      <c r="B2234">
        <v>39</v>
      </c>
      <c r="C2234" t="str">
        <f>CHOOSE(MATCH(B2234, {20,25,30,35,40,45,50,55,60,65,70,75,80,85}, 1), "20-24", "25-29", "30-34", "35-39", "40-44", "45-49", "50-54", "55-59", "60-64", "65-69", "70-74", "75-79", "80-84", "85+")</f>
        <v>35-39</v>
      </c>
      <c r="D2234" t="s">
        <v>8</v>
      </c>
    </row>
    <row r="2235" spans="1:4">
      <c r="A2235" t="s">
        <v>6</v>
      </c>
      <c r="B2235">
        <v>45</v>
      </c>
      <c r="C2235" t="str">
        <f>CHOOSE(MATCH(B2235, {20,25,30,35,40,45,50,55,60,65,70,75,80,85}, 1), "20-24", "25-29", "30-34", "35-39", "40-44", "45-49", "50-54", "55-59", "60-64", "65-69", "70-74", "75-79", "80-84", "85+")</f>
        <v>45-49</v>
      </c>
      <c r="D2235" t="s">
        <v>7</v>
      </c>
    </row>
    <row r="2236" spans="1:4">
      <c r="A2236" t="s">
        <v>6</v>
      </c>
      <c r="B2236">
        <v>39</v>
      </c>
      <c r="C2236" t="str">
        <f>CHOOSE(MATCH(B2236, {20,25,30,35,40,45,50,55,60,65,70,75,80,85}, 1), "20-24", "25-29", "30-34", "35-39", "40-44", "45-49", "50-54", "55-59", "60-64", "65-69", "70-74", "75-79", "80-84", "85+")</f>
        <v>35-39</v>
      </c>
      <c r="D2236" t="s">
        <v>7</v>
      </c>
    </row>
    <row r="2237" spans="1:4">
      <c r="A2237" t="s">
        <v>6</v>
      </c>
      <c r="B2237">
        <v>32</v>
      </c>
      <c r="C2237" t="str">
        <f>CHOOSE(MATCH(B2237, {20,25,30,35,40,45,50,55,60,65,70,75,80,85}, 1), "20-24", "25-29", "30-34", "35-39", "40-44", "45-49", "50-54", "55-59", "60-64", "65-69", "70-74", "75-79", "80-84", "85+")</f>
        <v>30-34</v>
      </c>
      <c r="D2237" t="s">
        <v>7</v>
      </c>
    </row>
    <row r="2238" spans="1:4">
      <c r="A2238" t="s">
        <v>6</v>
      </c>
      <c r="B2238">
        <v>61</v>
      </c>
      <c r="C2238" t="str">
        <f>CHOOSE(MATCH(B2238, {20,25,30,35,40,45,50,55,60,65,70,75,80,85}, 1), "20-24", "25-29", "30-34", "35-39", "40-44", "45-49", "50-54", "55-59", "60-64", "65-69", "70-74", "75-79", "80-84", "85+")</f>
        <v>60-64</v>
      </c>
      <c r="D2238" t="s">
        <v>7</v>
      </c>
    </row>
    <row r="2239" spans="1:4">
      <c r="A2239" t="s">
        <v>6</v>
      </c>
      <c r="B2239">
        <v>70</v>
      </c>
      <c r="C2239" t="str">
        <f>CHOOSE(MATCH(B2239, {20,25,30,35,40,45,50,55,60,65,70,75,80,85}, 1), "20-24", "25-29", "30-34", "35-39", "40-44", "45-49", "50-54", "55-59", "60-64", "65-69", "70-74", "75-79", "80-84", "85+")</f>
        <v>70-74</v>
      </c>
      <c r="D2239" t="s">
        <v>7</v>
      </c>
    </row>
    <row r="2240" spans="1:4">
      <c r="A2240" t="s">
        <v>6</v>
      </c>
      <c r="B2240">
        <v>30</v>
      </c>
      <c r="C2240" t="str">
        <f>CHOOSE(MATCH(B2240, {20,25,30,35,40,45,50,55,60,65,70,75,80,85}, 1), "20-24", "25-29", "30-34", "35-39", "40-44", "45-49", "50-54", "55-59", "60-64", "65-69", "70-74", "75-79", "80-84", "85+")</f>
        <v>30-34</v>
      </c>
      <c r="D2240" t="s">
        <v>7</v>
      </c>
    </row>
    <row r="2241" spans="1:4">
      <c r="A2241" t="s">
        <v>6</v>
      </c>
      <c r="B2241">
        <v>59</v>
      </c>
      <c r="C2241" t="str">
        <f>CHOOSE(MATCH(B2241, {20,25,30,35,40,45,50,55,60,65,70,75,80,85}, 1), "20-24", "25-29", "30-34", "35-39", "40-44", "45-49", "50-54", "55-59", "60-64", "65-69", "70-74", "75-79", "80-84", "85+")</f>
        <v>55-59</v>
      </c>
      <c r="D2241" t="s">
        <v>7</v>
      </c>
    </row>
    <row r="2242" spans="1:4">
      <c r="A2242" t="s">
        <v>6</v>
      </c>
      <c r="B2242">
        <v>33</v>
      </c>
      <c r="C2242" t="str">
        <f>CHOOSE(MATCH(B2242, {20,25,30,35,40,45,50,55,60,65,70,75,80,85}, 1), "20-24", "25-29", "30-34", "35-39", "40-44", "45-49", "50-54", "55-59", "60-64", "65-69", "70-74", "75-79", "80-84", "85+")</f>
        <v>30-34</v>
      </c>
      <c r="D2242" t="s">
        <v>7</v>
      </c>
    </row>
    <row r="2243" spans="1:4">
      <c r="A2243" t="s">
        <v>6</v>
      </c>
      <c r="B2243">
        <v>25</v>
      </c>
      <c r="C2243" t="str">
        <f>CHOOSE(MATCH(B2243, {20,25,30,35,40,45,50,55,60,65,70,75,80,85}, 1), "20-24", "25-29", "30-34", "35-39", "40-44", "45-49", "50-54", "55-59", "60-64", "65-69", "70-74", "75-79", "80-84", "85+")</f>
        <v>25-29</v>
      </c>
      <c r="D2243" t="s">
        <v>7</v>
      </c>
    </row>
    <row r="2244" spans="1:4">
      <c r="A2244" t="s">
        <v>6</v>
      </c>
      <c r="B2244">
        <v>26</v>
      </c>
      <c r="C2244" t="str">
        <f>CHOOSE(MATCH(B2244, {20,25,30,35,40,45,50,55,60,65,70,75,80,85}, 1), "20-24", "25-29", "30-34", "35-39", "40-44", "45-49", "50-54", "55-59", "60-64", "65-69", "70-74", "75-79", "80-84", "85+")</f>
        <v>25-29</v>
      </c>
      <c r="D2244" t="s">
        <v>8</v>
      </c>
    </row>
    <row r="2245" spans="1:4">
      <c r="A2245" t="s">
        <v>6</v>
      </c>
      <c r="B2245">
        <v>30</v>
      </c>
      <c r="C2245" t="str">
        <f>CHOOSE(MATCH(B2245, {20,25,30,35,40,45,50,55,60,65,70,75,80,85}, 1), "20-24", "25-29", "30-34", "35-39", "40-44", "45-49", "50-54", "55-59", "60-64", "65-69", "70-74", "75-79", "80-84", "85+")</f>
        <v>30-34</v>
      </c>
      <c r="D2245" t="s">
        <v>7</v>
      </c>
    </row>
    <row r="2246" spans="1:4">
      <c r="A2246" t="s">
        <v>6</v>
      </c>
      <c r="B2246">
        <v>51</v>
      </c>
      <c r="C2246" t="str">
        <f>CHOOSE(MATCH(B2246, {20,25,30,35,40,45,50,55,60,65,70,75,80,85}, 1), "20-24", "25-29", "30-34", "35-39", "40-44", "45-49", "50-54", "55-59", "60-64", "65-69", "70-74", "75-79", "80-84", "85+")</f>
        <v>50-54</v>
      </c>
      <c r="D2246" t="s">
        <v>7</v>
      </c>
    </row>
    <row r="2247" spans="1:4">
      <c r="A2247" t="s">
        <v>6</v>
      </c>
      <c r="B2247">
        <v>35</v>
      </c>
      <c r="C2247" t="str">
        <f>CHOOSE(MATCH(B2247, {20,25,30,35,40,45,50,55,60,65,70,75,80,85}, 1), "20-24", "25-29", "30-34", "35-39", "40-44", "45-49", "50-54", "55-59", "60-64", "65-69", "70-74", "75-79", "80-84", "85+")</f>
        <v>35-39</v>
      </c>
      <c r="D2247" t="s">
        <v>8</v>
      </c>
    </row>
    <row r="2248" spans="1:4">
      <c r="A2248" t="s">
        <v>6</v>
      </c>
      <c r="B2248">
        <v>50</v>
      </c>
      <c r="C2248" t="str">
        <f>CHOOSE(MATCH(B2248, {20,25,30,35,40,45,50,55,60,65,70,75,80,85}, 1), "20-24", "25-29", "30-34", "35-39", "40-44", "45-49", "50-54", "55-59", "60-64", "65-69", "70-74", "75-79", "80-84", "85+")</f>
        <v>50-54</v>
      </c>
      <c r="D2248" t="s">
        <v>7</v>
      </c>
    </row>
    <row r="2249" spans="1:4">
      <c r="A2249" t="s">
        <v>6</v>
      </c>
      <c r="B2249">
        <v>21</v>
      </c>
      <c r="C2249" t="str">
        <f>CHOOSE(MATCH(B2249, {20,25,30,35,40,45,50,55,60,65,70,75,80,85}, 1), "20-24", "25-29", "30-34", "35-39", "40-44", "45-49", "50-54", "55-59", "60-64", "65-69", "70-74", "75-79", "80-84", "85+")</f>
        <v>20-24</v>
      </c>
      <c r="D2249" t="s">
        <v>7</v>
      </c>
    </row>
    <row r="2250" spans="1:4">
      <c r="A2250" t="s">
        <v>6</v>
      </c>
      <c r="B2250">
        <v>63</v>
      </c>
      <c r="C2250" t="str">
        <f>CHOOSE(MATCH(B2250, {20,25,30,35,40,45,50,55,60,65,70,75,80,85}, 1), "20-24", "25-29", "30-34", "35-39", "40-44", "45-49", "50-54", "55-59", "60-64", "65-69", "70-74", "75-79", "80-84", "85+")</f>
        <v>60-64</v>
      </c>
      <c r="D2250" t="s">
        <v>8</v>
      </c>
    </row>
    <row r="2251" spans="1:4">
      <c r="A2251" t="s">
        <v>6</v>
      </c>
      <c r="B2251">
        <v>45</v>
      </c>
      <c r="C2251" t="str">
        <f>CHOOSE(MATCH(B2251, {20,25,30,35,40,45,50,55,60,65,70,75,80,85}, 1), "20-24", "25-29", "30-34", "35-39", "40-44", "45-49", "50-54", "55-59", "60-64", "65-69", "70-74", "75-79", "80-84", "85+")</f>
        <v>45-49</v>
      </c>
      <c r="D2251" t="s">
        <v>7</v>
      </c>
    </row>
    <row r="2252" spans="1:4">
      <c r="A2252" t="s">
        <v>6</v>
      </c>
      <c r="B2252">
        <v>45</v>
      </c>
      <c r="C2252" t="str">
        <f>CHOOSE(MATCH(B2252, {20,25,30,35,40,45,50,55,60,65,70,75,80,85}, 1), "20-24", "25-29", "30-34", "35-39", "40-44", "45-49", "50-54", "55-59", "60-64", "65-69", "70-74", "75-79", "80-84", "85+")</f>
        <v>45-49</v>
      </c>
      <c r="D2252" t="s">
        <v>8</v>
      </c>
    </row>
    <row r="2253" spans="1:4">
      <c r="A2253" t="s">
        <v>6</v>
      </c>
      <c r="B2253">
        <v>34</v>
      </c>
      <c r="C2253" t="str">
        <f>CHOOSE(MATCH(B2253, {20,25,30,35,40,45,50,55,60,65,70,75,80,85}, 1), "20-24", "25-29", "30-34", "35-39", "40-44", "45-49", "50-54", "55-59", "60-64", "65-69", "70-74", "75-79", "80-84", "85+")</f>
        <v>30-34</v>
      </c>
      <c r="D2253" t="s">
        <v>7</v>
      </c>
    </row>
    <row r="2254" spans="1:4">
      <c r="A2254" t="s">
        <v>6</v>
      </c>
      <c r="B2254">
        <v>25</v>
      </c>
      <c r="C2254" t="str">
        <f>CHOOSE(MATCH(B2254, {20,25,30,35,40,45,50,55,60,65,70,75,80,85}, 1), "20-24", "25-29", "30-34", "35-39", "40-44", "45-49", "50-54", "55-59", "60-64", "65-69", "70-74", "75-79", "80-84", "85+")</f>
        <v>25-29</v>
      </c>
      <c r="D2254" t="s">
        <v>7</v>
      </c>
    </row>
    <row r="2255" spans="1:4">
      <c r="A2255" t="s">
        <v>6</v>
      </c>
      <c r="B2255">
        <v>34</v>
      </c>
      <c r="C2255" t="str">
        <f>CHOOSE(MATCH(B2255, {20,25,30,35,40,45,50,55,60,65,70,75,80,85}, 1), "20-24", "25-29", "30-34", "35-39", "40-44", "45-49", "50-54", "55-59", "60-64", "65-69", "70-74", "75-79", "80-84", "85+")</f>
        <v>30-34</v>
      </c>
      <c r="D2255" t="s">
        <v>8</v>
      </c>
    </row>
    <row r="2256" spans="1:4">
      <c r="A2256" t="s">
        <v>6</v>
      </c>
      <c r="B2256">
        <v>62</v>
      </c>
      <c r="C2256" t="str">
        <f>CHOOSE(MATCH(B2256, {20,25,30,35,40,45,50,55,60,65,70,75,80,85}, 1), "20-24", "25-29", "30-34", "35-39", "40-44", "45-49", "50-54", "55-59", "60-64", "65-69", "70-74", "75-79", "80-84", "85+")</f>
        <v>60-64</v>
      </c>
      <c r="D2256" t="s">
        <v>7</v>
      </c>
    </row>
    <row r="2257" spans="1:4">
      <c r="A2257" t="s">
        <v>6</v>
      </c>
      <c r="B2257">
        <v>52</v>
      </c>
      <c r="C2257" t="str">
        <f>CHOOSE(MATCH(B2257, {20,25,30,35,40,45,50,55,60,65,70,75,80,85}, 1), "20-24", "25-29", "30-34", "35-39", "40-44", "45-49", "50-54", "55-59", "60-64", "65-69", "70-74", "75-79", "80-84", "85+")</f>
        <v>50-54</v>
      </c>
      <c r="D2257" t="s">
        <v>7</v>
      </c>
    </row>
    <row r="2258" spans="1:4">
      <c r="A2258" t="s">
        <v>6</v>
      </c>
      <c r="B2258">
        <v>25</v>
      </c>
      <c r="C2258" t="str">
        <f>CHOOSE(MATCH(B2258, {20,25,30,35,40,45,50,55,60,65,70,75,80,85}, 1), "20-24", "25-29", "30-34", "35-39", "40-44", "45-49", "50-54", "55-59", "60-64", "65-69", "70-74", "75-79", "80-84", "85+")</f>
        <v>25-29</v>
      </c>
      <c r="D2258" t="s">
        <v>8</v>
      </c>
    </row>
    <row r="2259" spans="1:4">
      <c r="A2259" t="s">
        <v>6</v>
      </c>
      <c r="B2259">
        <v>32</v>
      </c>
      <c r="C2259" t="str">
        <f>CHOOSE(MATCH(B2259, {20,25,30,35,40,45,50,55,60,65,70,75,80,85}, 1), "20-24", "25-29", "30-34", "35-39", "40-44", "45-49", "50-54", "55-59", "60-64", "65-69", "70-74", "75-79", "80-84", "85+")</f>
        <v>30-34</v>
      </c>
      <c r="D2259" t="s">
        <v>8</v>
      </c>
    </row>
    <row r="2260" spans="1:4">
      <c r="A2260" t="s">
        <v>6</v>
      </c>
      <c r="B2260">
        <v>47</v>
      </c>
      <c r="C2260" t="str">
        <f>CHOOSE(MATCH(B2260, {20,25,30,35,40,45,50,55,60,65,70,75,80,85}, 1), "20-24", "25-29", "30-34", "35-39", "40-44", "45-49", "50-54", "55-59", "60-64", "65-69", "70-74", "75-79", "80-84", "85+")</f>
        <v>45-49</v>
      </c>
      <c r="D2260" t="s">
        <v>8</v>
      </c>
    </row>
    <row r="2261" spans="1:4">
      <c r="A2261" t="s">
        <v>6</v>
      </c>
      <c r="B2261">
        <v>47</v>
      </c>
      <c r="C2261" t="str">
        <f>CHOOSE(MATCH(B2261, {20,25,30,35,40,45,50,55,60,65,70,75,80,85}, 1), "20-24", "25-29", "30-34", "35-39", "40-44", "45-49", "50-54", "55-59", "60-64", "65-69", "70-74", "75-79", "80-84", "85+")</f>
        <v>45-49</v>
      </c>
      <c r="D2261" t="s">
        <v>8</v>
      </c>
    </row>
    <row r="2262" spans="1:4">
      <c r="A2262" t="s">
        <v>6</v>
      </c>
      <c r="B2262">
        <v>33</v>
      </c>
      <c r="C2262" t="str">
        <f>CHOOSE(MATCH(B2262, {20,25,30,35,40,45,50,55,60,65,70,75,80,85}, 1), "20-24", "25-29", "30-34", "35-39", "40-44", "45-49", "50-54", "55-59", "60-64", "65-69", "70-74", "75-79", "80-84", "85+")</f>
        <v>30-34</v>
      </c>
      <c r="D2262" t="s">
        <v>7</v>
      </c>
    </row>
    <row r="2263" spans="1:4">
      <c r="A2263" t="s">
        <v>6</v>
      </c>
      <c r="B2263">
        <v>58</v>
      </c>
      <c r="C2263" t="str">
        <f>CHOOSE(MATCH(B2263, {20,25,30,35,40,45,50,55,60,65,70,75,80,85}, 1), "20-24", "25-29", "30-34", "35-39", "40-44", "45-49", "50-54", "55-59", "60-64", "65-69", "70-74", "75-79", "80-84", "85+")</f>
        <v>55-59</v>
      </c>
      <c r="D2263" t="s">
        <v>8</v>
      </c>
    </row>
    <row r="2264" spans="1:4">
      <c r="A2264" t="s">
        <v>6</v>
      </c>
      <c r="B2264">
        <v>61</v>
      </c>
      <c r="C2264" t="str">
        <f>CHOOSE(MATCH(B2264, {20,25,30,35,40,45,50,55,60,65,70,75,80,85}, 1), "20-24", "25-29", "30-34", "35-39", "40-44", "45-49", "50-54", "55-59", "60-64", "65-69", "70-74", "75-79", "80-84", "85+")</f>
        <v>60-64</v>
      </c>
      <c r="D2264" t="s">
        <v>8</v>
      </c>
    </row>
    <row r="2265" spans="1:4">
      <c r="A2265" t="s">
        <v>6</v>
      </c>
      <c r="B2265">
        <v>35</v>
      </c>
      <c r="C2265" t="str">
        <f>CHOOSE(MATCH(B2265, {20,25,30,35,40,45,50,55,60,65,70,75,80,85}, 1), "20-24", "25-29", "30-34", "35-39", "40-44", "45-49", "50-54", "55-59", "60-64", "65-69", "70-74", "75-79", "80-84", "85+")</f>
        <v>35-39</v>
      </c>
      <c r="D2265" t="s">
        <v>7</v>
      </c>
    </row>
    <row r="2266" spans="1:4">
      <c r="A2266" t="s">
        <v>6</v>
      </c>
      <c r="B2266">
        <v>27</v>
      </c>
      <c r="C2266" t="str">
        <f>CHOOSE(MATCH(B2266, {20,25,30,35,40,45,50,55,60,65,70,75,80,85}, 1), "20-24", "25-29", "30-34", "35-39", "40-44", "45-49", "50-54", "55-59", "60-64", "65-69", "70-74", "75-79", "80-84", "85+")</f>
        <v>25-29</v>
      </c>
      <c r="D2266" t="s">
        <v>7</v>
      </c>
    </row>
    <row r="2267" spans="1:4">
      <c r="A2267" t="s">
        <v>6</v>
      </c>
      <c r="B2267">
        <v>29</v>
      </c>
      <c r="C2267" t="str">
        <f>CHOOSE(MATCH(B2267, {20,25,30,35,40,45,50,55,60,65,70,75,80,85}, 1), "20-24", "25-29", "30-34", "35-39", "40-44", "45-49", "50-54", "55-59", "60-64", "65-69", "70-74", "75-79", "80-84", "85+")</f>
        <v>25-29</v>
      </c>
      <c r="D2267" t="s">
        <v>7</v>
      </c>
    </row>
    <row r="2268" spans="1:4">
      <c r="A2268" t="s">
        <v>6</v>
      </c>
      <c r="B2268">
        <v>24</v>
      </c>
      <c r="C2268" t="str">
        <f>CHOOSE(MATCH(B2268, {20,25,30,35,40,45,50,55,60,65,70,75,80,85}, 1), "20-24", "25-29", "30-34", "35-39", "40-44", "45-49", "50-54", "55-59", "60-64", "65-69", "70-74", "75-79", "80-84", "85+")</f>
        <v>20-24</v>
      </c>
      <c r="D2268" t="s">
        <v>7</v>
      </c>
    </row>
    <row r="2269" spans="1:4">
      <c r="A2269" t="s">
        <v>6</v>
      </c>
      <c r="B2269">
        <v>66</v>
      </c>
      <c r="C2269" t="str">
        <f>CHOOSE(MATCH(B2269, {20,25,30,35,40,45,50,55,60,65,70,75,80,85}, 1), "20-24", "25-29", "30-34", "35-39", "40-44", "45-49", "50-54", "55-59", "60-64", "65-69", "70-74", "75-79", "80-84", "85+")</f>
        <v>65-69</v>
      </c>
      <c r="D2269" t="s">
        <v>7</v>
      </c>
    </row>
    <row r="2270" spans="1:4">
      <c r="A2270" t="s">
        <v>6</v>
      </c>
      <c r="B2270">
        <v>56</v>
      </c>
      <c r="C2270" t="str">
        <f>CHOOSE(MATCH(B2270, {20,25,30,35,40,45,50,55,60,65,70,75,80,85}, 1), "20-24", "25-29", "30-34", "35-39", "40-44", "45-49", "50-54", "55-59", "60-64", "65-69", "70-74", "75-79", "80-84", "85+")</f>
        <v>55-59</v>
      </c>
      <c r="D2270" t="s">
        <v>8</v>
      </c>
    </row>
    <row r="2271" spans="1:4">
      <c r="A2271" t="s">
        <v>6</v>
      </c>
      <c r="B2271">
        <v>27</v>
      </c>
      <c r="C2271" t="str">
        <f>CHOOSE(MATCH(B2271, {20,25,30,35,40,45,50,55,60,65,70,75,80,85}, 1), "20-24", "25-29", "30-34", "35-39", "40-44", "45-49", "50-54", "55-59", "60-64", "65-69", "70-74", "75-79", "80-84", "85+")</f>
        <v>25-29</v>
      </c>
      <c r="D2271" t="s">
        <v>7</v>
      </c>
    </row>
    <row r="2272" spans="1:4">
      <c r="A2272" t="s">
        <v>6</v>
      </c>
      <c r="B2272">
        <v>32</v>
      </c>
      <c r="C2272" t="str">
        <f>CHOOSE(MATCH(B2272, {20,25,30,35,40,45,50,55,60,65,70,75,80,85}, 1), "20-24", "25-29", "30-34", "35-39", "40-44", "45-49", "50-54", "55-59", "60-64", "65-69", "70-74", "75-79", "80-84", "85+")</f>
        <v>30-34</v>
      </c>
      <c r="D2272" t="s">
        <v>8</v>
      </c>
    </row>
    <row r="2273" spans="1:4">
      <c r="A2273" t="s">
        <v>6</v>
      </c>
      <c r="B2273">
        <v>52</v>
      </c>
      <c r="C2273" t="str">
        <f>CHOOSE(MATCH(B2273, {20,25,30,35,40,45,50,55,60,65,70,75,80,85}, 1), "20-24", "25-29", "30-34", "35-39", "40-44", "45-49", "50-54", "55-59", "60-64", "65-69", "70-74", "75-79", "80-84", "85+")</f>
        <v>50-54</v>
      </c>
      <c r="D2273" t="s">
        <v>8</v>
      </c>
    </row>
    <row r="2274" spans="1:4">
      <c r="A2274" t="s">
        <v>6</v>
      </c>
      <c r="B2274">
        <v>30</v>
      </c>
      <c r="C2274" t="str">
        <f>CHOOSE(MATCH(B2274, {20,25,30,35,40,45,50,55,60,65,70,75,80,85}, 1), "20-24", "25-29", "30-34", "35-39", "40-44", "45-49", "50-54", "55-59", "60-64", "65-69", "70-74", "75-79", "80-84", "85+")</f>
        <v>30-34</v>
      </c>
      <c r="D2274" t="s">
        <v>7</v>
      </c>
    </row>
    <row r="2275" spans="1:4">
      <c r="A2275" t="s">
        <v>6</v>
      </c>
      <c r="B2275">
        <v>75</v>
      </c>
      <c r="C2275" t="str">
        <f>CHOOSE(MATCH(B2275, {20,25,30,35,40,45,50,55,60,65,70,75,80,85}, 1), "20-24", "25-29", "30-34", "35-39", "40-44", "45-49", "50-54", "55-59", "60-64", "65-69", "70-74", "75-79", "80-84", "85+")</f>
        <v>75-79</v>
      </c>
      <c r="D2275" t="s">
        <v>7</v>
      </c>
    </row>
    <row r="2276" spans="1:4">
      <c r="A2276" t="s">
        <v>6</v>
      </c>
      <c r="B2276">
        <v>55</v>
      </c>
      <c r="C2276" t="str">
        <f>CHOOSE(MATCH(B2276, {20,25,30,35,40,45,50,55,60,65,70,75,80,85}, 1), "20-24", "25-29", "30-34", "35-39", "40-44", "45-49", "50-54", "55-59", "60-64", "65-69", "70-74", "75-79", "80-84", "85+")</f>
        <v>55-59</v>
      </c>
      <c r="D2276" t="s">
        <v>7</v>
      </c>
    </row>
    <row r="2277" spans="1:4">
      <c r="A2277" t="s">
        <v>6</v>
      </c>
      <c r="B2277">
        <v>47</v>
      </c>
      <c r="C2277" t="str">
        <f>CHOOSE(MATCH(B2277, {20,25,30,35,40,45,50,55,60,65,70,75,80,85}, 1), "20-24", "25-29", "30-34", "35-39", "40-44", "45-49", "50-54", "55-59", "60-64", "65-69", "70-74", "75-79", "80-84", "85+")</f>
        <v>45-49</v>
      </c>
      <c r="D2277" t="s">
        <v>7</v>
      </c>
    </row>
    <row r="2278" spans="1:4">
      <c r="A2278" t="s">
        <v>6</v>
      </c>
      <c r="B2278">
        <v>40</v>
      </c>
      <c r="C2278" t="str">
        <f>CHOOSE(MATCH(B2278, {20,25,30,35,40,45,50,55,60,65,70,75,80,85}, 1), "20-24", "25-29", "30-34", "35-39", "40-44", "45-49", "50-54", "55-59", "60-64", "65-69", "70-74", "75-79", "80-84", "85+")</f>
        <v>40-44</v>
      </c>
      <c r="D2278" t="s">
        <v>8</v>
      </c>
    </row>
    <row r="2279" spans="1:4">
      <c r="A2279" t="s">
        <v>6</v>
      </c>
      <c r="B2279">
        <v>72</v>
      </c>
      <c r="C2279" t="str">
        <f>CHOOSE(MATCH(B2279, {20,25,30,35,40,45,50,55,60,65,70,75,80,85}, 1), "20-24", "25-29", "30-34", "35-39", "40-44", "45-49", "50-54", "55-59", "60-64", "65-69", "70-74", "75-79", "80-84", "85+")</f>
        <v>70-74</v>
      </c>
      <c r="D2279" t="s">
        <v>7</v>
      </c>
    </row>
    <row r="2280" spans="1:4">
      <c r="A2280" t="s">
        <v>6</v>
      </c>
      <c r="B2280">
        <v>30</v>
      </c>
      <c r="C2280" t="str">
        <f>CHOOSE(MATCH(B2280, {20,25,30,35,40,45,50,55,60,65,70,75,80,85}, 1), "20-24", "25-29", "30-34", "35-39", "40-44", "45-49", "50-54", "55-59", "60-64", "65-69", "70-74", "75-79", "80-84", "85+")</f>
        <v>30-34</v>
      </c>
      <c r="D2280" t="s">
        <v>8</v>
      </c>
    </row>
    <row r="2281" spans="1:4">
      <c r="A2281" t="s">
        <v>6</v>
      </c>
      <c r="B2281">
        <v>72</v>
      </c>
      <c r="C2281" t="str">
        <f>CHOOSE(MATCH(B2281, {20,25,30,35,40,45,50,55,60,65,70,75,80,85}, 1), "20-24", "25-29", "30-34", "35-39", "40-44", "45-49", "50-54", "55-59", "60-64", "65-69", "70-74", "75-79", "80-84", "85+")</f>
        <v>70-74</v>
      </c>
      <c r="D2281" t="s">
        <v>8</v>
      </c>
    </row>
    <row r="2282" spans="1:4">
      <c r="A2282" t="s">
        <v>6</v>
      </c>
      <c r="B2282">
        <v>62</v>
      </c>
      <c r="C2282" t="str">
        <f>CHOOSE(MATCH(B2282, {20,25,30,35,40,45,50,55,60,65,70,75,80,85}, 1), "20-24", "25-29", "30-34", "35-39", "40-44", "45-49", "50-54", "55-59", "60-64", "65-69", "70-74", "75-79", "80-84", "85+")</f>
        <v>60-64</v>
      </c>
      <c r="D2282" t="s">
        <v>7</v>
      </c>
    </row>
    <row r="2283" spans="1:4">
      <c r="A2283" t="s">
        <v>6</v>
      </c>
      <c r="B2283">
        <v>49</v>
      </c>
      <c r="C2283" t="str">
        <f>CHOOSE(MATCH(B2283, {20,25,30,35,40,45,50,55,60,65,70,75,80,85}, 1), "20-24", "25-29", "30-34", "35-39", "40-44", "45-49", "50-54", "55-59", "60-64", "65-69", "70-74", "75-79", "80-84", "85+")</f>
        <v>45-49</v>
      </c>
      <c r="D2283" t="s">
        <v>7</v>
      </c>
    </row>
    <row r="2284" spans="1:4">
      <c r="A2284" t="s">
        <v>6</v>
      </c>
      <c r="B2284">
        <v>51</v>
      </c>
      <c r="C2284" t="str">
        <f>CHOOSE(MATCH(B2284, {20,25,30,35,40,45,50,55,60,65,70,75,80,85}, 1), "20-24", "25-29", "30-34", "35-39", "40-44", "45-49", "50-54", "55-59", "60-64", "65-69", "70-74", "75-79", "80-84", "85+")</f>
        <v>50-54</v>
      </c>
      <c r="D2284" t="s">
        <v>7</v>
      </c>
    </row>
    <row r="2285" spans="1:4">
      <c r="A2285" t="s">
        <v>6</v>
      </c>
      <c r="B2285">
        <v>31</v>
      </c>
      <c r="C2285" t="str">
        <f>CHOOSE(MATCH(B2285, {20,25,30,35,40,45,50,55,60,65,70,75,80,85}, 1), "20-24", "25-29", "30-34", "35-39", "40-44", "45-49", "50-54", "55-59", "60-64", "65-69", "70-74", "75-79", "80-84", "85+")</f>
        <v>30-34</v>
      </c>
      <c r="D2285" t="s">
        <v>7</v>
      </c>
    </row>
    <row r="2286" spans="1:4">
      <c r="A2286" t="s">
        <v>6</v>
      </c>
      <c r="B2286">
        <v>26</v>
      </c>
      <c r="C2286" t="str">
        <f>CHOOSE(MATCH(B2286, {20,25,30,35,40,45,50,55,60,65,70,75,80,85}, 1), "20-24", "25-29", "30-34", "35-39", "40-44", "45-49", "50-54", "55-59", "60-64", "65-69", "70-74", "75-79", "80-84", "85+")</f>
        <v>25-29</v>
      </c>
      <c r="D2286" t="s">
        <v>8</v>
      </c>
    </row>
    <row r="2287" spans="1:4">
      <c r="A2287" t="s">
        <v>6</v>
      </c>
      <c r="B2287">
        <v>46</v>
      </c>
      <c r="C2287" t="str">
        <f>CHOOSE(MATCH(B2287, {20,25,30,35,40,45,50,55,60,65,70,75,80,85}, 1), "20-24", "25-29", "30-34", "35-39", "40-44", "45-49", "50-54", "55-59", "60-64", "65-69", "70-74", "75-79", "80-84", "85+")</f>
        <v>45-49</v>
      </c>
      <c r="D2287" t="s">
        <v>8</v>
      </c>
    </row>
    <row r="2288" spans="1:4">
      <c r="A2288" t="s">
        <v>6</v>
      </c>
      <c r="B2288">
        <v>27</v>
      </c>
      <c r="C2288" t="str">
        <f>CHOOSE(MATCH(B2288, {20,25,30,35,40,45,50,55,60,65,70,75,80,85}, 1), "20-24", "25-29", "30-34", "35-39", "40-44", "45-49", "50-54", "55-59", "60-64", "65-69", "70-74", "75-79", "80-84", "85+")</f>
        <v>25-29</v>
      </c>
      <c r="D2288" t="s">
        <v>7</v>
      </c>
    </row>
    <row r="2289" spans="1:4">
      <c r="A2289" t="s">
        <v>6</v>
      </c>
      <c r="B2289">
        <v>32</v>
      </c>
      <c r="C2289" t="str">
        <f>CHOOSE(MATCH(B2289, {20,25,30,35,40,45,50,55,60,65,70,75,80,85}, 1), "20-24", "25-29", "30-34", "35-39", "40-44", "45-49", "50-54", "55-59", "60-64", "65-69", "70-74", "75-79", "80-84", "85+")</f>
        <v>30-34</v>
      </c>
      <c r="D2289" t="s">
        <v>7</v>
      </c>
    </row>
    <row r="2290" spans="1:4">
      <c r="A2290" t="s">
        <v>6</v>
      </c>
      <c r="B2290">
        <v>24</v>
      </c>
      <c r="C2290" t="str">
        <f>CHOOSE(MATCH(B2290, {20,25,30,35,40,45,50,55,60,65,70,75,80,85}, 1), "20-24", "25-29", "30-34", "35-39", "40-44", "45-49", "50-54", "55-59", "60-64", "65-69", "70-74", "75-79", "80-84", "85+")</f>
        <v>20-24</v>
      </c>
      <c r="D2290" t="s">
        <v>8</v>
      </c>
    </row>
    <row r="2291" spans="1:4">
      <c r="A2291" t="s">
        <v>6</v>
      </c>
      <c r="B2291">
        <v>32</v>
      </c>
      <c r="C2291" t="str">
        <f>CHOOSE(MATCH(B2291, {20,25,30,35,40,45,50,55,60,65,70,75,80,85}, 1), "20-24", "25-29", "30-34", "35-39", "40-44", "45-49", "50-54", "55-59", "60-64", "65-69", "70-74", "75-79", "80-84", "85+")</f>
        <v>30-34</v>
      </c>
      <c r="D2291" t="s">
        <v>8</v>
      </c>
    </row>
    <row r="2292" spans="1:4">
      <c r="A2292" t="s">
        <v>6</v>
      </c>
      <c r="B2292">
        <v>50</v>
      </c>
      <c r="C2292" t="str">
        <f>CHOOSE(MATCH(B2292, {20,25,30,35,40,45,50,55,60,65,70,75,80,85}, 1), "20-24", "25-29", "30-34", "35-39", "40-44", "45-49", "50-54", "55-59", "60-64", "65-69", "70-74", "75-79", "80-84", "85+")</f>
        <v>50-54</v>
      </c>
      <c r="D2292" t="s">
        <v>8</v>
      </c>
    </row>
    <row r="2293" spans="1:4">
      <c r="A2293" t="s">
        <v>6</v>
      </c>
      <c r="B2293">
        <v>29</v>
      </c>
      <c r="C2293" t="str">
        <f>CHOOSE(MATCH(B2293, {20,25,30,35,40,45,50,55,60,65,70,75,80,85}, 1), "20-24", "25-29", "30-34", "35-39", "40-44", "45-49", "50-54", "55-59", "60-64", "65-69", "70-74", "75-79", "80-84", "85+")</f>
        <v>25-29</v>
      </c>
      <c r="D2293" t="s">
        <v>7</v>
      </c>
    </row>
    <row r="2294" spans="1:4">
      <c r="A2294" t="s">
        <v>6</v>
      </c>
      <c r="B2294">
        <v>71</v>
      </c>
      <c r="C2294" t="str">
        <f>CHOOSE(MATCH(B2294, {20,25,30,35,40,45,50,55,60,65,70,75,80,85}, 1), "20-24", "25-29", "30-34", "35-39", "40-44", "45-49", "50-54", "55-59", "60-64", "65-69", "70-74", "75-79", "80-84", "85+")</f>
        <v>70-74</v>
      </c>
      <c r="D2294" t="s">
        <v>7</v>
      </c>
    </row>
    <row r="2295" spans="1:4">
      <c r="A2295" t="s">
        <v>6</v>
      </c>
      <c r="B2295">
        <v>51</v>
      </c>
      <c r="C2295" t="str">
        <f>CHOOSE(MATCH(B2295, {20,25,30,35,40,45,50,55,60,65,70,75,80,85}, 1), "20-24", "25-29", "30-34", "35-39", "40-44", "45-49", "50-54", "55-59", "60-64", "65-69", "70-74", "75-79", "80-84", "85+")</f>
        <v>50-54</v>
      </c>
      <c r="D2295" t="s">
        <v>7</v>
      </c>
    </row>
    <row r="2296" spans="1:4">
      <c r="A2296" t="s">
        <v>6</v>
      </c>
      <c r="B2296">
        <v>37</v>
      </c>
      <c r="C2296" t="str">
        <f>CHOOSE(MATCH(B2296, {20,25,30,35,40,45,50,55,60,65,70,75,80,85}, 1), "20-24", "25-29", "30-34", "35-39", "40-44", "45-49", "50-54", "55-59", "60-64", "65-69", "70-74", "75-79", "80-84", "85+")</f>
        <v>35-39</v>
      </c>
      <c r="D2296" t="s">
        <v>8</v>
      </c>
    </row>
    <row r="2297" spans="1:4">
      <c r="A2297" t="s">
        <v>6</v>
      </c>
      <c r="B2297">
        <v>27</v>
      </c>
      <c r="C2297" t="str">
        <f>CHOOSE(MATCH(B2297, {20,25,30,35,40,45,50,55,60,65,70,75,80,85}, 1), "20-24", "25-29", "30-34", "35-39", "40-44", "45-49", "50-54", "55-59", "60-64", "65-69", "70-74", "75-79", "80-84", "85+")</f>
        <v>25-29</v>
      </c>
      <c r="D2297" t="s">
        <v>7</v>
      </c>
    </row>
    <row r="2298" spans="1:4">
      <c r="A2298" t="s">
        <v>6</v>
      </c>
      <c r="B2298">
        <v>30</v>
      </c>
      <c r="C2298" t="str">
        <f>CHOOSE(MATCH(B2298, {20,25,30,35,40,45,50,55,60,65,70,75,80,85}, 1), "20-24", "25-29", "30-34", "35-39", "40-44", "45-49", "50-54", "55-59", "60-64", "65-69", "70-74", "75-79", "80-84", "85+")</f>
        <v>30-34</v>
      </c>
      <c r="D2298" t="s">
        <v>7</v>
      </c>
    </row>
    <row r="2299" spans="1:4">
      <c r="A2299" t="s">
        <v>6</v>
      </c>
      <c r="B2299">
        <v>73</v>
      </c>
      <c r="C2299" t="str">
        <f>CHOOSE(MATCH(B2299, {20,25,30,35,40,45,50,55,60,65,70,75,80,85}, 1), "20-24", "25-29", "30-34", "35-39", "40-44", "45-49", "50-54", "55-59", "60-64", "65-69", "70-74", "75-79", "80-84", "85+")</f>
        <v>70-74</v>
      </c>
      <c r="D2299" t="s">
        <v>7</v>
      </c>
    </row>
    <row r="2300" spans="1:4">
      <c r="A2300" t="s">
        <v>6</v>
      </c>
      <c r="B2300">
        <v>57</v>
      </c>
      <c r="C2300" t="str">
        <f>CHOOSE(MATCH(B2300, {20,25,30,35,40,45,50,55,60,65,70,75,80,85}, 1), "20-24", "25-29", "30-34", "35-39", "40-44", "45-49", "50-54", "55-59", "60-64", "65-69", "70-74", "75-79", "80-84", "85+")</f>
        <v>55-59</v>
      </c>
      <c r="D2300" t="s">
        <v>8</v>
      </c>
    </row>
    <row r="2301" spans="1:4">
      <c r="A2301" t="s">
        <v>6</v>
      </c>
      <c r="B2301">
        <v>25</v>
      </c>
      <c r="C2301" t="str">
        <f>CHOOSE(MATCH(B2301, {20,25,30,35,40,45,50,55,60,65,70,75,80,85}, 1), "20-24", "25-29", "30-34", "35-39", "40-44", "45-49", "50-54", "55-59", "60-64", "65-69", "70-74", "75-79", "80-84", "85+")</f>
        <v>25-29</v>
      </c>
      <c r="D2301" t="s">
        <v>7</v>
      </c>
    </row>
    <row r="2302" spans="1:4">
      <c r="A2302" t="s">
        <v>6</v>
      </c>
      <c r="B2302">
        <v>23</v>
      </c>
      <c r="C2302" t="str">
        <f>CHOOSE(MATCH(B2302, {20,25,30,35,40,45,50,55,60,65,70,75,80,85}, 1), "20-24", "25-29", "30-34", "35-39", "40-44", "45-49", "50-54", "55-59", "60-64", "65-69", "70-74", "75-79", "80-84", "85+")</f>
        <v>20-24</v>
      </c>
      <c r="D2302" t="s">
        <v>7</v>
      </c>
    </row>
    <row r="2303" spans="1:4">
      <c r="A2303" t="s">
        <v>6</v>
      </c>
      <c r="B2303">
        <v>50</v>
      </c>
      <c r="C2303" t="str">
        <f>CHOOSE(MATCH(B2303, {20,25,30,35,40,45,50,55,60,65,70,75,80,85}, 1), "20-24", "25-29", "30-34", "35-39", "40-44", "45-49", "50-54", "55-59", "60-64", "65-69", "70-74", "75-79", "80-84", "85+")</f>
        <v>50-54</v>
      </c>
      <c r="D2303" t="s">
        <v>8</v>
      </c>
    </row>
    <row r="2304" spans="1:4">
      <c r="A2304" t="s">
        <v>6</v>
      </c>
      <c r="B2304">
        <v>66</v>
      </c>
      <c r="C2304" t="str">
        <f>CHOOSE(MATCH(B2304, {20,25,30,35,40,45,50,55,60,65,70,75,80,85}, 1), "20-24", "25-29", "30-34", "35-39", "40-44", "45-49", "50-54", "55-59", "60-64", "65-69", "70-74", "75-79", "80-84", "85+")</f>
        <v>65-69</v>
      </c>
      <c r="D2304" t="s">
        <v>8</v>
      </c>
    </row>
    <row r="2305" spans="1:4">
      <c r="A2305" t="s">
        <v>6</v>
      </c>
      <c r="B2305">
        <v>62</v>
      </c>
      <c r="C2305" t="str">
        <f>CHOOSE(MATCH(B2305, {20,25,30,35,40,45,50,55,60,65,70,75,80,85}, 1), "20-24", "25-29", "30-34", "35-39", "40-44", "45-49", "50-54", "55-59", "60-64", "65-69", "70-74", "75-79", "80-84", "85+")</f>
        <v>60-64</v>
      </c>
      <c r="D2305" t="s">
        <v>7</v>
      </c>
    </row>
    <row r="2306" spans="1:4">
      <c r="A2306" t="s">
        <v>6</v>
      </c>
      <c r="B2306">
        <v>50</v>
      </c>
      <c r="C2306" t="str">
        <f>CHOOSE(MATCH(B2306, {20,25,30,35,40,45,50,55,60,65,70,75,80,85}, 1), "20-24", "25-29", "30-34", "35-39", "40-44", "45-49", "50-54", "55-59", "60-64", "65-69", "70-74", "75-79", "80-84", "85+")</f>
        <v>50-54</v>
      </c>
      <c r="D2306" t="s">
        <v>8</v>
      </c>
    </row>
    <row r="2307" spans="1:4">
      <c r="A2307" t="s">
        <v>6</v>
      </c>
      <c r="B2307">
        <v>29</v>
      </c>
      <c r="C2307" t="str">
        <f>CHOOSE(MATCH(B2307, {20,25,30,35,40,45,50,55,60,65,70,75,80,85}, 1), "20-24", "25-29", "30-34", "35-39", "40-44", "45-49", "50-54", "55-59", "60-64", "65-69", "70-74", "75-79", "80-84", "85+")</f>
        <v>25-29</v>
      </c>
      <c r="D2307" t="s">
        <v>7</v>
      </c>
    </row>
    <row r="2308" spans="1:4">
      <c r="A2308" t="s">
        <v>6</v>
      </c>
      <c r="B2308">
        <v>64</v>
      </c>
      <c r="C2308" t="str">
        <f>CHOOSE(MATCH(B2308, {20,25,30,35,40,45,50,55,60,65,70,75,80,85}, 1), "20-24", "25-29", "30-34", "35-39", "40-44", "45-49", "50-54", "55-59", "60-64", "65-69", "70-74", "75-79", "80-84", "85+")</f>
        <v>60-64</v>
      </c>
      <c r="D2308" t="s">
        <v>8</v>
      </c>
    </row>
    <row r="2309" spans="1:4">
      <c r="A2309" t="s">
        <v>6</v>
      </c>
      <c r="B2309">
        <v>35</v>
      </c>
      <c r="C2309" t="str">
        <f>CHOOSE(MATCH(B2309, {20,25,30,35,40,45,50,55,60,65,70,75,80,85}, 1), "20-24", "25-29", "30-34", "35-39", "40-44", "45-49", "50-54", "55-59", "60-64", "65-69", "70-74", "75-79", "80-84", "85+")</f>
        <v>35-39</v>
      </c>
      <c r="D2309" t="s">
        <v>8</v>
      </c>
    </row>
    <row r="2310" spans="1:4">
      <c r="A2310" t="s">
        <v>6</v>
      </c>
      <c r="B2310">
        <v>48</v>
      </c>
      <c r="C2310" t="str">
        <f>CHOOSE(MATCH(B2310, {20,25,30,35,40,45,50,55,60,65,70,75,80,85}, 1), "20-24", "25-29", "30-34", "35-39", "40-44", "45-49", "50-54", "55-59", "60-64", "65-69", "70-74", "75-79", "80-84", "85+")</f>
        <v>45-49</v>
      </c>
      <c r="D2310" t="s">
        <v>7</v>
      </c>
    </row>
    <row r="2311" spans="1:4">
      <c r="A2311" t="s">
        <v>6</v>
      </c>
      <c r="B2311">
        <v>59</v>
      </c>
      <c r="C2311" t="str">
        <f>CHOOSE(MATCH(B2311, {20,25,30,35,40,45,50,55,60,65,70,75,80,85}, 1), "20-24", "25-29", "30-34", "35-39", "40-44", "45-49", "50-54", "55-59", "60-64", "65-69", "70-74", "75-79", "80-84", "85+")</f>
        <v>55-59</v>
      </c>
      <c r="D2311" t="s">
        <v>7</v>
      </c>
    </row>
    <row r="2312" spans="1:4">
      <c r="A2312" t="s">
        <v>6</v>
      </c>
      <c r="B2312">
        <v>26</v>
      </c>
      <c r="C2312" t="str">
        <f>CHOOSE(MATCH(B2312, {20,25,30,35,40,45,50,55,60,65,70,75,80,85}, 1), "20-24", "25-29", "30-34", "35-39", "40-44", "45-49", "50-54", "55-59", "60-64", "65-69", "70-74", "75-79", "80-84", "85+")</f>
        <v>25-29</v>
      </c>
      <c r="D2312" t="s">
        <v>7</v>
      </c>
    </row>
    <row r="2313" spans="1:4">
      <c r="A2313" t="s">
        <v>6</v>
      </c>
      <c r="B2313">
        <v>23</v>
      </c>
      <c r="C2313" t="str">
        <f>CHOOSE(MATCH(B2313, {20,25,30,35,40,45,50,55,60,65,70,75,80,85}, 1), "20-24", "25-29", "30-34", "35-39", "40-44", "45-49", "50-54", "55-59", "60-64", "65-69", "70-74", "75-79", "80-84", "85+")</f>
        <v>20-24</v>
      </c>
      <c r="D2313" t="s">
        <v>8</v>
      </c>
    </row>
    <row r="2314" spans="1:4">
      <c r="A2314" t="s">
        <v>6</v>
      </c>
      <c r="B2314">
        <v>85</v>
      </c>
      <c r="C2314" t="str">
        <f>CHOOSE(MATCH(B2314, {20,25,30,35,40,45,50,55,60,65,70,75,80,85}, 1), "20-24", "25-29", "30-34", "35-39", "40-44", "45-49", "50-54", "55-59", "60-64", "65-69", "70-74", "75-79", "80-84", "85+")</f>
        <v>85+</v>
      </c>
      <c r="D2314" t="s">
        <v>8</v>
      </c>
    </row>
    <row r="2315" spans="1:4">
      <c r="A2315" t="s">
        <v>6</v>
      </c>
      <c r="B2315">
        <v>54</v>
      </c>
      <c r="C2315" t="str">
        <f>CHOOSE(MATCH(B2315, {20,25,30,35,40,45,50,55,60,65,70,75,80,85}, 1), "20-24", "25-29", "30-34", "35-39", "40-44", "45-49", "50-54", "55-59", "60-64", "65-69", "70-74", "75-79", "80-84", "85+")</f>
        <v>50-54</v>
      </c>
      <c r="D2315" t="s">
        <v>7</v>
      </c>
    </row>
    <row r="2316" spans="1:4">
      <c r="A2316" t="s">
        <v>6</v>
      </c>
      <c r="B2316">
        <v>36</v>
      </c>
      <c r="C2316" t="str">
        <f>CHOOSE(MATCH(B2316, {20,25,30,35,40,45,50,55,60,65,70,75,80,85}, 1), "20-24", "25-29", "30-34", "35-39", "40-44", "45-49", "50-54", "55-59", "60-64", "65-69", "70-74", "75-79", "80-84", "85+")</f>
        <v>35-39</v>
      </c>
      <c r="D2316" t="s">
        <v>7</v>
      </c>
    </row>
    <row r="2317" spans="1:4">
      <c r="A2317" t="s">
        <v>6</v>
      </c>
      <c r="B2317">
        <v>32</v>
      </c>
      <c r="C2317" t="str">
        <f>CHOOSE(MATCH(B2317, {20,25,30,35,40,45,50,55,60,65,70,75,80,85}, 1), "20-24", "25-29", "30-34", "35-39", "40-44", "45-49", "50-54", "55-59", "60-64", "65-69", "70-74", "75-79", "80-84", "85+")</f>
        <v>30-34</v>
      </c>
      <c r="D2317" t="s">
        <v>8</v>
      </c>
    </row>
    <row r="2318" spans="1:4">
      <c r="A2318" t="s">
        <v>6</v>
      </c>
      <c r="B2318">
        <v>35</v>
      </c>
      <c r="C2318" t="str">
        <f>CHOOSE(MATCH(B2318, {20,25,30,35,40,45,50,55,60,65,70,75,80,85}, 1), "20-24", "25-29", "30-34", "35-39", "40-44", "45-49", "50-54", "55-59", "60-64", "65-69", "70-74", "75-79", "80-84", "85+")</f>
        <v>35-39</v>
      </c>
      <c r="D2318" t="s">
        <v>8</v>
      </c>
    </row>
    <row r="2319" spans="1:4">
      <c r="A2319" t="s">
        <v>6</v>
      </c>
      <c r="B2319">
        <v>60</v>
      </c>
      <c r="C2319" t="str">
        <f>CHOOSE(MATCH(B2319, {20,25,30,35,40,45,50,55,60,65,70,75,80,85}, 1), "20-24", "25-29", "30-34", "35-39", "40-44", "45-49", "50-54", "55-59", "60-64", "65-69", "70-74", "75-79", "80-84", "85+")</f>
        <v>60-64</v>
      </c>
      <c r="D2319" t="s">
        <v>7</v>
      </c>
    </row>
    <row r="2320" spans="1:4">
      <c r="A2320" t="s">
        <v>6</v>
      </c>
      <c r="B2320">
        <v>36</v>
      </c>
      <c r="C2320" t="str">
        <f>CHOOSE(MATCH(B2320, {20,25,30,35,40,45,50,55,60,65,70,75,80,85}, 1), "20-24", "25-29", "30-34", "35-39", "40-44", "45-49", "50-54", "55-59", "60-64", "65-69", "70-74", "75-79", "80-84", "85+")</f>
        <v>35-39</v>
      </c>
      <c r="D2320" t="s">
        <v>7</v>
      </c>
    </row>
    <row r="2321" spans="1:4">
      <c r="A2321" t="s">
        <v>6</v>
      </c>
      <c r="B2321">
        <v>28</v>
      </c>
      <c r="C2321" t="str">
        <f>CHOOSE(MATCH(B2321, {20,25,30,35,40,45,50,55,60,65,70,75,80,85}, 1), "20-24", "25-29", "30-34", "35-39", "40-44", "45-49", "50-54", "55-59", "60-64", "65-69", "70-74", "75-79", "80-84", "85+")</f>
        <v>25-29</v>
      </c>
      <c r="D2321" t="s">
        <v>7</v>
      </c>
    </row>
    <row r="2322" spans="1:4">
      <c r="A2322" t="s">
        <v>6</v>
      </c>
      <c r="B2322">
        <v>25</v>
      </c>
      <c r="C2322" t="str">
        <f>CHOOSE(MATCH(B2322, {20,25,30,35,40,45,50,55,60,65,70,75,80,85}, 1), "20-24", "25-29", "30-34", "35-39", "40-44", "45-49", "50-54", "55-59", "60-64", "65-69", "70-74", "75-79", "80-84", "85+")</f>
        <v>25-29</v>
      </c>
      <c r="D2322" t="s">
        <v>7</v>
      </c>
    </row>
    <row r="2323" spans="1:4">
      <c r="A2323" t="s">
        <v>6</v>
      </c>
      <c r="B2323">
        <v>85</v>
      </c>
      <c r="C2323" t="str">
        <f>CHOOSE(MATCH(B2323, {20,25,30,35,40,45,50,55,60,65,70,75,80,85}, 1), "20-24", "25-29", "30-34", "35-39", "40-44", "45-49", "50-54", "55-59", "60-64", "65-69", "70-74", "75-79", "80-84", "85+")</f>
        <v>85+</v>
      </c>
      <c r="D2323" t="s">
        <v>7</v>
      </c>
    </row>
    <row r="2324" spans="1:4">
      <c r="A2324" t="s">
        <v>6</v>
      </c>
      <c r="B2324">
        <v>39</v>
      </c>
      <c r="C2324" t="str">
        <f>CHOOSE(MATCH(B2324, {20,25,30,35,40,45,50,55,60,65,70,75,80,85}, 1), "20-24", "25-29", "30-34", "35-39", "40-44", "45-49", "50-54", "55-59", "60-64", "65-69", "70-74", "75-79", "80-84", "85+")</f>
        <v>35-39</v>
      </c>
      <c r="D2324" t="s">
        <v>7</v>
      </c>
    </row>
    <row r="2325" spans="1:4">
      <c r="A2325" t="s">
        <v>6</v>
      </c>
      <c r="B2325">
        <v>53</v>
      </c>
      <c r="C2325" t="str">
        <f>CHOOSE(MATCH(B2325, {20,25,30,35,40,45,50,55,60,65,70,75,80,85}, 1), "20-24", "25-29", "30-34", "35-39", "40-44", "45-49", "50-54", "55-59", "60-64", "65-69", "70-74", "75-79", "80-84", "85+")</f>
        <v>50-54</v>
      </c>
      <c r="D2325" t="s">
        <v>7</v>
      </c>
    </row>
    <row r="2326" spans="1:4">
      <c r="A2326" t="s">
        <v>6</v>
      </c>
      <c r="B2326">
        <v>50</v>
      </c>
      <c r="C2326" t="str">
        <f>CHOOSE(MATCH(B2326, {20,25,30,35,40,45,50,55,60,65,70,75,80,85}, 1), "20-24", "25-29", "30-34", "35-39", "40-44", "45-49", "50-54", "55-59", "60-64", "65-69", "70-74", "75-79", "80-84", "85+")</f>
        <v>50-54</v>
      </c>
      <c r="D2326" t="s">
        <v>8</v>
      </c>
    </row>
    <row r="2327" spans="1:4">
      <c r="A2327" t="s">
        <v>6</v>
      </c>
      <c r="B2327">
        <v>52</v>
      </c>
      <c r="C2327" t="str">
        <f>CHOOSE(MATCH(B2327, {20,25,30,35,40,45,50,55,60,65,70,75,80,85}, 1), "20-24", "25-29", "30-34", "35-39", "40-44", "45-49", "50-54", "55-59", "60-64", "65-69", "70-74", "75-79", "80-84", "85+")</f>
        <v>50-54</v>
      </c>
      <c r="D2327" t="s">
        <v>7</v>
      </c>
    </row>
    <row r="2328" spans="1:4">
      <c r="A2328" t="s">
        <v>6</v>
      </c>
      <c r="B2328">
        <v>22</v>
      </c>
      <c r="C2328" t="str">
        <f>CHOOSE(MATCH(B2328, {20,25,30,35,40,45,50,55,60,65,70,75,80,85}, 1), "20-24", "25-29", "30-34", "35-39", "40-44", "45-49", "50-54", "55-59", "60-64", "65-69", "70-74", "75-79", "80-84", "85+")</f>
        <v>20-24</v>
      </c>
      <c r="D2328" t="s">
        <v>7</v>
      </c>
    </row>
    <row r="2329" spans="1:4">
      <c r="A2329" t="s">
        <v>6</v>
      </c>
      <c r="B2329">
        <v>26</v>
      </c>
      <c r="C2329" t="str">
        <f>CHOOSE(MATCH(B2329, {20,25,30,35,40,45,50,55,60,65,70,75,80,85}, 1), "20-24", "25-29", "30-34", "35-39", "40-44", "45-49", "50-54", "55-59", "60-64", "65-69", "70-74", "75-79", "80-84", "85+")</f>
        <v>25-29</v>
      </c>
      <c r="D2329" t="s">
        <v>8</v>
      </c>
    </row>
    <row r="2330" spans="1:4">
      <c r="A2330" t="s">
        <v>6</v>
      </c>
      <c r="B2330">
        <v>20</v>
      </c>
      <c r="C2330" t="str">
        <f>CHOOSE(MATCH(B2330, {20,25,30,35,40,45,50,55,60,65,70,75,80,85}, 1), "20-24", "25-29", "30-34", "35-39", "40-44", "45-49", "50-54", "55-59", "60-64", "65-69", "70-74", "75-79", "80-84", "85+")</f>
        <v>20-24</v>
      </c>
      <c r="D2330" t="s">
        <v>7</v>
      </c>
    </row>
    <row r="2331" spans="1:4">
      <c r="A2331" t="s">
        <v>6</v>
      </c>
      <c r="B2331">
        <v>40</v>
      </c>
      <c r="C2331" t="str">
        <f>CHOOSE(MATCH(B2331, {20,25,30,35,40,45,50,55,60,65,70,75,80,85}, 1), "20-24", "25-29", "30-34", "35-39", "40-44", "45-49", "50-54", "55-59", "60-64", "65-69", "70-74", "75-79", "80-84", "85+")</f>
        <v>40-44</v>
      </c>
      <c r="D2331" t="s">
        <v>7</v>
      </c>
    </row>
    <row r="2332" spans="1:4">
      <c r="A2332" t="s">
        <v>6</v>
      </c>
      <c r="B2332">
        <v>38</v>
      </c>
      <c r="C2332" t="str">
        <f>CHOOSE(MATCH(B2332, {20,25,30,35,40,45,50,55,60,65,70,75,80,85}, 1), "20-24", "25-29", "30-34", "35-39", "40-44", "45-49", "50-54", "55-59", "60-64", "65-69", "70-74", "75-79", "80-84", "85+")</f>
        <v>35-39</v>
      </c>
      <c r="D2332" t="s">
        <v>7</v>
      </c>
    </row>
    <row r="2333" spans="1:4">
      <c r="A2333" t="s">
        <v>6</v>
      </c>
      <c r="B2333">
        <v>32</v>
      </c>
      <c r="C2333" t="str">
        <f>CHOOSE(MATCH(B2333, {20,25,30,35,40,45,50,55,60,65,70,75,80,85}, 1), "20-24", "25-29", "30-34", "35-39", "40-44", "45-49", "50-54", "55-59", "60-64", "65-69", "70-74", "75-79", "80-84", "85+")</f>
        <v>30-34</v>
      </c>
      <c r="D2333" t="s">
        <v>7</v>
      </c>
    </row>
    <row r="2334" spans="1:4">
      <c r="A2334" t="s">
        <v>6</v>
      </c>
      <c r="B2334">
        <v>51</v>
      </c>
      <c r="C2334" t="str">
        <f>CHOOSE(MATCH(B2334, {20,25,30,35,40,45,50,55,60,65,70,75,80,85}, 1), "20-24", "25-29", "30-34", "35-39", "40-44", "45-49", "50-54", "55-59", "60-64", "65-69", "70-74", "75-79", "80-84", "85+")</f>
        <v>50-54</v>
      </c>
      <c r="D2334" t="s">
        <v>8</v>
      </c>
    </row>
    <row r="2335" spans="1:4">
      <c r="A2335" t="s">
        <v>6</v>
      </c>
      <c r="B2335">
        <v>61</v>
      </c>
      <c r="C2335" t="str">
        <f>CHOOSE(MATCH(B2335, {20,25,30,35,40,45,50,55,60,65,70,75,80,85}, 1), "20-24", "25-29", "30-34", "35-39", "40-44", "45-49", "50-54", "55-59", "60-64", "65-69", "70-74", "75-79", "80-84", "85+")</f>
        <v>60-64</v>
      </c>
      <c r="D2335" t="s">
        <v>7</v>
      </c>
    </row>
    <row r="2336" spans="1:4">
      <c r="A2336" t="s">
        <v>6</v>
      </c>
      <c r="B2336">
        <v>42</v>
      </c>
      <c r="C2336" t="str">
        <f>CHOOSE(MATCH(B2336, {20,25,30,35,40,45,50,55,60,65,70,75,80,85}, 1), "20-24", "25-29", "30-34", "35-39", "40-44", "45-49", "50-54", "55-59", "60-64", "65-69", "70-74", "75-79", "80-84", "85+")</f>
        <v>40-44</v>
      </c>
      <c r="D2336" t="s">
        <v>7</v>
      </c>
    </row>
    <row r="2337" spans="1:4">
      <c r="A2337" t="s">
        <v>6</v>
      </c>
      <c r="B2337">
        <v>26</v>
      </c>
      <c r="C2337" t="str">
        <f>CHOOSE(MATCH(B2337, {20,25,30,35,40,45,50,55,60,65,70,75,80,85}, 1), "20-24", "25-29", "30-34", "35-39", "40-44", "45-49", "50-54", "55-59", "60-64", "65-69", "70-74", "75-79", "80-84", "85+")</f>
        <v>25-29</v>
      </c>
      <c r="D2337" t="s">
        <v>7</v>
      </c>
    </row>
    <row r="2338" spans="1:4">
      <c r="A2338" t="s">
        <v>6</v>
      </c>
      <c r="B2338">
        <v>89</v>
      </c>
      <c r="C2338" t="str">
        <f>CHOOSE(MATCH(B2338, {20,25,30,35,40,45,50,55,60,65,70,75,80,85}, 1), "20-24", "25-29", "30-34", "35-39", "40-44", "45-49", "50-54", "55-59", "60-64", "65-69", "70-74", "75-79", "80-84", "85+")</f>
        <v>85+</v>
      </c>
      <c r="D2338" t="s">
        <v>7</v>
      </c>
    </row>
    <row r="2339" spans="1:4">
      <c r="A2339" t="s">
        <v>6</v>
      </c>
      <c r="B2339">
        <v>63</v>
      </c>
      <c r="C2339" t="str">
        <f>CHOOSE(MATCH(B2339, {20,25,30,35,40,45,50,55,60,65,70,75,80,85}, 1), "20-24", "25-29", "30-34", "35-39", "40-44", "45-49", "50-54", "55-59", "60-64", "65-69", "70-74", "75-79", "80-84", "85+")</f>
        <v>60-64</v>
      </c>
      <c r="D2339" t="s">
        <v>7</v>
      </c>
    </row>
    <row r="2340" spans="1:4">
      <c r="A2340" t="s">
        <v>6</v>
      </c>
      <c r="B2340">
        <v>37</v>
      </c>
      <c r="C2340" t="str">
        <f>CHOOSE(MATCH(B2340, {20,25,30,35,40,45,50,55,60,65,70,75,80,85}, 1), "20-24", "25-29", "30-34", "35-39", "40-44", "45-49", "50-54", "55-59", "60-64", "65-69", "70-74", "75-79", "80-84", "85+")</f>
        <v>35-39</v>
      </c>
      <c r="D2340" t="s">
        <v>8</v>
      </c>
    </row>
    <row r="2341" spans="1:4">
      <c r="A2341" t="s">
        <v>6</v>
      </c>
      <c r="B2341">
        <v>56</v>
      </c>
      <c r="C2341" t="str">
        <f>CHOOSE(MATCH(B2341, {20,25,30,35,40,45,50,55,60,65,70,75,80,85}, 1), "20-24", "25-29", "30-34", "35-39", "40-44", "45-49", "50-54", "55-59", "60-64", "65-69", "70-74", "75-79", "80-84", "85+")</f>
        <v>55-59</v>
      </c>
      <c r="D2341" t="s">
        <v>7</v>
      </c>
    </row>
    <row r="2342" spans="1:4">
      <c r="A2342" t="s">
        <v>6</v>
      </c>
      <c r="B2342">
        <v>59</v>
      </c>
      <c r="C2342" t="str">
        <f>CHOOSE(MATCH(B2342, {20,25,30,35,40,45,50,55,60,65,70,75,80,85}, 1), "20-24", "25-29", "30-34", "35-39", "40-44", "45-49", "50-54", "55-59", "60-64", "65-69", "70-74", "75-79", "80-84", "85+")</f>
        <v>55-59</v>
      </c>
      <c r="D2342" t="s">
        <v>8</v>
      </c>
    </row>
    <row r="2343" spans="1:4">
      <c r="A2343" t="s">
        <v>6</v>
      </c>
      <c r="B2343">
        <v>40</v>
      </c>
      <c r="C2343" t="str">
        <f>CHOOSE(MATCH(B2343, {20,25,30,35,40,45,50,55,60,65,70,75,80,85}, 1), "20-24", "25-29", "30-34", "35-39", "40-44", "45-49", "50-54", "55-59", "60-64", "65-69", "70-74", "75-79", "80-84", "85+")</f>
        <v>40-44</v>
      </c>
      <c r="D2343" t="s">
        <v>7</v>
      </c>
    </row>
    <row r="2344" spans="1:4">
      <c r="A2344" t="s">
        <v>6</v>
      </c>
      <c r="B2344">
        <v>40</v>
      </c>
      <c r="C2344" t="str">
        <f>CHOOSE(MATCH(B2344, {20,25,30,35,40,45,50,55,60,65,70,75,80,85}, 1), "20-24", "25-29", "30-34", "35-39", "40-44", "45-49", "50-54", "55-59", "60-64", "65-69", "70-74", "75-79", "80-84", "85+")</f>
        <v>40-44</v>
      </c>
      <c r="D2344" t="s">
        <v>7</v>
      </c>
    </row>
    <row r="2345" spans="1:4">
      <c r="A2345" t="s">
        <v>6</v>
      </c>
      <c r="B2345">
        <v>68</v>
      </c>
      <c r="C2345" t="str">
        <f>CHOOSE(MATCH(B2345, {20,25,30,35,40,45,50,55,60,65,70,75,80,85}, 1), "20-24", "25-29", "30-34", "35-39", "40-44", "45-49", "50-54", "55-59", "60-64", "65-69", "70-74", "75-79", "80-84", "85+")</f>
        <v>65-69</v>
      </c>
      <c r="D2345" t="s">
        <v>7</v>
      </c>
    </row>
    <row r="2346" spans="1:4">
      <c r="A2346" t="s">
        <v>6</v>
      </c>
      <c r="B2346">
        <v>38</v>
      </c>
      <c r="C2346" t="str">
        <f>CHOOSE(MATCH(B2346, {20,25,30,35,40,45,50,55,60,65,70,75,80,85}, 1), "20-24", "25-29", "30-34", "35-39", "40-44", "45-49", "50-54", "55-59", "60-64", "65-69", "70-74", "75-79", "80-84", "85+")</f>
        <v>35-39</v>
      </c>
      <c r="D2346" t="s">
        <v>7</v>
      </c>
    </row>
    <row r="2347" spans="1:4">
      <c r="A2347" t="s">
        <v>6</v>
      </c>
      <c r="B2347">
        <v>33</v>
      </c>
      <c r="C2347" t="str">
        <f>CHOOSE(MATCH(B2347, {20,25,30,35,40,45,50,55,60,65,70,75,80,85}, 1), "20-24", "25-29", "30-34", "35-39", "40-44", "45-49", "50-54", "55-59", "60-64", "65-69", "70-74", "75-79", "80-84", "85+")</f>
        <v>30-34</v>
      </c>
      <c r="D2347" t="s">
        <v>8</v>
      </c>
    </row>
    <row r="2348" spans="1:4">
      <c r="A2348" t="s">
        <v>6</v>
      </c>
      <c r="B2348">
        <v>42</v>
      </c>
      <c r="C2348" t="str">
        <f>CHOOSE(MATCH(B2348, {20,25,30,35,40,45,50,55,60,65,70,75,80,85}, 1), "20-24", "25-29", "30-34", "35-39", "40-44", "45-49", "50-54", "55-59", "60-64", "65-69", "70-74", "75-79", "80-84", "85+")</f>
        <v>40-44</v>
      </c>
      <c r="D2348" t="s">
        <v>8</v>
      </c>
    </row>
    <row r="2349" spans="1:4">
      <c r="A2349" t="s">
        <v>6</v>
      </c>
      <c r="B2349">
        <v>26</v>
      </c>
      <c r="C2349" t="str">
        <f>CHOOSE(MATCH(B2349, {20,25,30,35,40,45,50,55,60,65,70,75,80,85}, 1), "20-24", "25-29", "30-34", "35-39", "40-44", "45-49", "50-54", "55-59", "60-64", "65-69", "70-74", "75-79", "80-84", "85+")</f>
        <v>25-29</v>
      </c>
      <c r="D2349" t="s">
        <v>8</v>
      </c>
    </row>
    <row r="2350" spans="1:4">
      <c r="A2350" t="s">
        <v>6</v>
      </c>
      <c r="B2350">
        <v>42</v>
      </c>
      <c r="C2350" t="str">
        <f>CHOOSE(MATCH(B2350, {20,25,30,35,40,45,50,55,60,65,70,75,80,85}, 1), "20-24", "25-29", "30-34", "35-39", "40-44", "45-49", "50-54", "55-59", "60-64", "65-69", "70-74", "75-79", "80-84", "85+")</f>
        <v>40-44</v>
      </c>
      <c r="D2350" t="s">
        <v>7</v>
      </c>
    </row>
    <row r="2351" spans="1:4">
      <c r="A2351" t="s">
        <v>6</v>
      </c>
      <c r="B2351">
        <v>56</v>
      </c>
      <c r="C2351" t="str">
        <f>CHOOSE(MATCH(B2351, {20,25,30,35,40,45,50,55,60,65,70,75,80,85}, 1), "20-24", "25-29", "30-34", "35-39", "40-44", "45-49", "50-54", "55-59", "60-64", "65-69", "70-74", "75-79", "80-84", "85+")</f>
        <v>55-59</v>
      </c>
      <c r="D2351" t="s">
        <v>8</v>
      </c>
    </row>
    <row r="2352" spans="1:4">
      <c r="A2352" t="s">
        <v>6</v>
      </c>
      <c r="B2352">
        <v>45</v>
      </c>
      <c r="C2352" t="str">
        <f>CHOOSE(MATCH(B2352, {20,25,30,35,40,45,50,55,60,65,70,75,80,85}, 1), "20-24", "25-29", "30-34", "35-39", "40-44", "45-49", "50-54", "55-59", "60-64", "65-69", "70-74", "75-79", "80-84", "85+")</f>
        <v>45-49</v>
      </c>
      <c r="D2352" t="s">
        <v>8</v>
      </c>
    </row>
    <row r="2353" spans="1:4">
      <c r="A2353" t="s">
        <v>6</v>
      </c>
      <c r="B2353">
        <v>64</v>
      </c>
      <c r="C2353" t="str">
        <f>CHOOSE(MATCH(B2353, {20,25,30,35,40,45,50,55,60,65,70,75,80,85}, 1), "20-24", "25-29", "30-34", "35-39", "40-44", "45-49", "50-54", "55-59", "60-64", "65-69", "70-74", "75-79", "80-84", "85+")</f>
        <v>60-64</v>
      </c>
      <c r="D2353" t="s">
        <v>7</v>
      </c>
    </row>
    <row r="2354" spans="1:4">
      <c r="A2354" t="s">
        <v>6</v>
      </c>
      <c r="B2354">
        <v>50</v>
      </c>
      <c r="C2354" t="str">
        <f>CHOOSE(MATCH(B2354, {20,25,30,35,40,45,50,55,60,65,70,75,80,85}, 1), "20-24", "25-29", "30-34", "35-39", "40-44", "45-49", "50-54", "55-59", "60-64", "65-69", "70-74", "75-79", "80-84", "85+")</f>
        <v>50-54</v>
      </c>
      <c r="D2354" t="s">
        <v>8</v>
      </c>
    </row>
    <row r="2355" spans="1:4">
      <c r="A2355" t="s">
        <v>6</v>
      </c>
      <c r="B2355">
        <v>20</v>
      </c>
      <c r="C2355" t="str">
        <f>CHOOSE(MATCH(B2355, {20,25,30,35,40,45,50,55,60,65,70,75,80,85}, 1), "20-24", "25-29", "30-34", "35-39", "40-44", "45-49", "50-54", "55-59", "60-64", "65-69", "70-74", "75-79", "80-84", "85+")</f>
        <v>20-24</v>
      </c>
      <c r="D2355" t="s">
        <v>7</v>
      </c>
    </row>
    <row r="2356" spans="1:4">
      <c r="A2356" t="s">
        <v>6</v>
      </c>
      <c r="B2356">
        <v>40</v>
      </c>
      <c r="C2356" t="str">
        <f>CHOOSE(MATCH(B2356, {20,25,30,35,40,45,50,55,60,65,70,75,80,85}, 1), "20-24", "25-29", "30-34", "35-39", "40-44", "45-49", "50-54", "55-59", "60-64", "65-69", "70-74", "75-79", "80-84", "85+")</f>
        <v>40-44</v>
      </c>
      <c r="D2356" t="s">
        <v>8</v>
      </c>
    </row>
    <row r="2357" spans="1:4">
      <c r="A2357" t="s">
        <v>6</v>
      </c>
      <c r="B2357">
        <v>37</v>
      </c>
      <c r="C2357" t="str">
        <f>CHOOSE(MATCH(B2357, {20,25,30,35,40,45,50,55,60,65,70,75,80,85}, 1), "20-24", "25-29", "30-34", "35-39", "40-44", "45-49", "50-54", "55-59", "60-64", "65-69", "70-74", "75-79", "80-84", "85+")</f>
        <v>35-39</v>
      </c>
      <c r="D2357" t="s">
        <v>7</v>
      </c>
    </row>
    <row r="2358" spans="1:4">
      <c r="A2358" t="s">
        <v>6</v>
      </c>
      <c r="B2358">
        <v>33</v>
      </c>
      <c r="C2358" t="str">
        <f>CHOOSE(MATCH(B2358, {20,25,30,35,40,45,50,55,60,65,70,75,80,85}, 1), "20-24", "25-29", "30-34", "35-39", "40-44", "45-49", "50-54", "55-59", "60-64", "65-69", "70-74", "75-79", "80-84", "85+")</f>
        <v>30-34</v>
      </c>
      <c r="D2358" t="s">
        <v>8</v>
      </c>
    </row>
    <row r="2359" spans="1:4">
      <c r="A2359" t="s">
        <v>6</v>
      </c>
      <c r="B2359">
        <v>25</v>
      </c>
      <c r="C2359" t="str">
        <f>CHOOSE(MATCH(B2359, {20,25,30,35,40,45,50,55,60,65,70,75,80,85}, 1), "20-24", "25-29", "30-34", "35-39", "40-44", "45-49", "50-54", "55-59", "60-64", "65-69", "70-74", "75-79", "80-84", "85+")</f>
        <v>25-29</v>
      </c>
      <c r="D2359" t="s">
        <v>8</v>
      </c>
    </row>
    <row r="2360" spans="1:4">
      <c r="A2360" t="s">
        <v>6</v>
      </c>
      <c r="B2360">
        <v>33</v>
      </c>
      <c r="C2360" t="str">
        <f>CHOOSE(MATCH(B2360, {20,25,30,35,40,45,50,55,60,65,70,75,80,85}, 1), "20-24", "25-29", "30-34", "35-39", "40-44", "45-49", "50-54", "55-59", "60-64", "65-69", "70-74", "75-79", "80-84", "85+")</f>
        <v>30-34</v>
      </c>
      <c r="D2360" t="s">
        <v>7</v>
      </c>
    </row>
    <row r="2361" spans="1:4">
      <c r="A2361" t="s">
        <v>6</v>
      </c>
      <c r="B2361">
        <v>32</v>
      </c>
      <c r="C2361" t="str">
        <f>CHOOSE(MATCH(B2361, {20,25,30,35,40,45,50,55,60,65,70,75,80,85}, 1), "20-24", "25-29", "30-34", "35-39", "40-44", "45-49", "50-54", "55-59", "60-64", "65-69", "70-74", "75-79", "80-84", "85+")</f>
        <v>30-34</v>
      </c>
      <c r="D2361" t="s">
        <v>7</v>
      </c>
    </row>
    <row r="2362" spans="1:4">
      <c r="A2362" t="s">
        <v>6</v>
      </c>
      <c r="B2362">
        <v>29</v>
      </c>
      <c r="C2362" t="str">
        <f>CHOOSE(MATCH(B2362, {20,25,30,35,40,45,50,55,60,65,70,75,80,85}, 1), "20-24", "25-29", "30-34", "35-39", "40-44", "45-49", "50-54", "55-59", "60-64", "65-69", "70-74", "75-79", "80-84", "85+")</f>
        <v>25-29</v>
      </c>
      <c r="D2362" t="s">
        <v>8</v>
      </c>
    </row>
    <row r="2363" spans="1:4">
      <c r="A2363" t="s">
        <v>6</v>
      </c>
      <c r="B2363">
        <v>22</v>
      </c>
      <c r="C2363" t="str">
        <f>CHOOSE(MATCH(B2363, {20,25,30,35,40,45,50,55,60,65,70,75,80,85}, 1), "20-24", "25-29", "30-34", "35-39", "40-44", "45-49", "50-54", "55-59", "60-64", "65-69", "70-74", "75-79", "80-84", "85+")</f>
        <v>20-24</v>
      </c>
      <c r="D2363" t="s">
        <v>7</v>
      </c>
    </row>
    <row r="2364" spans="1:4">
      <c r="A2364" t="s">
        <v>6</v>
      </c>
      <c r="B2364">
        <v>74</v>
      </c>
      <c r="C2364" t="str">
        <f>CHOOSE(MATCH(B2364, {20,25,30,35,40,45,50,55,60,65,70,75,80,85}, 1), "20-24", "25-29", "30-34", "35-39", "40-44", "45-49", "50-54", "55-59", "60-64", "65-69", "70-74", "75-79", "80-84", "85+")</f>
        <v>70-74</v>
      </c>
      <c r="D2364" t="s">
        <v>7</v>
      </c>
    </row>
    <row r="2365" spans="1:4">
      <c r="A2365" t="s">
        <v>6</v>
      </c>
      <c r="B2365">
        <v>45</v>
      </c>
      <c r="C2365" t="str">
        <f>CHOOSE(MATCH(B2365, {20,25,30,35,40,45,50,55,60,65,70,75,80,85}, 1), "20-24", "25-29", "30-34", "35-39", "40-44", "45-49", "50-54", "55-59", "60-64", "65-69", "70-74", "75-79", "80-84", "85+")</f>
        <v>45-49</v>
      </c>
      <c r="D2365" t="s">
        <v>7</v>
      </c>
    </row>
    <row r="2366" spans="1:4">
      <c r="A2366" t="s">
        <v>6</v>
      </c>
      <c r="B2366">
        <v>22</v>
      </c>
      <c r="C2366" t="str">
        <f>CHOOSE(MATCH(B2366, {20,25,30,35,40,45,50,55,60,65,70,75,80,85}, 1), "20-24", "25-29", "30-34", "35-39", "40-44", "45-49", "50-54", "55-59", "60-64", "65-69", "70-74", "75-79", "80-84", "85+")</f>
        <v>20-24</v>
      </c>
      <c r="D2366" t="s">
        <v>8</v>
      </c>
    </row>
    <row r="2367" spans="1:4">
      <c r="A2367" t="s">
        <v>6</v>
      </c>
      <c r="B2367">
        <v>39</v>
      </c>
      <c r="C2367" t="str">
        <f>CHOOSE(MATCH(B2367, {20,25,30,35,40,45,50,55,60,65,70,75,80,85}, 1), "20-24", "25-29", "30-34", "35-39", "40-44", "45-49", "50-54", "55-59", "60-64", "65-69", "70-74", "75-79", "80-84", "85+")</f>
        <v>35-39</v>
      </c>
      <c r="D2367" t="s">
        <v>7</v>
      </c>
    </row>
    <row r="2368" spans="1:4">
      <c r="A2368" t="s">
        <v>6</v>
      </c>
      <c r="B2368">
        <v>33</v>
      </c>
      <c r="C2368" t="str">
        <f>CHOOSE(MATCH(B2368, {20,25,30,35,40,45,50,55,60,65,70,75,80,85}, 1), "20-24", "25-29", "30-34", "35-39", "40-44", "45-49", "50-54", "55-59", "60-64", "65-69", "70-74", "75-79", "80-84", "85+")</f>
        <v>30-34</v>
      </c>
      <c r="D2368" t="s">
        <v>7</v>
      </c>
    </row>
    <row r="2369" spans="1:4">
      <c r="A2369" t="s">
        <v>6</v>
      </c>
      <c r="B2369">
        <v>38</v>
      </c>
      <c r="C2369" t="str">
        <f>CHOOSE(MATCH(B2369, {20,25,30,35,40,45,50,55,60,65,70,75,80,85}, 1), "20-24", "25-29", "30-34", "35-39", "40-44", "45-49", "50-54", "55-59", "60-64", "65-69", "70-74", "75-79", "80-84", "85+")</f>
        <v>35-39</v>
      </c>
      <c r="D2369" t="s">
        <v>7</v>
      </c>
    </row>
    <row r="2370" spans="1:4">
      <c r="A2370" t="s">
        <v>6</v>
      </c>
      <c r="B2370">
        <v>30</v>
      </c>
      <c r="C2370" t="str">
        <f>CHOOSE(MATCH(B2370, {20,25,30,35,40,45,50,55,60,65,70,75,80,85}, 1), "20-24", "25-29", "30-34", "35-39", "40-44", "45-49", "50-54", "55-59", "60-64", "65-69", "70-74", "75-79", "80-84", "85+")</f>
        <v>30-34</v>
      </c>
      <c r="D2370" t="s">
        <v>7</v>
      </c>
    </row>
    <row r="2371" spans="1:4">
      <c r="A2371" t="s">
        <v>6</v>
      </c>
      <c r="B2371">
        <v>40</v>
      </c>
      <c r="C2371" t="str">
        <f>CHOOSE(MATCH(B2371, {20,25,30,35,40,45,50,55,60,65,70,75,80,85}, 1), "20-24", "25-29", "30-34", "35-39", "40-44", "45-49", "50-54", "55-59", "60-64", "65-69", "70-74", "75-79", "80-84", "85+")</f>
        <v>40-44</v>
      </c>
      <c r="D2371" t="s">
        <v>7</v>
      </c>
    </row>
    <row r="2372" spans="1:4">
      <c r="A2372" t="s">
        <v>6</v>
      </c>
      <c r="B2372">
        <v>25</v>
      </c>
      <c r="C2372" t="str">
        <f>CHOOSE(MATCH(B2372, {20,25,30,35,40,45,50,55,60,65,70,75,80,85}, 1), "20-24", "25-29", "30-34", "35-39", "40-44", "45-49", "50-54", "55-59", "60-64", "65-69", "70-74", "75-79", "80-84", "85+")</f>
        <v>25-29</v>
      </c>
      <c r="D2372" t="s">
        <v>7</v>
      </c>
    </row>
    <row r="2373" spans="1:4">
      <c r="A2373" t="s">
        <v>6</v>
      </c>
      <c r="B2373">
        <v>28</v>
      </c>
      <c r="C2373" t="str">
        <f>CHOOSE(MATCH(B2373, {20,25,30,35,40,45,50,55,60,65,70,75,80,85}, 1), "20-24", "25-29", "30-34", "35-39", "40-44", "45-49", "50-54", "55-59", "60-64", "65-69", "70-74", "75-79", "80-84", "85+")</f>
        <v>25-29</v>
      </c>
      <c r="D2373" t="s">
        <v>7</v>
      </c>
    </row>
    <row r="2374" spans="1:4">
      <c r="A2374" t="s">
        <v>6</v>
      </c>
      <c r="B2374">
        <v>27</v>
      </c>
      <c r="C2374" t="str">
        <f>CHOOSE(MATCH(B2374, {20,25,30,35,40,45,50,55,60,65,70,75,80,85}, 1), "20-24", "25-29", "30-34", "35-39", "40-44", "45-49", "50-54", "55-59", "60-64", "65-69", "70-74", "75-79", "80-84", "85+")</f>
        <v>25-29</v>
      </c>
      <c r="D2374" t="s">
        <v>7</v>
      </c>
    </row>
    <row r="2375" spans="1:4">
      <c r="A2375" t="s">
        <v>6</v>
      </c>
      <c r="B2375">
        <v>34</v>
      </c>
      <c r="C2375" t="str">
        <f>CHOOSE(MATCH(B2375, {20,25,30,35,40,45,50,55,60,65,70,75,80,85}, 1), "20-24", "25-29", "30-34", "35-39", "40-44", "45-49", "50-54", "55-59", "60-64", "65-69", "70-74", "75-79", "80-84", "85+")</f>
        <v>30-34</v>
      </c>
      <c r="D2375" t="s">
        <v>7</v>
      </c>
    </row>
    <row r="2376" spans="1:4">
      <c r="A2376" t="s">
        <v>6</v>
      </c>
      <c r="B2376">
        <v>53</v>
      </c>
      <c r="C2376" t="str">
        <f>CHOOSE(MATCH(B2376, {20,25,30,35,40,45,50,55,60,65,70,75,80,85}, 1), "20-24", "25-29", "30-34", "35-39", "40-44", "45-49", "50-54", "55-59", "60-64", "65-69", "70-74", "75-79", "80-84", "85+")</f>
        <v>50-54</v>
      </c>
      <c r="D2376" t="s">
        <v>7</v>
      </c>
    </row>
    <row r="2377" spans="1:4">
      <c r="A2377" t="s">
        <v>6</v>
      </c>
      <c r="B2377">
        <v>54</v>
      </c>
      <c r="C2377" t="str">
        <f>CHOOSE(MATCH(B2377, {20,25,30,35,40,45,50,55,60,65,70,75,80,85}, 1), "20-24", "25-29", "30-34", "35-39", "40-44", "45-49", "50-54", "55-59", "60-64", "65-69", "70-74", "75-79", "80-84", "85+")</f>
        <v>50-54</v>
      </c>
      <c r="D2377" t="s">
        <v>7</v>
      </c>
    </row>
    <row r="2378" spans="1:4">
      <c r="A2378" t="s">
        <v>6</v>
      </c>
      <c r="B2378">
        <v>28</v>
      </c>
      <c r="C2378" t="str">
        <f>CHOOSE(MATCH(B2378, {20,25,30,35,40,45,50,55,60,65,70,75,80,85}, 1), "20-24", "25-29", "30-34", "35-39", "40-44", "45-49", "50-54", "55-59", "60-64", "65-69", "70-74", "75-79", "80-84", "85+")</f>
        <v>25-29</v>
      </c>
      <c r="D2378" t="s">
        <v>8</v>
      </c>
    </row>
    <row r="2379" spans="1:4">
      <c r="A2379" t="s">
        <v>6</v>
      </c>
      <c r="B2379">
        <v>79</v>
      </c>
      <c r="C2379" t="str">
        <f>CHOOSE(MATCH(B2379, {20,25,30,35,40,45,50,55,60,65,70,75,80,85}, 1), "20-24", "25-29", "30-34", "35-39", "40-44", "45-49", "50-54", "55-59", "60-64", "65-69", "70-74", "75-79", "80-84", "85+")</f>
        <v>75-79</v>
      </c>
      <c r="D2379" t="s">
        <v>7</v>
      </c>
    </row>
    <row r="2380" spans="1:4">
      <c r="A2380" t="s">
        <v>6</v>
      </c>
      <c r="B2380">
        <v>43</v>
      </c>
      <c r="C2380" t="str">
        <f>CHOOSE(MATCH(B2380, {20,25,30,35,40,45,50,55,60,65,70,75,80,85}, 1), "20-24", "25-29", "30-34", "35-39", "40-44", "45-49", "50-54", "55-59", "60-64", "65-69", "70-74", "75-79", "80-84", "85+")</f>
        <v>40-44</v>
      </c>
      <c r="D2380" t="s">
        <v>7</v>
      </c>
    </row>
    <row r="2381" spans="1:4">
      <c r="A2381" t="s">
        <v>6</v>
      </c>
      <c r="B2381">
        <v>29</v>
      </c>
      <c r="C2381" t="str">
        <f>CHOOSE(MATCH(B2381, {20,25,30,35,40,45,50,55,60,65,70,75,80,85}, 1), "20-24", "25-29", "30-34", "35-39", "40-44", "45-49", "50-54", "55-59", "60-64", "65-69", "70-74", "75-79", "80-84", "85+")</f>
        <v>25-29</v>
      </c>
      <c r="D2381" t="s">
        <v>7</v>
      </c>
    </row>
    <row r="2382" spans="1:4">
      <c r="A2382" t="s">
        <v>6</v>
      </c>
      <c r="B2382">
        <v>33</v>
      </c>
      <c r="C2382" t="str">
        <f>CHOOSE(MATCH(B2382, {20,25,30,35,40,45,50,55,60,65,70,75,80,85}, 1), "20-24", "25-29", "30-34", "35-39", "40-44", "45-49", "50-54", "55-59", "60-64", "65-69", "70-74", "75-79", "80-84", "85+")</f>
        <v>30-34</v>
      </c>
      <c r="D2382" t="s">
        <v>7</v>
      </c>
    </row>
    <row r="2383" spans="1:4">
      <c r="A2383" t="s">
        <v>6</v>
      </c>
      <c r="B2383">
        <v>42</v>
      </c>
      <c r="C2383" t="str">
        <f>CHOOSE(MATCH(B2383, {20,25,30,35,40,45,50,55,60,65,70,75,80,85}, 1), "20-24", "25-29", "30-34", "35-39", "40-44", "45-49", "50-54", "55-59", "60-64", "65-69", "70-74", "75-79", "80-84", "85+")</f>
        <v>40-44</v>
      </c>
      <c r="D2383" t="s">
        <v>8</v>
      </c>
    </row>
    <row r="2384" spans="1:4">
      <c r="A2384" t="s">
        <v>6</v>
      </c>
      <c r="B2384">
        <v>28</v>
      </c>
      <c r="C2384" t="str">
        <f>CHOOSE(MATCH(B2384, {20,25,30,35,40,45,50,55,60,65,70,75,80,85}, 1), "20-24", "25-29", "30-34", "35-39", "40-44", "45-49", "50-54", "55-59", "60-64", "65-69", "70-74", "75-79", "80-84", "85+")</f>
        <v>25-29</v>
      </c>
      <c r="D2384" t="s">
        <v>7</v>
      </c>
    </row>
    <row r="2385" spans="1:4">
      <c r="A2385" t="s">
        <v>6</v>
      </c>
      <c r="B2385">
        <v>31</v>
      </c>
      <c r="C2385" t="str">
        <f>CHOOSE(MATCH(B2385, {20,25,30,35,40,45,50,55,60,65,70,75,80,85}, 1), "20-24", "25-29", "30-34", "35-39", "40-44", "45-49", "50-54", "55-59", "60-64", "65-69", "70-74", "75-79", "80-84", "85+")</f>
        <v>30-34</v>
      </c>
      <c r="D2385" t="s">
        <v>8</v>
      </c>
    </row>
    <row r="2386" spans="1:4">
      <c r="A2386" t="s">
        <v>6</v>
      </c>
      <c r="B2386">
        <v>49</v>
      </c>
      <c r="C2386" t="str">
        <f>CHOOSE(MATCH(B2386, {20,25,30,35,40,45,50,55,60,65,70,75,80,85}, 1), "20-24", "25-29", "30-34", "35-39", "40-44", "45-49", "50-54", "55-59", "60-64", "65-69", "70-74", "75-79", "80-84", "85+")</f>
        <v>45-49</v>
      </c>
      <c r="D2386" t="s">
        <v>8</v>
      </c>
    </row>
    <row r="2387" spans="1:4">
      <c r="A2387" t="s">
        <v>6</v>
      </c>
      <c r="B2387">
        <v>61</v>
      </c>
      <c r="C2387" t="str">
        <f>CHOOSE(MATCH(B2387, {20,25,30,35,40,45,50,55,60,65,70,75,80,85}, 1), "20-24", "25-29", "30-34", "35-39", "40-44", "45-49", "50-54", "55-59", "60-64", "65-69", "70-74", "75-79", "80-84", "85+")</f>
        <v>60-64</v>
      </c>
      <c r="D2387" t="s">
        <v>7</v>
      </c>
    </row>
    <row r="2388" spans="1:4">
      <c r="A2388" t="s">
        <v>6</v>
      </c>
      <c r="B2388">
        <v>59</v>
      </c>
      <c r="C2388" t="str">
        <f>CHOOSE(MATCH(B2388, {20,25,30,35,40,45,50,55,60,65,70,75,80,85}, 1), "20-24", "25-29", "30-34", "35-39", "40-44", "45-49", "50-54", "55-59", "60-64", "65-69", "70-74", "75-79", "80-84", "85+")</f>
        <v>55-59</v>
      </c>
      <c r="D2388" t="s">
        <v>8</v>
      </c>
    </row>
    <row r="2389" spans="1:4">
      <c r="A2389" t="s">
        <v>6</v>
      </c>
      <c r="B2389">
        <v>21</v>
      </c>
      <c r="C2389" t="str">
        <f>CHOOSE(MATCH(B2389, {20,25,30,35,40,45,50,55,60,65,70,75,80,85}, 1), "20-24", "25-29", "30-34", "35-39", "40-44", "45-49", "50-54", "55-59", "60-64", "65-69", "70-74", "75-79", "80-84", "85+")</f>
        <v>20-24</v>
      </c>
      <c r="D2389" t="s">
        <v>7</v>
      </c>
    </row>
    <row r="2390" spans="1:4">
      <c r="A2390" t="s">
        <v>6</v>
      </c>
      <c r="B2390">
        <v>64</v>
      </c>
      <c r="C2390" t="str">
        <f>CHOOSE(MATCH(B2390, {20,25,30,35,40,45,50,55,60,65,70,75,80,85}, 1), "20-24", "25-29", "30-34", "35-39", "40-44", "45-49", "50-54", "55-59", "60-64", "65-69", "70-74", "75-79", "80-84", "85+")</f>
        <v>60-64</v>
      </c>
      <c r="D2390" t="s">
        <v>8</v>
      </c>
    </row>
    <row r="2391" spans="1:4">
      <c r="A2391" t="s">
        <v>6</v>
      </c>
      <c r="B2391">
        <v>30</v>
      </c>
      <c r="C2391" t="str">
        <f>CHOOSE(MATCH(B2391, {20,25,30,35,40,45,50,55,60,65,70,75,80,85}, 1), "20-24", "25-29", "30-34", "35-39", "40-44", "45-49", "50-54", "55-59", "60-64", "65-69", "70-74", "75-79", "80-84", "85+")</f>
        <v>30-34</v>
      </c>
      <c r="D2391" t="s">
        <v>7</v>
      </c>
    </row>
    <row r="2392" spans="1:4">
      <c r="A2392" t="s">
        <v>6</v>
      </c>
      <c r="B2392">
        <v>72</v>
      </c>
      <c r="C2392" t="str">
        <f>CHOOSE(MATCH(B2392, {20,25,30,35,40,45,50,55,60,65,70,75,80,85}, 1), "20-24", "25-29", "30-34", "35-39", "40-44", "45-49", "50-54", "55-59", "60-64", "65-69", "70-74", "75-79", "80-84", "85+")</f>
        <v>70-74</v>
      </c>
      <c r="D2392" t="s">
        <v>7</v>
      </c>
    </row>
    <row r="2393" spans="1:4">
      <c r="A2393" t="s">
        <v>6</v>
      </c>
      <c r="B2393">
        <v>37</v>
      </c>
      <c r="C2393" t="str">
        <f>CHOOSE(MATCH(B2393, {20,25,30,35,40,45,50,55,60,65,70,75,80,85}, 1), "20-24", "25-29", "30-34", "35-39", "40-44", "45-49", "50-54", "55-59", "60-64", "65-69", "70-74", "75-79", "80-84", "85+")</f>
        <v>35-39</v>
      </c>
      <c r="D2393" t="s">
        <v>8</v>
      </c>
    </row>
    <row r="2394" spans="1:4">
      <c r="A2394" t="s">
        <v>6</v>
      </c>
      <c r="B2394">
        <v>33</v>
      </c>
      <c r="C2394" t="str">
        <f>CHOOSE(MATCH(B2394, {20,25,30,35,40,45,50,55,60,65,70,75,80,85}, 1), "20-24", "25-29", "30-34", "35-39", "40-44", "45-49", "50-54", "55-59", "60-64", "65-69", "70-74", "75-79", "80-84", "85+")</f>
        <v>30-34</v>
      </c>
      <c r="D2394" t="s">
        <v>8</v>
      </c>
    </row>
    <row r="2395" spans="1:4">
      <c r="A2395" t="s">
        <v>6</v>
      </c>
      <c r="B2395">
        <v>38</v>
      </c>
      <c r="C2395" t="str">
        <f>CHOOSE(MATCH(B2395, {20,25,30,35,40,45,50,55,60,65,70,75,80,85}, 1), "20-24", "25-29", "30-34", "35-39", "40-44", "45-49", "50-54", "55-59", "60-64", "65-69", "70-74", "75-79", "80-84", "85+")</f>
        <v>35-39</v>
      </c>
      <c r="D2395" t="s">
        <v>7</v>
      </c>
    </row>
    <row r="2396" spans="1:4">
      <c r="A2396" t="s">
        <v>6</v>
      </c>
      <c r="B2396">
        <v>29</v>
      </c>
      <c r="C2396" t="str">
        <f>CHOOSE(MATCH(B2396, {20,25,30,35,40,45,50,55,60,65,70,75,80,85}, 1), "20-24", "25-29", "30-34", "35-39", "40-44", "45-49", "50-54", "55-59", "60-64", "65-69", "70-74", "75-79", "80-84", "85+")</f>
        <v>25-29</v>
      </c>
      <c r="D2396" t="s">
        <v>7</v>
      </c>
    </row>
    <row r="2397" spans="1:4">
      <c r="A2397" t="s">
        <v>6</v>
      </c>
      <c r="B2397">
        <v>37</v>
      </c>
      <c r="C2397" t="str">
        <f>CHOOSE(MATCH(B2397, {20,25,30,35,40,45,50,55,60,65,70,75,80,85}, 1), "20-24", "25-29", "30-34", "35-39", "40-44", "45-49", "50-54", "55-59", "60-64", "65-69", "70-74", "75-79", "80-84", "85+")</f>
        <v>35-39</v>
      </c>
      <c r="D2397" t="s">
        <v>7</v>
      </c>
    </row>
    <row r="2398" spans="1:4">
      <c r="A2398" t="s">
        <v>6</v>
      </c>
      <c r="B2398">
        <v>57</v>
      </c>
      <c r="C2398" t="str">
        <f>CHOOSE(MATCH(B2398, {20,25,30,35,40,45,50,55,60,65,70,75,80,85}, 1), "20-24", "25-29", "30-34", "35-39", "40-44", "45-49", "50-54", "55-59", "60-64", "65-69", "70-74", "75-79", "80-84", "85+")</f>
        <v>55-59</v>
      </c>
      <c r="D2398" t="s">
        <v>7</v>
      </c>
    </row>
    <row r="2399" spans="1:4">
      <c r="A2399" t="s">
        <v>6</v>
      </c>
      <c r="B2399">
        <v>63</v>
      </c>
      <c r="C2399" t="str">
        <f>CHOOSE(MATCH(B2399, {20,25,30,35,40,45,50,55,60,65,70,75,80,85}, 1), "20-24", "25-29", "30-34", "35-39", "40-44", "45-49", "50-54", "55-59", "60-64", "65-69", "70-74", "75-79", "80-84", "85+")</f>
        <v>60-64</v>
      </c>
      <c r="D2399" t="s">
        <v>7</v>
      </c>
    </row>
    <row r="2400" spans="1:4">
      <c r="A2400" t="s">
        <v>6</v>
      </c>
      <c r="B2400">
        <v>41</v>
      </c>
      <c r="C2400" t="str">
        <f>CHOOSE(MATCH(B2400, {20,25,30,35,40,45,50,55,60,65,70,75,80,85}, 1), "20-24", "25-29", "30-34", "35-39", "40-44", "45-49", "50-54", "55-59", "60-64", "65-69", "70-74", "75-79", "80-84", "85+")</f>
        <v>40-44</v>
      </c>
      <c r="D2400" t="s">
        <v>7</v>
      </c>
    </row>
    <row r="2401" spans="1:4">
      <c r="A2401" t="s">
        <v>6</v>
      </c>
      <c r="B2401">
        <v>53</v>
      </c>
      <c r="C2401" t="str">
        <f>CHOOSE(MATCH(B2401, {20,25,30,35,40,45,50,55,60,65,70,75,80,85}, 1), "20-24", "25-29", "30-34", "35-39", "40-44", "45-49", "50-54", "55-59", "60-64", "65-69", "70-74", "75-79", "80-84", "85+")</f>
        <v>50-54</v>
      </c>
      <c r="D2401" t="s">
        <v>8</v>
      </c>
    </row>
    <row r="2402" spans="1:4">
      <c r="A2402" t="s">
        <v>6</v>
      </c>
      <c r="B2402">
        <v>33</v>
      </c>
      <c r="C2402" t="str">
        <f>CHOOSE(MATCH(B2402, {20,25,30,35,40,45,50,55,60,65,70,75,80,85}, 1), "20-24", "25-29", "30-34", "35-39", "40-44", "45-49", "50-54", "55-59", "60-64", "65-69", "70-74", "75-79", "80-84", "85+")</f>
        <v>30-34</v>
      </c>
      <c r="D2402" t="s">
        <v>7</v>
      </c>
    </row>
    <row r="2403" spans="1:4">
      <c r="A2403" t="s">
        <v>6</v>
      </c>
      <c r="B2403">
        <v>44</v>
      </c>
      <c r="C2403" t="str">
        <f>CHOOSE(MATCH(B2403, {20,25,30,35,40,45,50,55,60,65,70,75,80,85}, 1), "20-24", "25-29", "30-34", "35-39", "40-44", "45-49", "50-54", "55-59", "60-64", "65-69", "70-74", "75-79", "80-84", "85+")</f>
        <v>40-44</v>
      </c>
      <c r="D2403" t="s">
        <v>8</v>
      </c>
    </row>
    <row r="2404" spans="1:4">
      <c r="A2404" t="s">
        <v>6</v>
      </c>
      <c r="B2404">
        <v>53</v>
      </c>
      <c r="C2404" t="str">
        <f>CHOOSE(MATCH(B2404, {20,25,30,35,40,45,50,55,60,65,70,75,80,85}, 1), "20-24", "25-29", "30-34", "35-39", "40-44", "45-49", "50-54", "55-59", "60-64", "65-69", "70-74", "75-79", "80-84", "85+")</f>
        <v>50-54</v>
      </c>
      <c r="D2404" t="s">
        <v>7</v>
      </c>
    </row>
    <row r="2405" spans="1:4">
      <c r="A2405" t="s">
        <v>6</v>
      </c>
      <c r="B2405">
        <v>37</v>
      </c>
      <c r="C2405" t="str">
        <f>CHOOSE(MATCH(B2405, {20,25,30,35,40,45,50,55,60,65,70,75,80,85}, 1), "20-24", "25-29", "30-34", "35-39", "40-44", "45-49", "50-54", "55-59", "60-64", "65-69", "70-74", "75-79", "80-84", "85+")</f>
        <v>35-39</v>
      </c>
      <c r="D2405" t="s">
        <v>8</v>
      </c>
    </row>
    <row r="2406" spans="1:4">
      <c r="A2406" t="s">
        <v>6</v>
      </c>
      <c r="B2406">
        <v>62</v>
      </c>
      <c r="C2406" t="str">
        <f>CHOOSE(MATCH(B2406, {20,25,30,35,40,45,50,55,60,65,70,75,80,85}, 1), "20-24", "25-29", "30-34", "35-39", "40-44", "45-49", "50-54", "55-59", "60-64", "65-69", "70-74", "75-79", "80-84", "85+")</f>
        <v>60-64</v>
      </c>
      <c r="D2406" t="s">
        <v>8</v>
      </c>
    </row>
    <row r="2407" spans="1:4">
      <c r="A2407" t="s">
        <v>6</v>
      </c>
      <c r="B2407">
        <v>31</v>
      </c>
      <c r="C2407" t="str">
        <f>CHOOSE(MATCH(B2407, {20,25,30,35,40,45,50,55,60,65,70,75,80,85}, 1), "20-24", "25-29", "30-34", "35-39", "40-44", "45-49", "50-54", "55-59", "60-64", "65-69", "70-74", "75-79", "80-84", "85+")</f>
        <v>30-34</v>
      </c>
      <c r="D2407" t="s">
        <v>7</v>
      </c>
    </row>
    <row r="2408" spans="1:4">
      <c r="A2408" t="s">
        <v>6</v>
      </c>
      <c r="B2408">
        <v>60</v>
      </c>
      <c r="C2408" t="str">
        <f>CHOOSE(MATCH(B2408, {20,25,30,35,40,45,50,55,60,65,70,75,80,85}, 1), "20-24", "25-29", "30-34", "35-39", "40-44", "45-49", "50-54", "55-59", "60-64", "65-69", "70-74", "75-79", "80-84", "85+")</f>
        <v>60-64</v>
      </c>
      <c r="D2408" t="s">
        <v>7</v>
      </c>
    </row>
    <row r="2409" spans="1:4">
      <c r="A2409" t="s">
        <v>6</v>
      </c>
      <c r="B2409">
        <v>46</v>
      </c>
      <c r="C2409" t="str">
        <f>CHOOSE(MATCH(B2409, {20,25,30,35,40,45,50,55,60,65,70,75,80,85}, 1), "20-24", "25-29", "30-34", "35-39", "40-44", "45-49", "50-54", "55-59", "60-64", "65-69", "70-74", "75-79", "80-84", "85+")</f>
        <v>45-49</v>
      </c>
      <c r="D2409" t="s">
        <v>8</v>
      </c>
    </row>
    <row r="2410" spans="1:4">
      <c r="A2410" t="s">
        <v>6</v>
      </c>
      <c r="B2410">
        <v>20</v>
      </c>
      <c r="C2410" t="str">
        <f>CHOOSE(MATCH(B2410, {20,25,30,35,40,45,50,55,60,65,70,75,80,85}, 1), "20-24", "25-29", "30-34", "35-39", "40-44", "45-49", "50-54", "55-59", "60-64", "65-69", "70-74", "75-79", "80-84", "85+")</f>
        <v>20-24</v>
      </c>
      <c r="D2410" t="s">
        <v>7</v>
      </c>
    </row>
    <row r="2411" spans="1:4">
      <c r="A2411" t="s">
        <v>6</v>
      </c>
      <c r="B2411">
        <v>26</v>
      </c>
      <c r="C2411" t="str">
        <f>CHOOSE(MATCH(B2411, {20,25,30,35,40,45,50,55,60,65,70,75,80,85}, 1), "20-24", "25-29", "30-34", "35-39", "40-44", "45-49", "50-54", "55-59", "60-64", "65-69", "70-74", "75-79", "80-84", "85+")</f>
        <v>25-29</v>
      </c>
      <c r="D2411" t="s">
        <v>7</v>
      </c>
    </row>
    <row r="2412" spans="1:4">
      <c r="A2412" t="s">
        <v>6</v>
      </c>
      <c r="B2412">
        <v>31</v>
      </c>
      <c r="C2412" t="str">
        <f>CHOOSE(MATCH(B2412, {20,25,30,35,40,45,50,55,60,65,70,75,80,85}, 1), "20-24", "25-29", "30-34", "35-39", "40-44", "45-49", "50-54", "55-59", "60-64", "65-69", "70-74", "75-79", "80-84", "85+")</f>
        <v>30-34</v>
      </c>
      <c r="D2412" t="s">
        <v>7</v>
      </c>
    </row>
    <row r="2413" spans="1:4">
      <c r="A2413" t="s">
        <v>6</v>
      </c>
      <c r="B2413">
        <v>23</v>
      </c>
      <c r="C2413" t="str">
        <f>CHOOSE(MATCH(B2413, {20,25,30,35,40,45,50,55,60,65,70,75,80,85}, 1), "20-24", "25-29", "30-34", "35-39", "40-44", "45-49", "50-54", "55-59", "60-64", "65-69", "70-74", "75-79", "80-84", "85+")</f>
        <v>20-24</v>
      </c>
      <c r="D2413" t="s">
        <v>7</v>
      </c>
    </row>
    <row r="2414" spans="1:4">
      <c r="A2414" t="s">
        <v>6</v>
      </c>
      <c r="B2414">
        <v>33</v>
      </c>
      <c r="C2414" t="str">
        <f>CHOOSE(MATCH(B2414, {20,25,30,35,40,45,50,55,60,65,70,75,80,85}, 1), "20-24", "25-29", "30-34", "35-39", "40-44", "45-49", "50-54", "55-59", "60-64", "65-69", "70-74", "75-79", "80-84", "85+")</f>
        <v>30-34</v>
      </c>
      <c r="D2414" t="s">
        <v>8</v>
      </c>
    </row>
    <row r="2415" spans="1:4">
      <c r="A2415" t="s">
        <v>6</v>
      </c>
      <c r="B2415">
        <v>32</v>
      </c>
      <c r="C2415" t="str">
        <f>CHOOSE(MATCH(B2415, {20,25,30,35,40,45,50,55,60,65,70,75,80,85}, 1), "20-24", "25-29", "30-34", "35-39", "40-44", "45-49", "50-54", "55-59", "60-64", "65-69", "70-74", "75-79", "80-84", "85+")</f>
        <v>30-34</v>
      </c>
      <c r="D2415" t="s">
        <v>7</v>
      </c>
    </row>
    <row r="2416" spans="1:4">
      <c r="A2416" t="s">
        <v>6</v>
      </c>
      <c r="B2416">
        <v>52</v>
      </c>
      <c r="C2416" t="str">
        <f>CHOOSE(MATCH(B2416, {20,25,30,35,40,45,50,55,60,65,70,75,80,85}, 1), "20-24", "25-29", "30-34", "35-39", "40-44", "45-49", "50-54", "55-59", "60-64", "65-69", "70-74", "75-79", "80-84", "85+")</f>
        <v>50-54</v>
      </c>
      <c r="D2416" t="s">
        <v>7</v>
      </c>
    </row>
    <row r="2417" spans="1:4">
      <c r="A2417" t="s">
        <v>6</v>
      </c>
      <c r="B2417">
        <v>32</v>
      </c>
      <c r="C2417" t="str">
        <f>CHOOSE(MATCH(B2417, {20,25,30,35,40,45,50,55,60,65,70,75,80,85}, 1), "20-24", "25-29", "30-34", "35-39", "40-44", "45-49", "50-54", "55-59", "60-64", "65-69", "70-74", "75-79", "80-84", "85+")</f>
        <v>30-34</v>
      </c>
      <c r="D2417" t="s">
        <v>7</v>
      </c>
    </row>
    <row r="2418" spans="1:4">
      <c r="A2418" t="s">
        <v>6</v>
      </c>
      <c r="B2418">
        <v>20</v>
      </c>
      <c r="C2418" t="str">
        <f>CHOOSE(MATCH(B2418, {20,25,30,35,40,45,50,55,60,65,70,75,80,85}, 1), "20-24", "25-29", "30-34", "35-39", "40-44", "45-49", "50-54", "55-59", "60-64", "65-69", "70-74", "75-79", "80-84", "85+")</f>
        <v>20-24</v>
      </c>
      <c r="D2418" t="s">
        <v>7</v>
      </c>
    </row>
    <row r="2419" spans="1:4">
      <c r="A2419" t="s">
        <v>6</v>
      </c>
      <c r="B2419">
        <v>52</v>
      </c>
      <c r="C2419" t="str">
        <f>CHOOSE(MATCH(B2419, {20,25,30,35,40,45,50,55,60,65,70,75,80,85}, 1), "20-24", "25-29", "30-34", "35-39", "40-44", "45-49", "50-54", "55-59", "60-64", "65-69", "70-74", "75-79", "80-84", "85+")</f>
        <v>50-54</v>
      </c>
      <c r="D2419" t="s">
        <v>8</v>
      </c>
    </row>
    <row r="2420" spans="1:4">
      <c r="A2420" t="s">
        <v>6</v>
      </c>
      <c r="B2420">
        <v>69</v>
      </c>
      <c r="C2420" t="str">
        <f>CHOOSE(MATCH(B2420, {20,25,30,35,40,45,50,55,60,65,70,75,80,85}, 1), "20-24", "25-29", "30-34", "35-39", "40-44", "45-49", "50-54", "55-59", "60-64", "65-69", "70-74", "75-79", "80-84", "85+")</f>
        <v>65-69</v>
      </c>
      <c r="D2420" t="s">
        <v>8</v>
      </c>
    </row>
    <row r="2421" spans="1:4">
      <c r="A2421" t="s">
        <v>6</v>
      </c>
      <c r="B2421">
        <v>31</v>
      </c>
      <c r="C2421" t="str">
        <f>CHOOSE(MATCH(B2421, {20,25,30,35,40,45,50,55,60,65,70,75,80,85}, 1), "20-24", "25-29", "30-34", "35-39", "40-44", "45-49", "50-54", "55-59", "60-64", "65-69", "70-74", "75-79", "80-84", "85+")</f>
        <v>30-34</v>
      </c>
      <c r="D2421" t="s">
        <v>8</v>
      </c>
    </row>
    <row r="2422" spans="1:4">
      <c r="A2422" t="s">
        <v>6</v>
      </c>
      <c r="B2422">
        <v>61</v>
      </c>
      <c r="C2422" t="str">
        <f>CHOOSE(MATCH(B2422, {20,25,30,35,40,45,50,55,60,65,70,75,80,85}, 1), "20-24", "25-29", "30-34", "35-39", "40-44", "45-49", "50-54", "55-59", "60-64", "65-69", "70-74", "75-79", "80-84", "85+")</f>
        <v>60-64</v>
      </c>
      <c r="D2422" t="s">
        <v>8</v>
      </c>
    </row>
    <row r="2423" spans="1:4">
      <c r="A2423" t="s">
        <v>6</v>
      </c>
      <c r="B2423">
        <v>44</v>
      </c>
      <c r="C2423" t="str">
        <f>CHOOSE(MATCH(B2423, {20,25,30,35,40,45,50,55,60,65,70,75,80,85}, 1), "20-24", "25-29", "30-34", "35-39", "40-44", "45-49", "50-54", "55-59", "60-64", "65-69", "70-74", "75-79", "80-84", "85+")</f>
        <v>40-44</v>
      </c>
      <c r="D2423" t="s">
        <v>7</v>
      </c>
    </row>
    <row r="2424" spans="1:4">
      <c r="A2424" t="s">
        <v>6</v>
      </c>
      <c r="B2424">
        <v>29</v>
      </c>
      <c r="C2424" t="str">
        <f>CHOOSE(MATCH(B2424, {20,25,30,35,40,45,50,55,60,65,70,75,80,85}, 1), "20-24", "25-29", "30-34", "35-39", "40-44", "45-49", "50-54", "55-59", "60-64", "65-69", "70-74", "75-79", "80-84", "85+")</f>
        <v>25-29</v>
      </c>
      <c r="D2424" t="s">
        <v>8</v>
      </c>
    </row>
    <row r="2425" spans="1:4">
      <c r="A2425" t="s">
        <v>6</v>
      </c>
      <c r="B2425">
        <v>23</v>
      </c>
      <c r="C2425" t="str">
        <f>CHOOSE(MATCH(B2425, {20,25,30,35,40,45,50,55,60,65,70,75,80,85}, 1), "20-24", "25-29", "30-34", "35-39", "40-44", "45-49", "50-54", "55-59", "60-64", "65-69", "70-74", "75-79", "80-84", "85+")</f>
        <v>20-24</v>
      </c>
      <c r="D2425" t="s">
        <v>8</v>
      </c>
    </row>
    <row r="2426" spans="1:4">
      <c r="A2426" t="s">
        <v>6</v>
      </c>
      <c r="B2426">
        <v>24</v>
      </c>
      <c r="C2426" t="str">
        <f>CHOOSE(MATCH(B2426, {20,25,30,35,40,45,50,55,60,65,70,75,80,85}, 1), "20-24", "25-29", "30-34", "35-39", "40-44", "45-49", "50-54", "55-59", "60-64", "65-69", "70-74", "75-79", "80-84", "85+")</f>
        <v>20-24</v>
      </c>
      <c r="D2426" t="s">
        <v>7</v>
      </c>
    </row>
    <row r="2427" spans="1:4">
      <c r="A2427" t="s">
        <v>6</v>
      </c>
      <c r="B2427">
        <v>29</v>
      </c>
      <c r="C2427" t="str">
        <f>CHOOSE(MATCH(B2427, {20,25,30,35,40,45,50,55,60,65,70,75,80,85}, 1), "20-24", "25-29", "30-34", "35-39", "40-44", "45-49", "50-54", "55-59", "60-64", "65-69", "70-74", "75-79", "80-84", "85+")</f>
        <v>25-29</v>
      </c>
      <c r="D2427" t="s">
        <v>7</v>
      </c>
    </row>
    <row r="2428" spans="1:4">
      <c r="A2428" t="s">
        <v>6</v>
      </c>
      <c r="B2428">
        <v>48</v>
      </c>
      <c r="C2428" t="str">
        <f>CHOOSE(MATCH(B2428, {20,25,30,35,40,45,50,55,60,65,70,75,80,85}, 1), "20-24", "25-29", "30-34", "35-39", "40-44", "45-49", "50-54", "55-59", "60-64", "65-69", "70-74", "75-79", "80-84", "85+")</f>
        <v>45-49</v>
      </c>
      <c r="D2428" t="s">
        <v>8</v>
      </c>
    </row>
    <row r="2429" spans="1:4">
      <c r="A2429" t="s">
        <v>6</v>
      </c>
      <c r="B2429">
        <v>35</v>
      </c>
      <c r="C2429" t="str">
        <f>CHOOSE(MATCH(B2429, {20,25,30,35,40,45,50,55,60,65,70,75,80,85}, 1), "20-24", "25-29", "30-34", "35-39", "40-44", "45-49", "50-54", "55-59", "60-64", "65-69", "70-74", "75-79", "80-84", "85+")</f>
        <v>35-39</v>
      </c>
      <c r="D2429" t="s">
        <v>7</v>
      </c>
    </row>
    <row r="2430" spans="1:4">
      <c r="A2430" t="s">
        <v>6</v>
      </c>
      <c r="B2430">
        <v>86</v>
      </c>
      <c r="C2430" t="str">
        <f>CHOOSE(MATCH(B2430, {20,25,30,35,40,45,50,55,60,65,70,75,80,85}, 1), "20-24", "25-29", "30-34", "35-39", "40-44", "45-49", "50-54", "55-59", "60-64", "65-69", "70-74", "75-79", "80-84", "85+")</f>
        <v>85+</v>
      </c>
      <c r="D2430" t="s">
        <v>7</v>
      </c>
    </row>
    <row r="2431" spans="1:4">
      <c r="A2431" t="s">
        <v>6</v>
      </c>
      <c r="B2431">
        <v>53</v>
      </c>
      <c r="C2431" t="str">
        <f>CHOOSE(MATCH(B2431, {20,25,30,35,40,45,50,55,60,65,70,75,80,85}, 1), "20-24", "25-29", "30-34", "35-39", "40-44", "45-49", "50-54", "55-59", "60-64", "65-69", "70-74", "75-79", "80-84", "85+")</f>
        <v>50-54</v>
      </c>
      <c r="D2431" t="s">
        <v>7</v>
      </c>
    </row>
    <row r="2432" spans="1:4">
      <c r="A2432" t="s">
        <v>6</v>
      </c>
      <c r="B2432">
        <v>21</v>
      </c>
      <c r="C2432" t="str">
        <f>CHOOSE(MATCH(B2432, {20,25,30,35,40,45,50,55,60,65,70,75,80,85}, 1), "20-24", "25-29", "30-34", "35-39", "40-44", "45-49", "50-54", "55-59", "60-64", "65-69", "70-74", "75-79", "80-84", "85+")</f>
        <v>20-24</v>
      </c>
      <c r="D2432" t="s">
        <v>7</v>
      </c>
    </row>
    <row r="2433" spans="1:4">
      <c r="A2433" t="s">
        <v>6</v>
      </c>
      <c r="B2433">
        <v>31</v>
      </c>
      <c r="C2433" t="str">
        <f>CHOOSE(MATCH(B2433, {20,25,30,35,40,45,50,55,60,65,70,75,80,85}, 1), "20-24", "25-29", "30-34", "35-39", "40-44", "45-49", "50-54", "55-59", "60-64", "65-69", "70-74", "75-79", "80-84", "85+")</f>
        <v>30-34</v>
      </c>
      <c r="D2433" t="s">
        <v>7</v>
      </c>
    </row>
    <row r="2434" spans="1:4">
      <c r="A2434" t="s">
        <v>6</v>
      </c>
      <c r="B2434">
        <v>91</v>
      </c>
      <c r="C2434" t="str">
        <f>CHOOSE(MATCH(B2434, {20,25,30,35,40,45,50,55,60,65,70,75,80,85}, 1), "20-24", "25-29", "30-34", "35-39", "40-44", "45-49", "50-54", "55-59", "60-64", "65-69", "70-74", "75-79", "80-84", "85+")</f>
        <v>85+</v>
      </c>
      <c r="D2434" t="s">
        <v>7</v>
      </c>
    </row>
    <row r="2435" spans="1:4">
      <c r="A2435" t="s">
        <v>6</v>
      </c>
      <c r="B2435">
        <v>30</v>
      </c>
      <c r="C2435" t="str">
        <f>CHOOSE(MATCH(B2435, {20,25,30,35,40,45,50,55,60,65,70,75,80,85}, 1), "20-24", "25-29", "30-34", "35-39", "40-44", "45-49", "50-54", "55-59", "60-64", "65-69", "70-74", "75-79", "80-84", "85+")</f>
        <v>30-34</v>
      </c>
      <c r="D2435" t="s">
        <v>7</v>
      </c>
    </row>
    <row r="2436" spans="1:4">
      <c r="A2436" t="s">
        <v>6</v>
      </c>
      <c r="B2436">
        <v>31</v>
      </c>
      <c r="C2436" t="str">
        <f>CHOOSE(MATCH(B2436, {20,25,30,35,40,45,50,55,60,65,70,75,80,85}, 1), "20-24", "25-29", "30-34", "35-39", "40-44", "45-49", "50-54", "55-59", "60-64", "65-69", "70-74", "75-79", "80-84", "85+")</f>
        <v>30-34</v>
      </c>
      <c r="D2436" t="s">
        <v>7</v>
      </c>
    </row>
    <row r="2437" spans="1:4">
      <c r="A2437" t="s">
        <v>6</v>
      </c>
      <c r="B2437">
        <v>29</v>
      </c>
      <c r="C2437" t="str">
        <f>CHOOSE(MATCH(B2437, {20,25,30,35,40,45,50,55,60,65,70,75,80,85}, 1), "20-24", "25-29", "30-34", "35-39", "40-44", "45-49", "50-54", "55-59", "60-64", "65-69", "70-74", "75-79", "80-84", "85+")</f>
        <v>25-29</v>
      </c>
      <c r="D2437" t="s">
        <v>7</v>
      </c>
    </row>
    <row r="2438" spans="1:4">
      <c r="A2438" t="s">
        <v>6</v>
      </c>
      <c r="B2438">
        <v>75</v>
      </c>
      <c r="C2438" t="str">
        <f>CHOOSE(MATCH(B2438, {20,25,30,35,40,45,50,55,60,65,70,75,80,85}, 1), "20-24", "25-29", "30-34", "35-39", "40-44", "45-49", "50-54", "55-59", "60-64", "65-69", "70-74", "75-79", "80-84", "85+")</f>
        <v>75-79</v>
      </c>
      <c r="D2438" t="s">
        <v>7</v>
      </c>
    </row>
    <row r="2439" spans="1:4">
      <c r="A2439" t="s">
        <v>6</v>
      </c>
      <c r="B2439">
        <v>32</v>
      </c>
      <c r="C2439" t="str">
        <f>CHOOSE(MATCH(B2439, {20,25,30,35,40,45,50,55,60,65,70,75,80,85}, 1), "20-24", "25-29", "30-34", "35-39", "40-44", "45-49", "50-54", "55-59", "60-64", "65-69", "70-74", "75-79", "80-84", "85+")</f>
        <v>30-34</v>
      </c>
      <c r="D2439" t="s">
        <v>7</v>
      </c>
    </row>
    <row r="2440" spans="1:4">
      <c r="A2440" t="s">
        <v>6</v>
      </c>
      <c r="B2440">
        <v>21</v>
      </c>
      <c r="C2440" t="str">
        <f>CHOOSE(MATCH(B2440, {20,25,30,35,40,45,50,55,60,65,70,75,80,85}, 1), "20-24", "25-29", "30-34", "35-39", "40-44", "45-49", "50-54", "55-59", "60-64", "65-69", "70-74", "75-79", "80-84", "85+")</f>
        <v>20-24</v>
      </c>
      <c r="D2440" t="s">
        <v>7</v>
      </c>
    </row>
    <row r="2441" spans="1:4">
      <c r="A2441" t="s">
        <v>6</v>
      </c>
      <c r="B2441">
        <v>30</v>
      </c>
      <c r="C2441" t="str">
        <f>CHOOSE(MATCH(B2441, {20,25,30,35,40,45,50,55,60,65,70,75,80,85}, 1), "20-24", "25-29", "30-34", "35-39", "40-44", "45-49", "50-54", "55-59", "60-64", "65-69", "70-74", "75-79", "80-84", "85+")</f>
        <v>30-34</v>
      </c>
      <c r="D2441" t="s">
        <v>8</v>
      </c>
    </row>
    <row r="2442" spans="1:4">
      <c r="A2442" t="s">
        <v>6</v>
      </c>
      <c r="B2442">
        <v>70</v>
      </c>
      <c r="C2442" t="str">
        <f>CHOOSE(MATCH(B2442, {20,25,30,35,40,45,50,55,60,65,70,75,80,85}, 1), "20-24", "25-29", "30-34", "35-39", "40-44", "45-49", "50-54", "55-59", "60-64", "65-69", "70-74", "75-79", "80-84", "85+")</f>
        <v>70-74</v>
      </c>
      <c r="D2442" t="s">
        <v>7</v>
      </c>
    </row>
    <row r="2443" spans="1:4">
      <c r="A2443" t="s">
        <v>6</v>
      </c>
      <c r="B2443">
        <v>65</v>
      </c>
      <c r="C2443" t="str">
        <f>CHOOSE(MATCH(B2443, {20,25,30,35,40,45,50,55,60,65,70,75,80,85}, 1), "20-24", "25-29", "30-34", "35-39", "40-44", "45-49", "50-54", "55-59", "60-64", "65-69", "70-74", "75-79", "80-84", "85+")</f>
        <v>65-69</v>
      </c>
      <c r="D2443" t="s">
        <v>7</v>
      </c>
    </row>
    <row r="2444" spans="1:4">
      <c r="A2444" t="s">
        <v>6</v>
      </c>
      <c r="B2444">
        <v>28</v>
      </c>
      <c r="C2444" t="str">
        <f>CHOOSE(MATCH(B2444, {20,25,30,35,40,45,50,55,60,65,70,75,80,85}, 1), "20-24", "25-29", "30-34", "35-39", "40-44", "45-49", "50-54", "55-59", "60-64", "65-69", "70-74", "75-79", "80-84", "85+")</f>
        <v>25-29</v>
      </c>
      <c r="D2444" t="s">
        <v>8</v>
      </c>
    </row>
    <row r="2445" spans="1:4">
      <c r="A2445" t="s">
        <v>6</v>
      </c>
      <c r="B2445">
        <v>24</v>
      </c>
      <c r="C2445" t="str">
        <f>CHOOSE(MATCH(B2445, {20,25,30,35,40,45,50,55,60,65,70,75,80,85}, 1), "20-24", "25-29", "30-34", "35-39", "40-44", "45-49", "50-54", "55-59", "60-64", "65-69", "70-74", "75-79", "80-84", "85+")</f>
        <v>20-24</v>
      </c>
      <c r="D2445" t="s">
        <v>7</v>
      </c>
    </row>
    <row r="2446" spans="1:4">
      <c r="A2446" t="s">
        <v>6</v>
      </c>
      <c r="B2446">
        <v>26</v>
      </c>
      <c r="C2446" t="str">
        <f>CHOOSE(MATCH(B2446, {20,25,30,35,40,45,50,55,60,65,70,75,80,85}, 1), "20-24", "25-29", "30-34", "35-39", "40-44", "45-49", "50-54", "55-59", "60-64", "65-69", "70-74", "75-79", "80-84", "85+")</f>
        <v>25-29</v>
      </c>
      <c r="D2446" t="s">
        <v>7</v>
      </c>
    </row>
    <row r="2447" spans="1:4">
      <c r="A2447" t="s">
        <v>6</v>
      </c>
      <c r="B2447">
        <v>42</v>
      </c>
      <c r="C2447" t="str">
        <f>CHOOSE(MATCH(B2447, {20,25,30,35,40,45,50,55,60,65,70,75,80,85}, 1), "20-24", "25-29", "30-34", "35-39", "40-44", "45-49", "50-54", "55-59", "60-64", "65-69", "70-74", "75-79", "80-84", "85+")</f>
        <v>40-44</v>
      </c>
      <c r="D2447" t="s">
        <v>8</v>
      </c>
    </row>
    <row r="2448" spans="1:4">
      <c r="A2448" t="s">
        <v>6</v>
      </c>
      <c r="B2448">
        <v>55</v>
      </c>
      <c r="C2448" t="str">
        <f>CHOOSE(MATCH(B2448, {20,25,30,35,40,45,50,55,60,65,70,75,80,85}, 1), "20-24", "25-29", "30-34", "35-39", "40-44", "45-49", "50-54", "55-59", "60-64", "65-69", "70-74", "75-79", "80-84", "85+")</f>
        <v>55-59</v>
      </c>
      <c r="D2448" t="s">
        <v>8</v>
      </c>
    </row>
    <row r="2449" spans="1:4">
      <c r="A2449" t="s">
        <v>6</v>
      </c>
      <c r="B2449">
        <v>48</v>
      </c>
      <c r="C2449" t="str">
        <f>CHOOSE(MATCH(B2449, {20,25,30,35,40,45,50,55,60,65,70,75,80,85}, 1), "20-24", "25-29", "30-34", "35-39", "40-44", "45-49", "50-54", "55-59", "60-64", "65-69", "70-74", "75-79", "80-84", "85+")</f>
        <v>45-49</v>
      </c>
      <c r="D2449" t="s">
        <v>7</v>
      </c>
    </row>
    <row r="2450" spans="1:4">
      <c r="A2450" t="s">
        <v>6</v>
      </c>
      <c r="B2450">
        <v>66</v>
      </c>
      <c r="C2450" t="str">
        <f>CHOOSE(MATCH(B2450, {20,25,30,35,40,45,50,55,60,65,70,75,80,85}, 1), "20-24", "25-29", "30-34", "35-39", "40-44", "45-49", "50-54", "55-59", "60-64", "65-69", "70-74", "75-79", "80-84", "85+")</f>
        <v>65-69</v>
      </c>
      <c r="D2450" t="s">
        <v>7</v>
      </c>
    </row>
    <row r="2451" spans="1:4">
      <c r="A2451" t="s">
        <v>6</v>
      </c>
      <c r="B2451">
        <v>47</v>
      </c>
      <c r="C2451" t="str">
        <f>CHOOSE(MATCH(B2451, {20,25,30,35,40,45,50,55,60,65,70,75,80,85}, 1), "20-24", "25-29", "30-34", "35-39", "40-44", "45-49", "50-54", "55-59", "60-64", "65-69", "70-74", "75-79", "80-84", "85+")</f>
        <v>45-49</v>
      </c>
      <c r="D2451" t="s">
        <v>7</v>
      </c>
    </row>
    <row r="2452" spans="1:4">
      <c r="A2452" t="s">
        <v>6</v>
      </c>
      <c r="B2452">
        <v>29</v>
      </c>
      <c r="C2452" t="str">
        <f>CHOOSE(MATCH(B2452, {20,25,30,35,40,45,50,55,60,65,70,75,80,85}, 1), "20-24", "25-29", "30-34", "35-39", "40-44", "45-49", "50-54", "55-59", "60-64", "65-69", "70-74", "75-79", "80-84", "85+")</f>
        <v>25-29</v>
      </c>
      <c r="D2452" t="s">
        <v>7</v>
      </c>
    </row>
    <row r="2453" spans="1:4">
      <c r="A2453" t="s">
        <v>6</v>
      </c>
      <c r="B2453">
        <v>25</v>
      </c>
      <c r="C2453" t="str">
        <f>CHOOSE(MATCH(B2453, {20,25,30,35,40,45,50,55,60,65,70,75,80,85}, 1), "20-24", "25-29", "30-34", "35-39", "40-44", "45-49", "50-54", "55-59", "60-64", "65-69", "70-74", "75-79", "80-84", "85+")</f>
        <v>25-29</v>
      </c>
      <c r="D2453" t="s">
        <v>8</v>
      </c>
    </row>
    <row r="2454" spans="1:4">
      <c r="A2454" t="s">
        <v>6</v>
      </c>
      <c r="B2454">
        <v>44</v>
      </c>
      <c r="C2454" t="str">
        <f>CHOOSE(MATCH(B2454, {20,25,30,35,40,45,50,55,60,65,70,75,80,85}, 1), "20-24", "25-29", "30-34", "35-39", "40-44", "45-49", "50-54", "55-59", "60-64", "65-69", "70-74", "75-79", "80-84", "85+")</f>
        <v>40-44</v>
      </c>
      <c r="D2454" t="s">
        <v>8</v>
      </c>
    </row>
    <row r="2455" spans="1:4">
      <c r="A2455" t="s">
        <v>6</v>
      </c>
      <c r="B2455">
        <v>46</v>
      </c>
      <c r="C2455" t="str">
        <f>CHOOSE(MATCH(B2455, {20,25,30,35,40,45,50,55,60,65,70,75,80,85}, 1), "20-24", "25-29", "30-34", "35-39", "40-44", "45-49", "50-54", "55-59", "60-64", "65-69", "70-74", "75-79", "80-84", "85+")</f>
        <v>45-49</v>
      </c>
      <c r="D2455" t="s">
        <v>8</v>
      </c>
    </row>
    <row r="2456" spans="1:4">
      <c r="A2456" t="s">
        <v>6</v>
      </c>
      <c r="B2456">
        <v>33</v>
      </c>
      <c r="C2456" t="str">
        <f>CHOOSE(MATCH(B2456, {20,25,30,35,40,45,50,55,60,65,70,75,80,85}, 1), "20-24", "25-29", "30-34", "35-39", "40-44", "45-49", "50-54", "55-59", "60-64", "65-69", "70-74", "75-79", "80-84", "85+")</f>
        <v>30-34</v>
      </c>
      <c r="D2456" t="s">
        <v>7</v>
      </c>
    </row>
    <row r="2457" spans="1:4">
      <c r="A2457" t="s">
        <v>6</v>
      </c>
      <c r="B2457">
        <v>39</v>
      </c>
      <c r="C2457" t="str">
        <f>CHOOSE(MATCH(B2457, {20,25,30,35,40,45,50,55,60,65,70,75,80,85}, 1), "20-24", "25-29", "30-34", "35-39", "40-44", "45-49", "50-54", "55-59", "60-64", "65-69", "70-74", "75-79", "80-84", "85+")</f>
        <v>35-39</v>
      </c>
      <c r="D2457" t="s">
        <v>7</v>
      </c>
    </row>
    <row r="2458" spans="1:4">
      <c r="A2458" t="s">
        <v>6</v>
      </c>
      <c r="B2458">
        <v>75</v>
      </c>
      <c r="C2458" t="str">
        <f>CHOOSE(MATCH(B2458, {20,25,30,35,40,45,50,55,60,65,70,75,80,85}, 1), "20-24", "25-29", "30-34", "35-39", "40-44", "45-49", "50-54", "55-59", "60-64", "65-69", "70-74", "75-79", "80-84", "85+")</f>
        <v>75-79</v>
      </c>
      <c r="D2458" t="s">
        <v>7</v>
      </c>
    </row>
    <row r="2459" spans="1:4">
      <c r="A2459" t="s">
        <v>6</v>
      </c>
      <c r="B2459">
        <v>33</v>
      </c>
      <c r="C2459" t="str">
        <f>CHOOSE(MATCH(B2459, {20,25,30,35,40,45,50,55,60,65,70,75,80,85}, 1), "20-24", "25-29", "30-34", "35-39", "40-44", "45-49", "50-54", "55-59", "60-64", "65-69", "70-74", "75-79", "80-84", "85+")</f>
        <v>30-34</v>
      </c>
      <c r="D2459" t="s">
        <v>7</v>
      </c>
    </row>
    <row r="2460" spans="1:4">
      <c r="A2460" t="s">
        <v>6</v>
      </c>
      <c r="B2460">
        <v>25</v>
      </c>
      <c r="C2460" t="str">
        <f>CHOOSE(MATCH(B2460, {20,25,30,35,40,45,50,55,60,65,70,75,80,85}, 1), "20-24", "25-29", "30-34", "35-39", "40-44", "45-49", "50-54", "55-59", "60-64", "65-69", "70-74", "75-79", "80-84", "85+")</f>
        <v>25-29</v>
      </c>
      <c r="D2460" t="s">
        <v>7</v>
      </c>
    </row>
    <row r="2461" spans="1:4">
      <c r="A2461" t="s">
        <v>6</v>
      </c>
      <c r="B2461">
        <v>28</v>
      </c>
      <c r="C2461" t="str">
        <f>CHOOSE(MATCH(B2461, {20,25,30,35,40,45,50,55,60,65,70,75,80,85}, 1), "20-24", "25-29", "30-34", "35-39", "40-44", "45-49", "50-54", "55-59", "60-64", "65-69", "70-74", "75-79", "80-84", "85+")</f>
        <v>25-29</v>
      </c>
      <c r="D2461" t="s">
        <v>8</v>
      </c>
    </row>
    <row r="2462" spans="1:4">
      <c r="A2462" t="s">
        <v>6</v>
      </c>
      <c r="B2462">
        <v>30</v>
      </c>
      <c r="C2462" t="str">
        <f>CHOOSE(MATCH(B2462, {20,25,30,35,40,45,50,55,60,65,70,75,80,85}, 1), "20-24", "25-29", "30-34", "35-39", "40-44", "45-49", "50-54", "55-59", "60-64", "65-69", "70-74", "75-79", "80-84", "85+")</f>
        <v>30-34</v>
      </c>
      <c r="D2462" t="s">
        <v>7</v>
      </c>
    </row>
    <row r="2463" spans="1:4">
      <c r="A2463" t="s">
        <v>6</v>
      </c>
      <c r="B2463">
        <v>28</v>
      </c>
      <c r="C2463" t="str">
        <f>CHOOSE(MATCH(B2463, {20,25,30,35,40,45,50,55,60,65,70,75,80,85}, 1), "20-24", "25-29", "30-34", "35-39", "40-44", "45-49", "50-54", "55-59", "60-64", "65-69", "70-74", "75-79", "80-84", "85+")</f>
        <v>25-29</v>
      </c>
      <c r="D2463" t="s">
        <v>7</v>
      </c>
    </row>
    <row r="2464" spans="1:4">
      <c r="A2464" t="s">
        <v>6</v>
      </c>
      <c r="B2464">
        <v>37</v>
      </c>
      <c r="C2464" t="str">
        <f>CHOOSE(MATCH(B2464, {20,25,30,35,40,45,50,55,60,65,70,75,80,85}, 1), "20-24", "25-29", "30-34", "35-39", "40-44", "45-49", "50-54", "55-59", "60-64", "65-69", "70-74", "75-79", "80-84", "85+")</f>
        <v>35-39</v>
      </c>
      <c r="D2464" t="s">
        <v>8</v>
      </c>
    </row>
    <row r="2465" spans="1:4">
      <c r="A2465" t="s">
        <v>6</v>
      </c>
      <c r="B2465">
        <v>61</v>
      </c>
      <c r="C2465" t="str">
        <f>CHOOSE(MATCH(B2465, {20,25,30,35,40,45,50,55,60,65,70,75,80,85}, 1), "20-24", "25-29", "30-34", "35-39", "40-44", "45-49", "50-54", "55-59", "60-64", "65-69", "70-74", "75-79", "80-84", "85+")</f>
        <v>60-64</v>
      </c>
      <c r="D2465" t="s">
        <v>8</v>
      </c>
    </row>
    <row r="2466" spans="1:4">
      <c r="A2466" t="s">
        <v>6</v>
      </c>
      <c r="B2466">
        <v>34</v>
      </c>
      <c r="C2466" t="str">
        <f>CHOOSE(MATCH(B2466, {20,25,30,35,40,45,50,55,60,65,70,75,80,85}, 1), "20-24", "25-29", "30-34", "35-39", "40-44", "45-49", "50-54", "55-59", "60-64", "65-69", "70-74", "75-79", "80-84", "85+")</f>
        <v>30-34</v>
      </c>
      <c r="D2466" t="s">
        <v>7</v>
      </c>
    </row>
    <row r="2467" spans="1:4">
      <c r="A2467" t="s">
        <v>6</v>
      </c>
      <c r="B2467">
        <v>59</v>
      </c>
      <c r="C2467" t="str">
        <f>CHOOSE(MATCH(B2467, {20,25,30,35,40,45,50,55,60,65,70,75,80,85}, 1), "20-24", "25-29", "30-34", "35-39", "40-44", "45-49", "50-54", "55-59", "60-64", "65-69", "70-74", "75-79", "80-84", "85+")</f>
        <v>55-59</v>
      </c>
      <c r="D2467" t="s">
        <v>7</v>
      </c>
    </row>
    <row r="2468" spans="1:4">
      <c r="A2468" t="s">
        <v>6</v>
      </c>
      <c r="B2468">
        <v>27</v>
      </c>
      <c r="C2468" t="str">
        <f>CHOOSE(MATCH(B2468, {20,25,30,35,40,45,50,55,60,65,70,75,80,85}, 1), "20-24", "25-29", "30-34", "35-39", "40-44", "45-49", "50-54", "55-59", "60-64", "65-69", "70-74", "75-79", "80-84", "85+")</f>
        <v>25-29</v>
      </c>
      <c r="D2468" t="s">
        <v>8</v>
      </c>
    </row>
    <row r="2469" spans="1:4">
      <c r="A2469" t="s">
        <v>6</v>
      </c>
      <c r="B2469">
        <v>24</v>
      </c>
      <c r="C2469" t="str">
        <f>CHOOSE(MATCH(B2469, {20,25,30,35,40,45,50,55,60,65,70,75,80,85}, 1), "20-24", "25-29", "30-34", "35-39", "40-44", "45-49", "50-54", "55-59", "60-64", "65-69", "70-74", "75-79", "80-84", "85+")</f>
        <v>20-24</v>
      </c>
      <c r="D2469" t="s">
        <v>7</v>
      </c>
    </row>
    <row r="2470" spans="1:4">
      <c r="A2470" t="s">
        <v>6</v>
      </c>
      <c r="B2470">
        <v>33</v>
      </c>
      <c r="C2470" t="str">
        <f>CHOOSE(MATCH(B2470, {20,25,30,35,40,45,50,55,60,65,70,75,80,85}, 1), "20-24", "25-29", "30-34", "35-39", "40-44", "45-49", "50-54", "55-59", "60-64", "65-69", "70-74", "75-79", "80-84", "85+")</f>
        <v>30-34</v>
      </c>
      <c r="D2470" t="s">
        <v>7</v>
      </c>
    </row>
    <row r="2471" spans="1:4">
      <c r="A2471" t="s">
        <v>6</v>
      </c>
      <c r="B2471">
        <v>49</v>
      </c>
      <c r="C2471" t="str">
        <f>CHOOSE(MATCH(B2471, {20,25,30,35,40,45,50,55,60,65,70,75,80,85}, 1), "20-24", "25-29", "30-34", "35-39", "40-44", "45-49", "50-54", "55-59", "60-64", "65-69", "70-74", "75-79", "80-84", "85+")</f>
        <v>45-49</v>
      </c>
      <c r="D2471" t="s">
        <v>7</v>
      </c>
    </row>
    <row r="2472" spans="1:4">
      <c r="A2472" t="s">
        <v>6</v>
      </c>
      <c r="B2472">
        <v>71</v>
      </c>
      <c r="C2472" t="str">
        <f>CHOOSE(MATCH(B2472, {20,25,30,35,40,45,50,55,60,65,70,75,80,85}, 1), "20-24", "25-29", "30-34", "35-39", "40-44", "45-49", "50-54", "55-59", "60-64", "65-69", "70-74", "75-79", "80-84", "85+")</f>
        <v>70-74</v>
      </c>
      <c r="D2472" t="s">
        <v>7</v>
      </c>
    </row>
    <row r="2473" spans="1:4">
      <c r="A2473" t="s">
        <v>6</v>
      </c>
      <c r="B2473">
        <v>24</v>
      </c>
      <c r="C2473" t="str">
        <f>CHOOSE(MATCH(B2473, {20,25,30,35,40,45,50,55,60,65,70,75,80,85}, 1), "20-24", "25-29", "30-34", "35-39", "40-44", "45-49", "50-54", "55-59", "60-64", "65-69", "70-74", "75-79", "80-84", "85+")</f>
        <v>20-24</v>
      </c>
      <c r="D2473" t="s">
        <v>7</v>
      </c>
    </row>
    <row r="2474" spans="1:4">
      <c r="A2474" t="s">
        <v>6</v>
      </c>
      <c r="B2474">
        <v>57</v>
      </c>
      <c r="C2474" t="str">
        <f>CHOOSE(MATCH(B2474, {20,25,30,35,40,45,50,55,60,65,70,75,80,85}, 1), "20-24", "25-29", "30-34", "35-39", "40-44", "45-49", "50-54", "55-59", "60-64", "65-69", "70-74", "75-79", "80-84", "85+")</f>
        <v>55-59</v>
      </c>
      <c r="D2474" t="s">
        <v>7</v>
      </c>
    </row>
    <row r="2475" spans="1:4">
      <c r="A2475" t="s">
        <v>6</v>
      </c>
      <c r="B2475">
        <v>27</v>
      </c>
      <c r="C2475" t="str">
        <f>CHOOSE(MATCH(B2475, {20,25,30,35,40,45,50,55,60,65,70,75,80,85}, 1), "20-24", "25-29", "30-34", "35-39", "40-44", "45-49", "50-54", "55-59", "60-64", "65-69", "70-74", "75-79", "80-84", "85+")</f>
        <v>25-29</v>
      </c>
      <c r="D2475" t="s">
        <v>8</v>
      </c>
    </row>
    <row r="2476" spans="1:4">
      <c r="A2476" t="s">
        <v>6</v>
      </c>
      <c r="B2476">
        <v>23</v>
      </c>
      <c r="C2476" t="str">
        <f>CHOOSE(MATCH(B2476, {20,25,30,35,40,45,50,55,60,65,70,75,80,85}, 1), "20-24", "25-29", "30-34", "35-39", "40-44", "45-49", "50-54", "55-59", "60-64", "65-69", "70-74", "75-79", "80-84", "85+")</f>
        <v>20-24</v>
      </c>
      <c r="D2476" t="s">
        <v>7</v>
      </c>
    </row>
    <row r="2477" spans="1:4">
      <c r="A2477" t="s">
        <v>6</v>
      </c>
      <c r="B2477">
        <v>30</v>
      </c>
      <c r="C2477" t="str">
        <f>CHOOSE(MATCH(B2477, {20,25,30,35,40,45,50,55,60,65,70,75,80,85}, 1), "20-24", "25-29", "30-34", "35-39", "40-44", "45-49", "50-54", "55-59", "60-64", "65-69", "70-74", "75-79", "80-84", "85+")</f>
        <v>30-34</v>
      </c>
      <c r="D2477" t="s">
        <v>7</v>
      </c>
    </row>
    <row r="2478" spans="1:4">
      <c r="A2478" t="s">
        <v>6</v>
      </c>
      <c r="B2478">
        <v>33</v>
      </c>
      <c r="C2478" t="str">
        <f>CHOOSE(MATCH(B2478, {20,25,30,35,40,45,50,55,60,65,70,75,80,85}, 1), "20-24", "25-29", "30-34", "35-39", "40-44", "45-49", "50-54", "55-59", "60-64", "65-69", "70-74", "75-79", "80-84", "85+")</f>
        <v>30-34</v>
      </c>
      <c r="D2478" t="s">
        <v>7</v>
      </c>
    </row>
    <row r="2479" spans="1:4">
      <c r="A2479" t="s">
        <v>6</v>
      </c>
      <c r="B2479">
        <v>36</v>
      </c>
      <c r="C2479" t="str">
        <f>CHOOSE(MATCH(B2479, {20,25,30,35,40,45,50,55,60,65,70,75,80,85}, 1), "20-24", "25-29", "30-34", "35-39", "40-44", "45-49", "50-54", "55-59", "60-64", "65-69", "70-74", "75-79", "80-84", "85+")</f>
        <v>35-39</v>
      </c>
      <c r="D2479" t="s">
        <v>7</v>
      </c>
    </row>
    <row r="2480" spans="1:4">
      <c r="A2480" t="s">
        <v>6</v>
      </c>
      <c r="B2480">
        <v>66</v>
      </c>
      <c r="C2480" t="str">
        <f>CHOOSE(MATCH(B2480, {20,25,30,35,40,45,50,55,60,65,70,75,80,85}, 1), "20-24", "25-29", "30-34", "35-39", "40-44", "45-49", "50-54", "55-59", "60-64", "65-69", "70-74", "75-79", "80-84", "85+")</f>
        <v>65-69</v>
      </c>
      <c r="D2480" t="s">
        <v>8</v>
      </c>
    </row>
    <row r="2481" spans="1:4">
      <c r="A2481" t="s">
        <v>6</v>
      </c>
      <c r="B2481">
        <v>59</v>
      </c>
      <c r="C2481" t="str">
        <f>CHOOSE(MATCH(B2481, {20,25,30,35,40,45,50,55,60,65,70,75,80,85}, 1), "20-24", "25-29", "30-34", "35-39", "40-44", "45-49", "50-54", "55-59", "60-64", "65-69", "70-74", "75-79", "80-84", "85+")</f>
        <v>55-59</v>
      </c>
      <c r="D2481" t="s">
        <v>7</v>
      </c>
    </row>
    <row r="2482" spans="1:4">
      <c r="A2482" t="s">
        <v>6</v>
      </c>
      <c r="B2482">
        <v>29</v>
      </c>
      <c r="C2482" t="str">
        <f>CHOOSE(MATCH(B2482, {20,25,30,35,40,45,50,55,60,65,70,75,80,85}, 1), "20-24", "25-29", "30-34", "35-39", "40-44", "45-49", "50-54", "55-59", "60-64", "65-69", "70-74", "75-79", "80-84", "85+")</f>
        <v>25-29</v>
      </c>
      <c r="D2482" t="s">
        <v>7</v>
      </c>
    </row>
    <row r="2483" spans="1:4">
      <c r="A2483" t="s">
        <v>6</v>
      </c>
      <c r="B2483">
        <v>65</v>
      </c>
      <c r="C2483" t="str">
        <f>CHOOSE(MATCH(B2483, {20,25,30,35,40,45,50,55,60,65,70,75,80,85}, 1), "20-24", "25-29", "30-34", "35-39", "40-44", "45-49", "50-54", "55-59", "60-64", "65-69", "70-74", "75-79", "80-84", "85+")</f>
        <v>65-69</v>
      </c>
      <c r="D2483" t="s">
        <v>8</v>
      </c>
    </row>
    <row r="2484" spans="1:4">
      <c r="A2484" t="s">
        <v>6</v>
      </c>
      <c r="B2484">
        <v>31</v>
      </c>
      <c r="C2484" t="str">
        <f>CHOOSE(MATCH(B2484, {20,25,30,35,40,45,50,55,60,65,70,75,80,85}, 1), "20-24", "25-29", "30-34", "35-39", "40-44", "45-49", "50-54", "55-59", "60-64", "65-69", "70-74", "75-79", "80-84", "85+")</f>
        <v>30-34</v>
      </c>
      <c r="D2484" t="s">
        <v>8</v>
      </c>
    </row>
    <row r="2485" spans="1:4">
      <c r="A2485" t="s">
        <v>6</v>
      </c>
      <c r="B2485">
        <v>26</v>
      </c>
      <c r="C2485" t="str">
        <f>CHOOSE(MATCH(B2485, {20,25,30,35,40,45,50,55,60,65,70,75,80,85}, 1), "20-24", "25-29", "30-34", "35-39", "40-44", "45-49", "50-54", "55-59", "60-64", "65-69", "70-74", "75-79", "80-84", "85+")</f>
        <v>25-29</v>
      </c>
      <c r="D2485" t="s">
        <v>7</v>
      </c>
    </row>
    <row r="2486" spans="1:4">
      <c r="A2486" t="s">
        <v>6</v>
      </c>
      <c r="B2486">
        <v>66</v>
      </c>
      <c r="C2486" t="str">
        <f>CHOOSE(MATCH(B2486, {20,25,30,35,40,45,50,55,60,65,70,75,80,85}, 1), "20-24", "25-29", "30-34", "35-39", "40-44", "45-49", "50-54", "55-59", "60-64", "65-69", "70-74", "75-79", "80-84", "85+")</f>
        <v>65-69</v>
      </c>
      <c r="D2486" t="s">
        <v>8</v>
      </c>
    </row>
    <row r="2487" spans="1:4">
      <c r="A2487" t="s">
        <v>6</v>
      </c>
      <c r="B2487">
        <v>52</v>
      </c>
      <c r="C2487" t="str">
        <f>CHOOSE(MATCH(B2487, {20,25,30,35,40,45,50,55,60,65,70,75,80,85}, 1), "20-24", "25-29", "30-34", "35-39", "40-44", "45-49", "50-54", "55-59", "60-64", "65-69", "70-74", "75-79", "80-84", "85+")</f>
        <v>50-54</v>
      </c>
      <c r="D2487" t="s">
        <v>7</v>
      </c>
    </row>
    <row r="2488" spans="1:4">
      <c r="A2488" t="s">
        <v>6</v>
      </c>
      <c r="B2488">
        <v>53</v>
      </c>
      <c r="C2488" t="str">
        <f>CHOOSE(MATCH(B2488, {20,25,30,35,40,45,50,55,60,65,70,75,80,85}, 1), "20-24", "25-29", "30-34", "35-39", "40-44", "45-49", "50-54", "55-59", "60-64", "65-69", "70-74", "75-79", "80-84", "85+")</f>
        <v>50-54</v>
      </c>
      <c r="D2488" t="s">
        <v>7</v>
      </c>
    </row>
    <row r="2489" spans="1:4">
      <c r="A2489" t="s">
        <v>6</v>
      </c>
      <c r="B2489">
        <v>56</v>
      </c>
      <c r="C2489" t="str">
        <f>CHOOSE(MATCH(B2489, {20,25,30,35,40,45,50,55,60,65,70,75,80,85}, 1), "20-24", "25-29", "30-34", "35-39", "40-44", "45-49", "50-54", "55-59", "60-64", "65-69", "70-74", "75-79", "80-84", "85+")</f>
        <v>55-59</v>
      </c>
      <c r="D2489" t="s">
        <v>8</v>
      </c>
    </row>
    <row r="2490" spans="1:4">
      <c r="A2490" t="s">
        <v>6</v>
      </c>
      <c r="B2490">
        <v>21</v>
      </c>
      <c r="C2490" t="str">
        <f>CHOOSE(MATCH(B2490, {20,25,30,35,40,45,50,55,60,65,70,75,80,85}, 1), "20-24", "25-29", "30-34", "35-39", "40-44", "45-49", "50-54", "55-59", "60-64", "65-69", "70-74", "75-79", "80-84", "85+")</f>
        <v>20-24</v>
      </c>
      <c r="D2490" t="s">
        <v>7</v>
      </c>
    </row>
    <row r="2491" spans="1:4">
      <c r="A2491" t="s">
        <v>6</v>
      </c>
      <c r="B2491">
        <v>41</v>
      </c>
      <c r="C2491" t="str">
        <f>CHOOSE(MATCH(B2491, {20,25,30,35,40,45,50,55,60,65,70,75,80,85}, 1), "20-24", "25-29", "30-34", "35-39", "40-44", "45-49", "50-54", "55-59", "60-64", "65-69", "70-74", "75-79", "80-84", "85+")</f>
        <v>40-44</v>
      </c>
      <c r="D2491" t="s">
        <v>7</v>
      </c>
    </row>
    <row r="2492" spans="1:4">
      <c r="A2492" t="s">
        <v>6</v>
      </c>
      <c r="B2492">
        <v>78</v>
      </c>
      <c r="C2492" t="str">
        <f>CHOOSE(MATCH(B2492, {20,25,30,35,40,45,50,55,60,65,70,75,80,85}, 1), "20-24", "25-29", "30-34", "35-39", "40-44", "45-49", "50-54", "55-59", "60-64", "65-69", "70-74", "75-79", "80-84", "85+")</f>
        <v>75-79</v>
      </c>
      <c r="D2492" t="s">
        <v>7</v>
      </c>
    </row>
    <row r="2493" spans="1:4">
      <c r="A2493" t="s">
        <v>6</v>
      </c>
      <c r="B2493">
        <v>39</v>
      </c>
      <c r="C2493" t="str">
        <f>CHOOSE(MATCH(B2493, {20,25,30,35,40,45,50,55,60,65,70,75,80,85}, 1), "20-24", "25-29", "30-34", "35-39", "40-44", "45-49", "50-54", "55-59", "60-64", "65-69", "70-74", "75-79", "80-84", "85+")</f>
        <v>35-39</v>
      </c>
      <c r="D2493" t="s">
        <v>7</v>
      </c>
    </row>
    <row r="2494" spans="1:4">
      <c r="A2494" t="s">
        <v>6</v>
      </c>
      <c r="B2494">
        <v>40</v>
      </c>
      <c r="C2494" t="str">
        <f>CHOOSE(MATCH(B2494, {20,25,30,35,40,45,50,55,60,65,70,75,80,85}, 1), "20-24", "25-29", "30-34", "35-39", "40-44", "45-49", "50-54", "55-59", "60-64", "65-69", "70-74", "75-79", "80-84", "85+")</f>
        <v>40-44</v>
      </c>
      <c r="D2494" t="s">
        <v>8</v>
      </c>
    </row>
    <row r="2495" spans="1:4">
      <c r="A2495" t="s">
        <v>6</v>
      </c>
      <c r="B2495">
        <v>42</v>
      </c>
      <c r="C2495" t="str">
        <f>CHOOSE(MATCH(B2495, {20,25,30,35,40,45,50,55,60,65,70,75,80,85}, 1), "20-24", "25-29", "30-34", "35-39", "40-44", "45-49", "50-54", "55-59", "60-64", "65-69", "70-74", "75-79", "80-84", "85+")</f>
        <v>40-44</v>
      </c>
      <c r="D2495" t="s">
        <v>7</v>
      </c>
    </row>
    <row r="2496" spans="1:4">
      <c r="A2496" t="s">
        <v>6</v>
      </c>
      <c r="B2496">
        <v>32</v>
      </c>
      <c r="C2496" t="str">
        <f>CHOOSE(MATCH(B2496, {20,25,30,35,40,45,50,55,60,65,70,75,80,85}, 1), "20-24", "25-29", "30-34", "35-39", "40-44", "45-49", "50-54", "55-59", "60-64", "65-69", "70-74", "75-79", "80-84", "85+")</f>
        <v>30-34</v>
      </c>
      <c r="D2496" t="s">
        <v>7</v>
      </c>
    </row>
    <row r="2497" spans="1:4">
      <c r="A2497" t="s">
        <v>6</v>
      </c>
      <c r="B2497">
        <v>65</v>
      </c>
      <c r="C2497" t="str">
        <f>CHOOSE(MATCH(B2497, {20,25,30,35,40,45,50,55,60,65,70,75,80,85}, 1), "20-24", "25-29", "30-34", "35-39", "40-44", "45-49", "50-54", "55-59", "60-64", "65-69", "70-74", "75-79", "80-84", "85+")</f>
        <v>65-69</v>
      </c>
      <c r="D2497" t="s">
        <v>8</v>
      </c>
    </row>
    <row r="2498" spans="1:4">
      <c r="A2498" t="s">
        <v>6</v>
      </c>
      <c r="B2498">
        <v>49</v>
      </c>
      <c r="C2498" t="str">
        <f>CHOOSE(MATCH(B2498, {20,25,30,35,40,45,50,55,60,65,70,75,80,85}, 1), "20-24", "25-29", "30-34", "35-39", "40-44", "45-49", "50-54", "55-59", "60-64", "65-69", "70-74", "75-79", "80-84", "85+")</f>
        <v>45-49</v>
      </c>
      <c r="D2498" t="s">
        <v>7</v>
      </c>
    </row>
    <row r="2499" spans="1:4">
      <c r="A2499" t="s">
        <v>6</v>
      </c>
      <c r="B2499">
        <v>26</v>
      </c>
      <c r="C2499" t="str">
        <f>CHOOSE(MATCH(B2499, {20,25,30,35,40,45,50,55,60,65,70,75,80,85}, 1), "20-24", "25-29", "30-34", "35-39", "40-44", "45-49", "50-54", "55-59", "60-64", "65-69", "70-74", "75-79", "80-84", "85+")</f>
        <v>25-29</v>
      </c>
      <c r="D2499" t="s">
        <v>7</v>
      </c>
    </row>
    <row r="2500" spans="1:4">
      <c r="A2500" t="s">
        <v>6</v>
      </c>
      <c r="B2500">
        <v>39</v>
      </c>
      <c r="C2500" t="str">
        <f>CHOOSE(MATCH(B2500, {20,25,30,35,40,45,50,55,60,65,70,75,80,85}, 1), "20-24", "25-29", "30-34", "35-39", "40-44", "45-49", "50-54", "55-59", "60-64", "65-69", "70-74", "75-79", "80-84", "85+")</f>
        <v>35-39</v>
      </c>
      <c r="D2500" t="s">
        <v>7</v>
      </c>
    </row>
    <row r="2501" spans="1:4">
      <c r="A2501" t="s">
        <v>6</v>
      </c>
      <c r="B2501">
        <v>39</v>
      </c>
      <c r="C2501" t="str">
        <f>CHOOSE(MATCH(B2501, {20,25,30,35,40,45,50,55,60,65,70,75,80,85}, 1), "20-24", "25-29", "30-34", "35-39", "40-44", "45-49", "50-54", "55-59", "60-64", "65-69", "70-74", "75-79", "80-84", "85+")</f>
        <v>35-39</v>
      </c>
      <c r="D2501" t="s">
        <v>7</v>
      </c>
    </row>
    <row r="2502" spans="1:4">
      <c r="A2502" t="s">
        <v>6</v>
      </c>
      <c r="B2502">
        <v>32</v>
      </c>
      <c r="C2502" t="str">
        <f>CHOOSE(MATCH(B2502, {20,25,30,35,40,45,50,55,60,65,70,75,80,85}, 1), "20-24", "25-29", "30-34", "35-39", "40-44", "45-49", "50-54", "55-59", "60-64", "65-69", "70-74", "75-79", "80-84", "85+")</f>
        <v>30-34</v>
      </c>
      <c r="D2502" t="s">
        <v>7</v>
      </c>
    </row>
    <row r="2503" spans="1:4">
      <c r="A2503" t="s">
        <v>6</v>
      </c>
      <c r="B2503">
        <v>48</v>
      </c>
      <c r="C2503" t="str">
        <f>CHOOSE(MATCH(B2503, {20,25,30,35,40,45,50,55,60,65,70,75,80,85}, 1), "20-24", "25-29", "30-34", "35-39", "40-44", "45-49", "50-54", "55-59", "60-64", "65-69", "70-74", "75-79", "80-84", "85+")</f>
        <v>45-49</v>
      </c>
      <c r="D2503" t="s">
        <v>8</v>
      </c>
    </row>
    <row r="2504" spans="1:4">
      <c r="A2504" t="s">
        <v>6</v>
      </c>
      <c r="B2504">
        <v>23</v>
      </c>
      <c r="C2504" t="str">
        <f>CHOOSE(MATCH(B2504, {20,25,30,35,40,45,50,55,60,65,70,75,80,85}, 1), "20-24", "25-29", "30-34", "35-39", "40-44", "45-49", "50-54", "55-59", "60-64", "65-69", "70-74", "75-79", "80-84", "85+")</f>
        <v>20-24</v>
      </c>
      <c r="D2504" t="s">
        <v>7</v>
      </c>
    </row>
    <row r="2505" spans="1:4">
      <c r="A2505" t="s">
        <v>6</v>
      </c>
      <c r="B2505">
        <v>66</v>
      </c>
      <c r="C2505" t="str">
        <f>CHOOSE(MATCH(B2505, {20,25,30,35,40,45,50,55,60,65,70,75,80,85}, 1), "20-24", "25-29", "30-34", "35-39", "40-44", "45-49", "50-54", "55-59", "60-64", "65-69", "70-74", "75-79", "80-84", "85+")</f>
        <v>65-69</v>
      </c>
      <c r="D2505" t="s">
        <v>7</v>
      </c>
    </row>
    <row r="2506" spans="1:4">
      <c r="A2506" t="s">
        <v>6</v>
      </c>
      <c r="B2506">
        <v>29</v>
      </c>
      <c r="C2506" t="str">
        <f>CHOOSE(MATCH(B2506, {20,25,30,35,40,45,50,55,60,65,70,75,80,85}, 1), "20-24", "25-29", "30-34", "35-39", "40-44", "45-49", "50-54", "55-59", "60-64", "65-69", "70-74", "75-79", "80-84", "85+")</f>
        <v>25-29</v>
      </c>
      <c r="D2506" t="s">
        <v>7</v>
      </c>
    </row>
    <row r="2507" spans="1:4">
      <c r="A2507" t="s">
        <v>6</v>
      </c>
      <c r="B2507">
        <v>25</v>
      </c>
      <c r="C2507" t="str">
        <f>CHOOSE(MATCH(B2507, {20,25,30,35,40,45,50,55,60,65,70,75,80,85}, 1), "20-24", "25-29", "30-34", "35-39", "40-44", "45-49", "50-54", "55-59", "60-64", "65-69", "70-74", "75-79", "80-84", "85+")</f>
        <v>25-29</v>
      </c>
      <c r="D2507" t="s">
        <v>7</v>
      </c>
    </row>
    <row r="2508" spans="1:4">
      <c r="A2508" t="s">
        <v>6</v>
      </c>
      <c r="B2508">
        <v>37</v>
      </c>
      <c r="C2508" t="str">
        <f>CHOOSE(MATCH(B2508, {20,25,30,35,40,45,50,55,60,65,70,75,80,85}, 1), "20-24", "25-29", "30-34", "35-39", "40-44", "45-49", "50-54", "55-59", "60-64", "65-69", "70-74", "75-79", "80-84", "85+")</f>
        <v>35-39</v>
      </c>
      <c r="D2508" t="s">
        <v>7</v>
      </c>
    </row>
    <row r="2509" spans="1:4">
      <c r="A2509" t="s">
        <v>6</v>
      </c>
      <c r="B2509">
        <v>35</v>
      </c>
      <c r="C2509" t="str">
        <f>CHOOSE(MATCH(B2509, {20,25,30,35,40,45,50,55,60,65,70,75,80,85}, 1), "20-24", "25-29", "30-34", "35-39", "40-44", "45-49", "50-54", "55-59", "60-64", "65-69", "70-74", "75-79", "80-84", "85+")</f>
        <v>35-39</v>
      </c>
      <c r="D2509" t="s">
        <v>7</v>
      </c>
    </row>
    <row r="2510" spans="1:4">
      <c r="A2510" t="s">
        <v>6</v>
      </c>
      <c r="B2510">
        <v>38</v>
      </c>
      <c r="C2510" t="str">
        <f>CHOOSE(MATCH(B2510, {20,25,30,35,40,45,50,55,60,65,70,75,80,85}, 1), "20-24", "25-29", "30-34", "35-39", "40-44", "45-49", "50-54", "55-59", "60-64", "65-69", "70-74", "75-79", "80-84", "85+")</f>
        <v>35-39</v>
      </c>
      <c r="D2510" t="s">
        <v>7</v>
      </c>
    </row>
    <row r="2511" spans="1:4">
      <c r="A2511" t="s">
        <v>6</v>
      </c>
      <c r="B2511">
        <v>37</v>
      </c>
      <c r="C2511" t="str">
        <f>CHOOSE(MATCH(B2511, {20,25,30,35,40,45,50,55,60,65,70,75,80,85}, 1), "20-24", "25-29", "30-34", "35-39", "40-44", "45-49", "50-54", "55-59", "60-64", "65-69", "70-74", "75-79", "80-84", "85+")</f>
        <v>35-39</v>
      </c>
      <c r="D2511" t="s">
        <v>8</v>
      </c>
    </row>
    <row r="2512" spans="1:4">
      <c r="A2512" t="s">
        <v>6</v>
      </c>
      <c r="B2512">
        <v>40</v>
      </c>
      <c r="C2512" t="str">
        <f>CHOOSE(MATCH(B2512, {20,25,30,35,40,45,50,55,60,65,70,75,80,85}, 1), "20-24", "25-29", "30-34", "35-39", "40-44", "45-49", "50-54", "55-59", "60-64", "65-69", "70-74", "75-79", "80-84", "85+")</f>
        <v>40-44</v>
      </c>
      <c r="D2512" t="s">
        <v>7</v>
      </c>
    </row>
    <row r="2513" spans="1:4">
      <c r="A2513" t="s">
        <v>6</v>
      </c>
      <c r="B2513">
        <v>41</v>
      </c>
      <c r="C2513" t="str">
        <f>CHOOSE(MATCH(B2513, {20,25,30,35,40,45,50,55,60,65,70,75,80,85}, 1), "20-24", "25-29", "30-34", "35-39", "40-44", "45-49", "50-54", "55-59", "60-64", "65-69", "70-74", "75-79", "80-84", "85+")</f>
        <v>40-44</v>
      </c>
      <c r="D2513" t="s">
        <v>8</v>
      </c>
    </row>
    <row r="2514" spans="1:4">
      <c r="A2514" t="s">
        <v>6</v>
      </c>
      <c r="B2514">
        <v>58</v>
      </c>
      <c r="C2514" t="str">
        <f>CHOOSE(MATCH(B2514, {20,25,30,35,40,45,50,55,60,65,70,75,80,85}, 1), "20-24", "25-29", "30-34", "35-39", "40-44", "45-49", "50-54", "55-59", "60-64", "65-69", "70-74", "75-79", "80-84", "85+")</f>
        <v>55-59</v>
      </c>
      <c r="D2514" t="s">
        <v>8</v>
      </c>
    </row>
    <row r="2515" spans="1:4">
      <c r="A2515" t="s">
        <v>6</v>
      </c>
      <c r="B2515">
        <v>48</v>
      </c>
      <c r="C2515" t="str">
        <f>CHOOSE(MATCH(B2515, {20,25,30,35,40,45,50,55,60,65,70,75,80,85}, 1), "20-24", "25-29", "30-34", "35-39", "40-44", "45-49", "50-54", "55-59", "60-64", "65-69", "70-74", "75-79", "80-84", "85+")</f>
        <v>45-49</v>
      </c>
      <c r="D2515" t="s">
        <v>7</v>
      </c>
    </row>
    <row r="2516" spans="1:4">
      <c r="A2516" t="s">
        <v>6</v>
      </c>
      <c r="B2516">
        <v>29</v>
      </c>
      <c r="C2516" t="str">
        <f>CHOOSE(MATCH(B2516, {20,25,30,35,40,45,50,55,60,65,70,75,80,85}, 1), "20-24", "25-29", "30-34", "35-39", "40-44", "45-49", "50-54", "55-59", "60-64", "65-69", "70-74", "75-79", "80-84", "85+")</f>
        <v>25-29</v>
      </c>
      <c r="D2516" t="s">
        <v>8</v>
      </c>
    </row>
    <row r="2517" spans="1:4">
      <c r="A2517" t="s">
        <v>6</v>
      </c>
      <c r="B2517">
        <v>35</v>
      </c>
      <c r="C2517" t="str">
        <f>CHOOSE(MATCH(B2517, {20,25,30,35,40,45,50,55,60,65,70,75,80,85}, 1), "20-24", "25-29", "30-34", "35-39", "40-44", "45-49", "50-54", "55-59", "60-64", "65-69", "70-74", "75-79", "80-84", "85+")</f>
        <v>35-39</v>
      </c>
      <c r="D2517" t="s">
        <v>7</v>
      </c>
    </row>
    <row r="2518" spans="1:4">
      <c r="A2518" t="s">
        <v>6</v>
      </c>
      <c r="B2518">
        <v>65</v>
      </c>
      <c r="C2518" t="str">
        <f>CHOOSE(MATCH(B2518, {20,25,30,35,40,45,50,55,60,65,70,75,80,85}, 1), "20-24", "25-29", "30-34", "35-39", "40-44", "45-49", "50-54", "55-59", "60-64", "65-69", "70-74", "75-79", "80-84", "85+")</f>
        <v>65-69</v>
      </c>
      <c r="D2518" t="s">
        <v>7</v>
      </c>
    </row>
    <row r="2519" spans="1:4">
      <c r="A2519" t="s">
        <v>6</v>
      </c>
      <c r="B2519">
        <v>35</v>
      </c>
      <c r="C2519" t="str">
        <f>CHOOSE(MATCH(B2519, {20,25,30,35,40,45,50,55,60,65,70,75,80,85}, 1), "20-24", "25-29", "30-34", "35-39", "40-44", "45-49", "50-54", "55-59", "60-64", "65-69", "70-74", "75-79", "80-84", "85+")</f>
        <v>35-39</v>
      </c>
      <c r="D2519" t="s">
        <v>7</v>
      </c>
    </row>
    <row r="2520" spans="1:4">
      <c r="A2520" t="s">
        <v>6</v>
      </c>
      <c r="B2520">
        <v>64</v>
      </c>
      <c r="C2520" t="str">
        <f>CHOOSE(MATCH(B2520, {20,25,30,35,40,45,50,55,60,65,70,75,80,85}, 1), "20-24", "25-29", "30-34", "35-39", "40-44", "45-49", "50-54", "55-59", "60-64", "65-69", "70-74", "75-79", "80-84", "85+")</f>
        <v>60-64</v>
      </c>
      <c r="D2520" t="s">
        <v>8</v>
      </c>
    </row>
    <row r="2521" spans="1:4">
      <c r="A2521" t="s">
        <v>6</v>
      </c>
      <c r="B2521">
        <v>21</v>
      </c>
      <c r="C2521" t="str">
        <f>CHOOSE(MATCH(B2521, {20,25,30,35,40,45,50,55,60,65,70,75,80,85}, 1), "20-24", "25-29", "30-34", "35-39", "40-44", "45-49", "50-54", "55-59", "60-64", "65-69", "70-74", "75-79", "80-84", "85+")</f>
        <v>20-24</v>
      </c>
      <c r="D2521" t="s">
        <v>8</v>
      </c>
    </row>
    <row r="2522" spans="1:4">
      <c r="A2522" t="s">
        <v>6</v>
      </c>
      <c r="B2522">
        <v>40</v>
      </c>
      <c r="C2522" t="str">
        <f>CHOOSE(MATCH(B2522, {20,25,30,35,40,45,50,55,60,65,70,75,80,85}, 1), "20-24", "25-29", "30-34", "35-39", "40-44", "45-49", "50-54", "55-59", "60-64", "65-69", "70-74", "75-79", "80-84", "85+")</f>
        <v>40-44</v>
      </c>
      <c r="D2522" t="s">
        <v>8</v>
      </c>
    </row>
    <row r="2523" spans="1:4">
      <c r="A2523" t="s">
        <v>6</v>
      </c>
      <c r="B2523">
        <v>68</v>
      </c>
      <c r="C2523" t="str">
        <f>CHOOSE(MATCH(B2523, {20,25,30,35,40,45,50,55,60,65,70,75,80,85}, 1), "20-24", "25-29", "30-34", "35-39", "40-44", "45-49", "50-54", "55-59", "60-64", "65-69", "70-74", "75-79", "80-84", "85+")</f>
        <v>65-69</v>
      </c>
      <c r="D2523" t="s">
        <v>7</v>
      </c>
    </row>
    <row r="2524" spans="1:4">
      <c r="A2524" t="s">
        <v>6</v>
      </c>
      <c r="B2524">
        <v>65</v>
      </c>
      <c r="C2524" t="str">
        <f>CHOOSE(MATCH(B2524, {20,25,30,35,40,45,50,55,60,65,70,75,80,85}, 1), "20-24", "25-29", "30-34", "35-39", "40-44", "45-49", "50-54", "55-59", "60-64", "65-69", "70-74", "75-79", "80-84", "85+")</f>
        <v>65-69</v>
      </c>
      <c r="D2524" t="s">
        <v>7</v>
      </c>
    </row>
    <row r="2525" spans="1:4">
      <c r="A2525" t="s">
        <v>6</v>
      </c>
      <c r="B2525">
        <v>32</v>
      </c>
      <c r="C2525" t="str">
        <f>CHOOSE(MATCH(B2525, {20,25,30,35,40,45,50,55,60,65,70,75,80,85}, 1), "20-24", "25-29", "30-34", "35-39", "40-44", "45-49", "50-54", "55-59", "60-64", "65-69", "70-74", "75-79", "80-84", "85+")</f>
        <v>30-34</v>
      </c>
      <c r="D2525" t="s">
        <v>7</v>
      </c>
    </row>
    <row r="2526" spans="1:4">
      <c r="A2526" t="s">
        <v>6</v>
      </c>
      <c r="B2526">
        <v>29</v>
      </c>
      <c r="C2526" t="str">
        <f>CHOOSE(MATCH(B2526, {20,25,30,35,40,45,50,55,60,65,70,75,80,85}, 1), "20-24", "25-29", "30-34", "35-39", "40-44", "45-49", "50-54", "55-59", "60-64", "65-69", "70-74", "75-79", "80-84", "85+")</f>
        <v>25-29</v>
      </c>
      <c r="D2526" t="s">
        <v>7</v>
      </c>
    </row>
    <row r="2527" spans="1:4">
      <c r="A2527" t="s">
        <v>6</v>
      </c>
      <c r="B2527">
        <v>28</v>
      </c>
      <c r="C2527" t="str">
        <f>CHOOSE(MATCH(B2527, {20,25,30,35,40,45,50,55,60,65,70,75,80,85}, 1), "20-24", "25-29", "30-34", "35-39", "40-44", "45-49", "50-54", "55-59", "60-64", "65-69", "70-74", "75-79", "80-84", "85+")</f>
        <v>25-29</v>
      </c>
      <c r="D2527" t="s">
        <v>8</v>
      </c>
    </row>
    <row r="2528" spans="1:4">
      <c r="A2528" t="s">
        <v>6</v>
      </c>
      <c r="B2528">
        <v>42</v>
      </c>
      <c r="C2528" t="str">
        <f>CHOOSE(MATCH(B2528, {20,25,30,35,40,45,50,55,60,65,70,75,80,85}, 1), "20-24", "25-29", "30-34", "35-39", "40-44", "45-49", "50-54", "55-59", "60-64", "65-69", "70-74", "75-79", "80-84", "85+")</f>
        <v>40-44</v>
      </c>
      <c r="D2528" t="s">
        <v>7</v>
      </c>
    </row>
    <row r="2529" spans="1:4">
      <c r="A2529" t="s">
        <v>6</v>
      </c>
      <c r="B2529">
        <v>27</v>
      </c>
      <c r="C2529" t="str">
        <f>CHOOSE(MATCH(B2529, {20,25,30,35,40,45,50,55,60,65,70,75,80,85}, 1), "20-24", "25-29", "30-34", "35-39", "40-44", "45-49", "50-54", "55-59", "60-64", "65-69", "70-74", "75-79", "80-84", "85+")</f>
        <v>25-29</v>
      </c>
      <c r="D2529" t="s">
        <v>8</v>
      </c>
    </row>
    <row r="2530" spans="1:4">
      <c r="A2530" t="s">
        <v>6</v>
      </c>
      <c r="B2530">
        <v>46</v>
      </c>
      <c r="C2530" t="str">
        <f>CHOOSE(MATCH(B2530, {20,25,30,35,40,45,50,55,60,65,70,75,80,85}, 1), "20-24", "25-29", "30-34", "35-39", "40-44", "45-49", "50-54", "55-59", "60-64", "65-69", "70-74", "75-79", "80-84", "85+")</f>
        <v>45-49</v>
      </c>
      <c r="D2530" t="s">
        <v>7</v>
      </c>
    </row>
    <row r="2531" spans="1:4">
      <c r="A2531" t="s">
        <v>6</v>
      </c>
      <c r="B2531">
        <v>26</v>
      </c>
      <c r="C2531" t="str">
        <f>CHOOSE(MATCH(B2531, {20,25,30,35,40,45,50,55,60,65,70,75,80,85}, 1), "20-24", "25-29", "30-34", "35-39", "40-44", "45-49", "50-54", "55-59", "60-64", "65-69", "70-74", "75-79", "80-84", "85+")</f>
        <v>25-29</v>
      </c>
      <c r="D2531" t="s">
        <v>8</v>
      </c>
    </row>
    <row r="2532" spans="1:4">
      <c r="A2532" t="s">
        <v>6</v>
      </c>
      <c r="B2532">
        <v>57</v>
      </c>
      <c r="C2532" t="str">
        <f>CHOOSE(MATCH(B2532, {20,25,30,35,40,45,50,55,60,65,70,75,80,85}, 1), "20-24", "25-29", "30-34", "35-39", "40-44", "45-49", "50-54", "55-59", "60-64", "65-69", "70-74", "75-79", "80-84", "85+")</f>
        <v>55-59</v>
      </c>
      <c r="D2532" t="s">
        <v>7</v>
      </c>
    </row>
    <row r="2533" spans="1:4">
      <c r="A2533" t="s">
        <v>6</v>
      </c>
      <c r="B2533">
        <v>64</v>
      </c>
      <c r="C2533" t="str">
        <f>CHOOSE(MATCH(B2533, {20,25,30,35,40,45,50,55,60,65,70,75,80,85}, 1), "20-24", "25-29", "30-34", "35-39", "40-44", "45-49", "50-54", "55-59", "60-64", "65-69", "70-74", "75-79", "80-84", "85+")</f>
        <v>60-64</v>
      </c>
      <c r="D2533" t="s">
        <v>8</v>
      </c>
    </row>
    <row r="2534" spans="1:4">
      <c r="A2534" t="s">
        <v>6</v>
      </c>
      <c r="B2534">
        <v>29</v>
      </c>
      <c r="C2534" t="str">
        <f>CHOOSE(MATCH(B2534, {20,25,30,35,40,45,50,55,60,65,70,75,80,85}, 1), "20-24", "25-29", "30-34", "35-39", "40-44", "45-49", "50-54", "55-59", "60-64", "65-69", "70-74", "75-79", "80-84", "85+")</f>
        <v>25-29</v>
      </c>
      <c r="D2534" t="s">
        <v>7</v>
      </c>
    </row>
    <row r="2535" spans="1:4">
      <c r="A2535" t="s">
        <v>6</v>
      </c>
      <c r="B2535">
        <v>30</v>
      </c>
      <c r="C2535" t="str">
        <f>CHOOSE(MATCH(B2535, {20,25,30,35,40,45,50,55,60,65,70,75,80,85}, 1), "20-24", "25-29", "30-34", "35-39", "40-44", "45-49", "50-54", "55-59", "60-64", "65-69", "70-74", "75-79", "80-84", "85+")</f>
        <v>30-34</v>
      </c>
      <c r="D2535" t="s">
        <v>7</v>
      </c>
    </row>
    <row r="2536" spans="1:4">
      <c r="A2536" t="s">
        <v>6</v>
      </c>
      <c r="B2536">
        <v>48</v>
      </c>
      <c r="C2536" t="str">
        <f>CHOOSE(MATCH(B2536, {20,25,30,35,40,45,50,55,60,65,70,75,80,85}, 1), "20-24", "25-29", "30-34", "35-39", "40-44", "45-49", "50-54", "55-59", "60-64", "65-69", "70-74", "75-79", "80-84", "85+")</f>
        <v>45-49</v>
      </c>
      <c r="D2536" t="s">
        <v>7</v>
      </c>
    </row>
    <row r="2537" spans="1:4">
      <c r="A2537" t="s">
        <v>6</v>
      </c>
      <c r="B2537">
        <v>55</v>
      </c>
      <c r="C2537" t="str">
        <f>CHOOSE(MATCH(B2537, {20,25,30,35,40,45,50,55,60,65,70,75,80,85}, 1), "20-24", "25-29", "30-34", "35-39", "40-44", "45-49", "50-54", "55-59", "60-64", "65-69", "70-74", "75-79", "80-84", "85+")</f>
        <v>55-59</v>
      </c>
      <c r="D2537" t="s">
        <v>7</v>
      </c>
    </row>
    <row r="2538" spans="1:4">
      <c r="A2538" t="s">
        <v>6</v>
      </c>
      <c r="B2538">
        <v>37</v>
      </c>
      <c r="C2538" t="str">
        <f>CHOOSE(MATCH(B2538, {20,25,30,35,40,45,50,55,60,65,70,75,80,85}, 1), "20-24", "25-29", "30-34", "35-39", "40-44", "45-49", "50-54", "55-59", "60-64", "65-69", "70-74", "75-79", "80-84", "85+")</f>
        <v>35-39</v>
      </c>
      <c r="D2538" t="s">
        <v>7</v>
      </c>
    </row>
    <row r="2539" spans="1:4">
      <c r="A2539" t="s">
        <v>6</v>
      </c>
      <c r="B2539">
        <v>38</v>
      </c>
      <c r="C2539" t="str">
        <f>CHOOSE(MATCH(B2539, {20,25,30,35,40,45,50,55,60,65,70,75,80,85}, 1), "20-24", "25-29", "30-34", "35-39", "40-44", "45-49", "50-54", "55-59", "60-64", "65-69", "70-74", "75-79", "80-84", "85+")</f>
        <v>35-39</v>
      </c>
      <c r="D2539" t="s">
        <v>7</v>
      </c>
    </row>
    <row r="2540" spans="1:4">
      <c r="A2540" t="s">
        <v>6</v>
      </c>
      <c r="B2540">
        <v>36</v>
      </c>
      <c r="C2540" t="str">
        <f>CHOOSE(MATCH(B2540, {20,25,30,35,40,45,50,55,60,65,70,75,80,85}, 1), "20-24", "25-29", "30-34", "35-39", "40-44", "45-49", "50-54", "55-59", "60-64", "65-69", "70-74", "75-79", "80-84", "85+")</f>
        <v>35-39</v>
      </c>
      <c r="D2540" t="s">
        <v>7</v>
      </c>
    </row>
    <row r="2541" spans="1:4">
      <c r="A2541" t="s">
        <v>6</v>
      </c>
      <c r="B2541">
        <v>46</v>
      </c>
      <c r="C2541" t="str">
        <f>CHOOSE(MATCH(B2541, {20,25,30,35,40,45,50,55,60,65,70,75,80,85}, 1), "20-24", "25-29", "30-34", "35-39", "40-44", "45-49", "50-54", "55-59", "60-64", "65-69", "70-74", "75-79", "80-84", "85+")</f>
        <v>45-49</v>
      </c>
      <c r="D2541" t="s">
        <v>7</v>
      </c>
    </row>
    <row r="2542" spans="1:4">
      <c r="A2542" t="s">
        <v>6</v>
      </c>
      <c r="B2542">
        <v>41</v>
      </c>
      <c r="C2542" t="str">
        <f>CHOOSE(MATCH(B2542, {20,25,30,35,40,45,50,55,60,65,70,75,80,85}, 1), "20-24", "25-29", "30-34", "35-39", "40-44", "45-49", "50-54", "55-59", "60-64", "65-69", "70-74", "75-79", "80-84", "85+")</f>
        <v>40-44</v>
      </c>
      <c r="D2542" t="s">
        <v>8</v>
      </c>
    </row>
    <row r="2543" spans="1:4">
      <c r="A2543" t="s">
        <v>6</v>
      </c>
      <c r="B2543">
        <v>25</v>
      </c>
      <c r="C2543" t="str">
        <f>CHOOSE(MATCH(B2543, {20,25,30,35,40,45,50,55,60,65,70,75,80,85}, 1), "20-24", "25-29", "30-34", "35-39", "40-44", "45-49", "50-54", "55-59", "60-64", "65-69", "70-74", "75-79", "80-84", "85+")</f>
        <v>25-29</v>
      </c>
      <c r="D2543" t="s">
        <v>7</v>
      </c>
    </row>
    <row r="2544" spans="1:4">
      <c r="A2544" t="s">
        <v>6</v>
      </c>
      <c r="B2544">
        <v>28</v>
      </c>
      <c r="C2544" t="str">
        <f>CHOOSE(MATCH(B2544, {20,25,30,35,40,45,50,55,60,65,70,75,80,85}, 1), "20-24", "25-29", "30-34", "35-39", "40-44", "45-49", "50-54", "55-59", "60-64", "65-69", "70-74", "75-79", "80-84", "85+")</f>
        <v>25-29</v>
      </c>
      <c r="D2544" t="s">
        <v>7</v>
      </c>
    </row>
    <row r="2545" spans="1:4">
      <c r="A2545" t="s">
        <v>6</v>
      </c>
      <c r="B2545">
        <v>37</v>
      </c>
      <c r="C2545" t="str">
        <f>CHOOSE(MATCH(B2545, {20,25,30,35,40,45,50,55,60,65,70,75,80,85}, 1), "20-24", "25-29", "30-34", "35-39", "40-44", "45-49", "50-54", "55-59", "60-64", "65-69", "70-74", "75-79", "80-84", "85+")</f>
        <v>35-39</v>
      </c>
      <c r="D2545" t="s">
        <v>7</v>
      </c>
    </row>
    <row r="2546" spans="1:4">
      <c r="A2546" t="s">
        <v>6</v>
      </c>
      <c r="B2546">
        <v>71</v>
      </c>
      <c r="C2546" t="str">
        <f>CHOOSE(MATCH(B2546, {20,25,30,35,40,45,50,55,60,65,70,75,80,85}, 1), "20-24", "25-29", "30-34", "35-39", "40-44", "45-49", "50-54", "55-59", "60-64", "65-69", "70-74", "75-79", "80-84", "85+")</f>
        <v>70-74</v>
      </c>
      <c r="D2546" t="s">
        <v>8</v>
      </c>
    </row>
    <row r="2547" spans="1:4">
      <c r="A2547" t="s">
        <v>6</v>
      </c>
      <c r="B2547">
        <v>47</v>
      </c>
      <c r="C2547" t="str">
        <f>CHOOSE(MATCH(B2547, {20,25,30,35,40,45,50,55,60,65,70,75,80,85}, 1), "20-24", "25-29", "30-34", "35-39", "40-44", "45-49", "50-54", "55-59", "60-64", "65-69", "70-74", "75-79", "80-84", "85+")</f>
        <v>45-49</v>
      </c>
      <c r="D2547" t="s">
        <v>8</v>
      </c>
    </row>
    <row r="2548" spans="1:4">
      <c r="A2548" t="s">
        <v>6</v>
      </c>
      <c r="B2548">
        <v>73</v>
      </c>
      <c r="C2548" t="str">
        <f>CHOOSE(MATCH(B2548, {20,25,30,35,40,45,50,55,60,65,70,75,80,85}, 1), "20-24", "25-29", "30-34", "35-39", "40-44", "45-49", "50-54", "55-59", "60-64", "65-69", "70-74", "75-79", "80-84", "85+")</f>
        <v>70-74</v>
      </c>
      <c r="D2548" t="s">
        <v>7</v>
      </c>
    </row>
    <row r="2549" spans="1:4">
      <c r="A2549" t="s">
        <v>6</v>
      </c>
      <c r="B2549">
        <v>45</v>
      </c>
      <c r="C2549" t="str">
        <f>CHOOSE(MATCH(B2549, {20,25,30,35,40,45,50,55,60,65,70,75,80,85}, 1), "20-24", "25-29", "30-34", "35-39", "40-44", "45-49", "50-54", "55-59", "60-64", "65-69", "70-74", "75-79", "80-84", "85+")</f>
        <v>45-49</v>
      </c>
      <c r="D2549" t="s">
        <v>8</v>
      </c>
    </row>
    <row r="2550" spans="1:4">
      <c r="A2550" t="s">
        <v>6</v>
      </c>
      <c r="B2550">
        <v>70</v>
      </c>
      <c r="C2550" t="str">
        <f>CHOOSE(MATCH(B2550, {20,25,30,35,40,45,50,55,60,65,70,75,80,85}, 1), "20-24", "25-29", "30-34", "35-39", "40-44", "45-49", "50-54", "55-59", "60-64", "65-69", "70-74", "75-79", "80-84", "85+")</f>
        <v>70-74</v>
      </c>
      <c r="D2550" t="s">
        <v>7</v>
      </c>
    </row>
    <row r="2551" spans="1:4">
      <c r="A2551" t="s">
        <v>6</v>
      </c>
      <c r="B2551">
        <v>29</v>
      </c>
      <c r="C2551" t="str">
        <f>CHOOSE(MATCH(B2551, {20,25,30,35,40,45,50,55,60,65,70,75,80,85}, 1), "20-24", "25-29", "30-34", "35-39", "40-44", "45-49", "50-54", "55-59", "60-64", "65-69", "70-74", "75-79", "80-84", "85+")</f>
        <v>25-29</v>
      </c>
      <c r="D2551" t="s">
        <v>8</v>
      </c>
    </row>
    <row r="2552" spans="1:4">
      <c r="A2552" t="s">
        <v>6</v>
      </c>
      <c r="B2552">
        <v>37</v>
      </c>
      <c r="C2552" t="str">
        <f>CHOOSE(MATCH(B2552, {20,25,30,35,40,45,50,55,60,65,70,75,80,85}, 1), "20-24", "25-29", "30-34", "35-39", "40-44", "45-49", "50-54", "55-59", "60-64", "65-69", "70-74", "75-79", "80-84", "85+")</f>
        <v>35-39</v>
      </c>
      <c r="D2552" t="s">
        <v>7</v>
      </c>
    </row>
    <row r="2553" spans="1:4">
      <c r="A2553" t="s">
        <v>6</v>
      </c>
      <c r="B2553">
        <v>27</v>
      </c>
      <c r="C2553" t="str">
        <f>CHOOSE(MATCH(B2553, {20,25,30,35,40,45,50,55,60,65,70,75,80,85}, 1), "20-24", "25-29", "30-34", "35-39", "40-44", "45-49", "50-54", "55-59", "60-64", "65-69", "70-74", "75-79", "80-84", "85+")</f>
        <v>25-29</v>
      </c>
      <c r="D2553" t="s">
        <v>7</v>
      </c>
    </row>
    <row r="2554" spans="1:4">
      <c r="A2554" t="s">
        <v>6</v>
      </c>
      <c r="B2554">
        <v>62</v>
      </c>
      <c r="C2554" t="str">
        <f>CHOOSE(MATCH(B2554, {20,25,30,35,40,45,50,55,60,65,70,75,80,85}, 1), "20-24", "25-29", "30-34", "35-39", "40-44", "45-49", "50-54", "55-59", "60-64", "65-69", "70-74", "75-79", "80-84", "85+")</f>
        <v>60-64</v>
      </c>
      <c r="D2554" t="s">
        <v>7</v>
      </c>
    </row>
    <row r="2555" spans="1:4">
      <c r="A2555" t="s">
        <v>6</v>
      </c>
      <c r="B2555">
        <v>33</v>
      </c>
      <c r="C2555" t="str">
        <f>CHOOSE(MATCH(B2555, {20,25,30,35,40,45,50,55,60,65,70,75,80,85}, 1), "20-24", "25-29", "30-34", "35-39", "40-44", "45-49", "50-54", "55-59", "60-64", "65-69", "70-74", "75-79", "80-84", "85+")</f>
        <v>30-34</v>
      </c>
      <c r="D2555" t="s">
        <v>8</v>
      </c>
    </row>
    <row r="2556" spans="1:4">
      <c r="A2556" t="s">
        <v>6</v>
      </c>
      <c r="B2556">
        <v>29</v>
      </c>
      <c r="C2556" t="str">
        <f>CHOOSE(MATCH(B2556, {20,25,30,35,40,45,50,55,60,65,70,75,80,85}, 1), "20-24", "25-29", "30-34", "35-39", "40-44", "45-49", "50-54", "55-59", "60-64", "65-69", "70-74", "75-79", "80-84", "85+")</f>
        <v>25-29</v>
      </c>
      <c r="D2556" t="s">
        <v>8</v>
      </c>
    </row>
    <row r="2557" spans="1:4">
      <c r="A2557" t="s">
        <v>6</v>
      </c>
      <c r="B2557">
        <v>61</v>
      </c>
      <c r="C2557" t="str">
        <f>CHOOSE(MATCH(B2557, {20,25,30,35,40,45,50,55,60,65,70,75,80,85}, 1), "20-24", "25-29", "30-34", "35-39", "40-44", "45-49", "50-54", "55-59", "60-64", "65-69", "70-74", "75-79", "80-84", "85+")</f>
        <v>60-64</v>
      </c>
      <c r="D2557" t="s">
        <v>8</v>
      </c>
    </row>
    <row r="2558" spans="1:4">
      <c r="A2558" t="s">
        <v>6</v>
      </c>
      <c r="B2558">
        <v>48</v>
      </c>
      <c r="C2558" t="str">
        <f>CHOOSE(MATCH(B2558, {20,25,30,35,40,45,50,55,60,65,70,75,80,85}, 1), "20-24", "25-29", "30-34", "35-39", "40-44", "45-49", "50-54", "55-59", "60-64", "65-69", "70-74", "75-79", "80-84", "85+")</f>
        <v>45-49</v>
      </c>
      <c r="D2558" t="s">
        <v>7</v>
      </c>
    </row>
    <row r="2559" spans="1:4">
      <c r="A2559" t="s">
        <v>6</v>
      </c>
      <c r="B2559">
        <v>95</v>
      </c>
      <c r="C2559" t="str">
        <f>CHOOSE(MATCH(B2559, {20,25,30,35,40,45,50,55,60,65,70,75,80,85}, 1), "20-24", "25-29", "30-34", "35-39", "40-44", "45-49", "50-54", "55-59", "60-64", "65-69", "70-74", "75-79", "80-84", "85+")</f>
        <v>85+</v>
      </c>
      <c r="D2559" t="s">
        <v>7</v>
      </c>
    </row>
    <row r="2560" spans="1:4">
      <c r="A2560" t="s">
        <v>6</v>
      </c>
      <c r="B2560">
        <v>79</v>
      </c>
      <c r="C2560" t="str">
        <f>CHOOSE(MATCH(B2560, {20,25,30,35,40,45,50,55,60,65,70,75,80,85}, 1), "20-24", "25-29", "30-34", "35-39", "40-44", "45-49", "50-54", "55-59", "60-64", "65-69", "70-74", "75-79", "80-84", "85+")</f>
        <v>75-79</v>
      </c>
      <c r="D2560" t="s">
        <v>8</v>
      </c>
    </row>
    <row r="2561" spans="1:4">
      <c r="A2561" t="s">
        <v>6</v>
      </c>
      <c r="B2561">
        <v>30</v>
      </c>
      <c r="C2561" t="str">
        <f>CHOOSE(MATCH(B2561, {20,25,30,35,40,45,50,55,60,65,70,75,80,85}, 1), "20-24", "25-29", "30-34", "35-39", "40-44", "45-49", "50-54", "55-59", "60-64", "65-69", "70-74", "75-79", "80-84", "85+")</f>
        <v>30-34</v>
      </c>
      <c r="D2561" t="s">
        <v>8</v>
      </c>
    </row>
    <row r="2562" spans="1:4">
      <c r="A2562" t="s">
        <v>6</v>
      </c>
      <c r="B2562">
        <v>32</v>
      </c>
      <c r="C2562" t="str">
        <f>CHOOSE(MATCH(B2562, {20,25,30,35,40,45,50,55,60,65,70,75,80,85}, 1), "20-24", "25-29", "30-34", "35-39", "40-44", "45-49", "50-54", "55-59", "60-64", "65-69", "70-74", "75-79", "80-84", "85+")</f>
        <v>30-34</v>
      </c>
      <c r="D2562" t="s">
        <v>7</v>
      </c>
    </row>
    <row r="2563" spans="1:4">
      <c r="A2563" t="s">
        <v>6</v>
      </c>
      <c r="B2563">
        <v>53</v>
      </c>
      <c r="C2563" t="str">
        <f>CHOOSE(MATCH(B2563, {20,25,30,35,40,45,50,55,60,65,70,75,80,85}, 1), "20-24", "25-29", "30-34", "35-39", "40-44", "45-49", "50-54", "55-59", "60-64", "65-69", "70-74", "75-79", "80-84", "85+")</f>
        <v>50-54</v>
      </c>
      <c r="D2563" t="s">
        <v>7</v>
      </c>
    </row>
    <row r="2564" spans="1:4">
      <c r="A2564" t="s">
        <v>6</v>
      </c>
      <c r="B2564">
        <v>85</v>
      </c>
      <c r="C2564" t="str">
        <f>CHOOSE(MATCH(B2564, {20,25,30,35,40,45,50,55,60,65,70,75,80,85}, 1), "20-24", "25-29", "30-34", "35-39", "40-44", "45-49", "50-54", "55-59", "60-64", "65-69", "70-74", "75-79", "80-84", "85+")</f>
        <v>85+</v>
      </c>
      <c r="D2564" t="s">
        <v>8</v>
      </c>
    </row>
    <row r="2565" spans="1:4">
      <c r="A2565" t="s">
        <v>6</v>
      </c>
      <c r="B2565">
        <v>28</v>
      </c>
      <c r="C2565" t="str">
        <f>CHOOSE(MATCH(B2565, {20,25,30,35,40,45,50,55,60,65,70,75,80,85}, 1), "20-24", "25-29", "30-34", "35-39", "40-44", "45-49", "50-54", "55-59", "60-64", "65-69", "70-74", "75-79", "80-84", "85+")</f>
        <v>25-29</v>
      </c>
      <c r="D2565" t="s">
        <v>7</v>
      </c>
    </row>
    <row r="2566" spans="1:4">
      <c r="A2566" t="s">
        <v>6</v>
      </c>
      <c r="B2566">
        <v>41</v>
      </c>
      <c r="C2566" t="str">
        <f>CHOOSE(MATCH(B2566, {20,25,30,35,40,45,50,55,60,65,70,75,80,85}, 1), "20-24", "25-29", "30-34", "35-39", "40-44", "45-49", "50-54", "55-59", "60-64", "65-69", "70-74", "75-79", "80-84", "85+")</f>
        <v>40-44</v>
      </c>
      <c r="D2566" t="s">
        <v>8</v>
      </c>
    </row>
    <row r="2567" spans="1:4">
      <c r="A2567" t="s">
        <v>6</v>
      </c>
      <c r="B2567">
        <v>37</v>
      </c>
      <c r="C2567" t="str">
        <f>CHOOSE(MATCH(B2567, {20,25,30,35,40,45,50,55,60,65,70,75,80,85}, 1), "20-24", "25-29", "30-34", "35-39", "40-44", "45-49", "50-54", "55-59", "60-64", "65-69", "70-74", "75-79", "80-84", "85+")</f>
        <v>35-39</v>
      </c>
      <c r="D2567" t="s">
        <v>8</v>
      </c>
    </row>
    <row r="2568" spans="1:4">
      <c r="A2568" t="s">
        <v>6</v>
      </c>
      <c r="B2568">
        <v>24</v>
      </c>
      <c r="C2568" t="str">
        <f>CHOOSE(MATCH(B2568, {20,25,30,35,40,45,50,55,60,65,70,75,80,85}, 1), "20-24", "25-29", "30-34", "35-39", "40-44", "45-49", "50-54", "55-59", "60-64", "65-69", "70-74", "75-79", "80-84", "85+")</f>
        <v>20-24</v>
      </c>
      <c r="D2568" t="s">
        <v>7</v>
      </c>
    </row>
    <row r="2569" spans="1:4">
      <c r="A2569" t="s">
        <v>6</v>
      </c>
      <c r="B2569">
        <v>78</v>
      </c>
      <c r="C2569" t="str">
        <f>CHOOSE(MATCH(B2569, {20,25,30,35,40,45,50,55,60,65,70,75,80,85}, 1), "20-24", "25-29", "30-34", "35-39", "40-44", "45-49", "50-54", "55-59", "60-64", "65-69", "70-74", "75-79", "80-84", "85+")</f>
        <v>75-79</v>
      </c>
      <c r="D2569" t="s">
        <v>7</v>
      </c>
    </row>
    <row r="2570" spans="1:4">
      <c r="A2570" t="s">
        <v>6</v>
      </c>
      <c r="B2570">
        <v>68</v>
      </c>
      <c r="C2570" t="str">
        <f>CHOOSE(MATCH(B2570, {20,25,30,35,40,45,50,55,60,65,70,75,80,85}, 1), "20-24", "25-29", "30-34", "35-39", "40-44", "45-49", "50-54", "55-59", "60-64", "65-69", "70-74", "75-79", "80-84", "85+")</f>
        <v>65-69</v>
      </c>
      <c r="D2570" t="s">
        <v>8</v>
      </c>
    </row>
    <row r="2571" spans="1:4">
      <c r="A2571" t="s">
        <v>6</v>
      </c>
      <c r="B2571">
        <v>33</v>
      </c>
      <c r="C2571" t="str">
        <f>CHOOSE(MATCH(B2571, {20,25,30,35,40,45,50,55,60,65,70,75,80,85}, 1), "20-24", "25-29", "30-34", "35-39", "40-44", "45-49", "50-54", "55-59", "60-64", "65-69", "70-74", "75-79", "80-84", "85+")</f>
        <v>30-34</v>
      </c>
      <c r="D2571" t="s">
        <v>7</v>
      </c>
    </row>
    <row r="2572" spans="1:4">
      <c r="A2572" t="s">
        <v>6</v>
      </c>
      <c r="B2572">
        <v>70</v>
      </c>
      <c r="C2572" t="str">
        <f>CHOOSE(MATCH(B2572, {20,25,30,35,40,45,50,55,60,65,70,75,80,85}, 1), "20-24", "25-29", "30-34", "35-39", "40-44", "45-49", "50-54", "55-59", "60-64", "65-69", "70-74", "75-79", "80-84", "85+")</f>
        <v>70-74</v>
      </c>
      <c r="D2572" t="s">
        <v>8</v>
      </c>
    </row>
    <row r="2573" spans="1:4">
      <c r="A2573" t="s">
        <v>6</v>
      </c>
      <c r="B2573">
        <v>39</v>
      </c>
      <c r="C2573" t="str">
        <f>CHOOSE(MATCH(B2573, {20,25,30,35,40,45,50,55,60,65,70,75,80,85}, 1), "20-24", "25-29", "30-34", "35-39", "40-44", "45-49", "50-54", "55-59", "60-64", "65-69", "70-74", "75-79", "80-84", "85+")</f>
        <v>35-39</v>
      </c>
      <c r="D2573" t="s">
        <v>7</v>
      </c>
    </row>
    <row r="2574" spans="1:4">
      <c r="A2574" t="s">
        <v>6</v>
      </c>
      <c r="B2574">
        <v>28</v>
      </c>
      <c r="C2574" t="str">
        <f>CHOOSE(MATCH(B2574, {20,25,30,35,40,45,50,55,60,65,70,75,80,85}, 1), "20-24", "25-29", "30-34", "35-39", "40-44", "45-49", "50-54", "55-59", "60-64", "65-69", "70-74", "75-79", "80-84", "85+")</f>
        <v>25-29</v>
      </c>
      <c r="D2574" t="s">
        <v>7</v>
      </c>
    </row>
    <row r="2575" spans="1:4">
      <c r="A2575" t="s">
        <v>6</v>
      </c>
      <c r="B2575">
        <v>25</v>
      </c>
      <c r="C2575" t="str">
        <f>CHOOSE(MATCH(B2575, {20,25,30,35,40,45,50,55,60,65,70,75,80,85}, 1), "20-24", "25-29", "30-34", "35-39", "40-44", "45-49", "50-54", "55-59", "60-64", "65-69", "70-74", "75-79", "80-84", "85+")</f>
        <v>25-29</v>
      </c>
      <c r="D2575" t="s">
        <v>7</v>
      </c>
    </row>
    <row r="2576" spans="1:4">
      <c r="A2576" t="s">
        <v>6</v>
      </c>
      <c r="B2576">
        <v>55</v>
      </c>
      <c r="C2576" t="str">
        <f>CHOOSE(MATCH(B2576, {20,25,30,35,40,45,50,55,60,65,70,75,80,85}, 1), "20-24", "25-29", "30-34", "35-39", "40-44", "45-49", "50-54", "55-59", "60-64", "65-69", "70-74", "75-79", "80-84", "85+")</f>
        <v>55-59</v>
      </c>
      <c r="D2576" t="s">
        <v>7</v>
      </c>
    </row>
    <row r="2577" spans="1:4">
      <c r="A2577" t="s">
        <v>6</v>
      </c>
      <c r="B2577">
        <v>42</v>
      </c>
      <c r="C2577" t="str">
        <f>CHOOSE(MATCH(B2577, {20,25,30,35,40,45,50,55,60,65,70,75,80,85}, 1), "20-24", "25-29", "30-34", "35-39", "40-44", "45-49", "50-54", "55-59", "60-64", "65-69", "70-74", "75-79", "80-84", "85+")</f>
        <v>40-44</v>
      </c>
      <c r="D2577" t="s">
        <v>7</v>
      </c>
    </row>
    <row r="2578" spans="1:4">
      <c r="A2578" t="s">
        <v>6</v>
      </c>
      <c r="B2578">
        <v>64</v>
      </c>
      <c r="C2578" t="str">
        <f>CHOOSE(MATCH(B2578, {20,25,30,35,40,45,50,55,60,65,70,75,80,85}, 1), "20-24", "25-29", "30-34", "35-39", "40-44", "45-49", "50-54", "55-59", "60-64", "65-69", "70-74", "75-79", "80-84", "85+")</f>
        <v>60-64</v>
      </c>
      <c r="D2578" t="s">
        <v>8</v>
      </c>
    </row>
    <row r="2579" spans="1:4">
      <c r="A2579" t="s">
        <v>6</v>
      </c>
      <c r="B2579">
        <v>30</v>
      </c>
      <c r="C2579" t="str">
        <f>CHOOSE(MATCH(B2579, {20,25,30,35,40,45,50,55,60,65,70,75,80,85}, 1), "20-24", "25-29", "30-34", "35-39", "40-44", "45-49", "50-54", "55-59", "60-64", "65-69", "70-74", "75-79", "80-84", "85+")</f>
        <v>30-34</v>
      </c>
      <c r="D2579" t="s">
        <v>8</v>
      </c>
    </row>
    <row r="2580" spans="1:4">
      <c r="A2580" t="s">
        <v>6</v>
      </c>
      <c r="B2580">
        <v>37</v>
      </c>
      <c r="C2580" t="str">
        <f>CHOOSE(MATCH(B2580, {20,25,30,35,40,45,50,55,60,65,70,75,80,85}, 1), "20-24", "25-29", "30-34", "35-39", "40-44", "45-49", "50-54", "55-59", "60-64", "65-69", "70-74", "75-79", "80-84", "85+")</f>
        <v>35-39</v>
      </c>
      <c r="D2580" t="s">
        <v>8</v>
      </c>
    </row>
    <row r="2581" spans="1:4">
      <c r="A2581" t="s">
        <v>6</v>
      </c>
      <c r="B2581">
        <v>34</v>
      </c>
      <c r="C2581" t="str">
        <f>CHOOSE(MATCH(B2581, {20,25,30,35,40,45,50,55,60,65,70,75,80,85}, 1), "20-24", "25-29", "30-34", "35-39", "40-44", "45-49", "50-54", "55-59", "60-64", "65-69", "70-74", "75-79", "80-84", "85+")</f>
        <v>30-34</v>
      </c>
      <c r="D2581" t="s">
        <v>7</v>
      </c>
    </row>
    <row r="2582" spans="1:4">
      <c r="A2582" t="s">
        <v>6</v>
      </c>
      <c r="B2582">
        <v>34</v>
      </c>
      <c r="C2582" t="str">
        <f>CHOOSE(MATCH(B2582, {20,25,30,35,40,45,50,55,60,65,70,75,80,85}, 1), "20-24", "25-29", "30-34", "35-39", "40-44", "45-49", "50-54", "55-59", "60-64", "65-69", "70-74", "75-79", "80-84", "85+")</f>
        <v>30-34</v>
      </c>
      <c r="D2582" t="s">
        <v>7</v>
      </c>
    </row>
    <row r="2583" spans="1:4">
      <c r="A2583" t="s">
        <v>6</v>
      </c>
      <c r="B2583">
        <v>22</v>
      </c>
      <c r="C2583" t="str">
        <f>CHOOSE(MATCH(B2583, {20,25,30,35,40,45,50,55,60,65,70,75,80,85}, 1), "20-24", "25-29", "30-34", "35-39", "40-44", "45-49", "50-54", "55-59", "60-64", "65-69", "70-74", "75-79", "80-84", "85+")</f>
        <v>20-24</v>
      </c>
      <c r="D2583" t="s">
        <v>7</v>
      </c>
    </row>
    <row r="2584" spans="1:4">
      <c r="A2584" t="s">
        <v>6</v>
      </c>
      <c r="B2584">
        <v>40</v>
      </c>
      <c r="C2584" t="str">
        <f>CHOOSE(MATCH(B2584, {20,25,30,35,40,45,50,55,60,65,70,75,80,85}, 1), "20-24", "25-29", "30-34", "35-39", "40-44", "45-49", "50-54", "55-59", "60-64", "65-69", "70-74", "75-79", "80-84", "85+")</f>
        <v>40-44</v>
      </c>
      <c r="D2584" t="s">
        <v>7</v>
      </c>
    </row>
    <row r="2585" spans="1:4">
      <c r="A2585" t="s">
        <v>6</v>
      </c>
      <c r="B2585">
        <v>38</v>
      </c>
      <c r="C2585" t="str">
        <f>CHOOSE(MATCH(B2585, {20,25,30,35,40,45,50,55,60,65,70,75,80,85}, 1), "20-24", "25-29", "30-34", "35-39", "40-44", "45-49", "50-54", "55-59", "60-64", "65-69", "70-74", "75-79", "80-84", "85+")</f>
        <v>35-39</v>
      </c>
      <c r="D2585" t="s">
        <v>7</v>
      </c>
    </row>
    <row r="2586" spans="1:4">
      <c r="A2586" t="s">
        <v>6</v>
      </c>
      <c r="B2586">
        <v>46</v>
      </c>
      <c r="C2586" t="str">
        <f>CHOOSE(MATCH(B2586, {20,25,30,35,40,45,50,55,60,65,70,75,80,85}, 1), "20-24", "25-29", "30-34", "35-39", "40-44", "45-49", "50-54", "55-59", "60-64", "65-69", "70-74", "75-79", "80-84", "85+")</f>
        <v>45-49</v>
      </c>
      <c r="D2586" t="s">
        <v>7</v>
      </c>
    </row>
    <row r="2587" spans="1:4">
      <c r="A2587" t="s">
        <v>6</v>
      </c>
      <c r="B2587">
        <v>37</v>
      </c>
      <c r="C2587" t="str">
        <f>CHOOSE(MATCH(B2587, {20,25,30,35,40,45,50,55,60,65,70,75,80,85}, 1), "20-24", "25-29", "30-34", "35-39", "40-44", "45-49", "50-54", "55-59", "60-64", "65-69", "70-74", "75-79", "80-84", "85+")</f>
        <v>35-39</v>
      </c>
      <c r="D2587" t="s">
        <v>8</v>
      </c>
    </row>
    <row r="2588" spans="1:4">
      <c r="A2588" t="s">
        <v>6</v>
      </c>
      <c r="B2588">
        <v>47</v>
      </c>
      <c r="C2588" t="str">
        <f>CHOOSE(MATCH(B2588, {20,25,30,35,40,45,50,55,60,65,70,75,80,85}, 1), "20-24", "25-29", "30-34", "35-39", "40-44", "45-49", "50-54", "55-59", "60-64", "65-69", "70-74", "75-79", "80-84", "85+")</f>
        <v>45-49</v>
      </c>
      <c r="D2588" t="s">
        <v>7</v>
      </c>
    </row>
    <row r="2589" spans="1:4">
      <c r="A2589" t="s">
        <v>6</v>
      </c>
      <c r="B2589">
        <v>82</v>
      </c>
      <c r="C2589" t="str">
        <f>CHOOSE(MATCH(B2589, {20,25,30,35,40,45,50,55,60,65,70,75,80,85}, 1), "20-24", "25-29", "30-34", "35-39", "40-44", "45-49", "50-54", "55-59", "60-64", "65-69", "70-74", "75-79", "80-84", "85+")</f>
        <v>80-84</v>
      </c>
      <c r="D2589" t="s">
        <v>8</v>
      </c>
    </row>
    <row r="2590" spans="1:4">
      <c r="A2590" t="s">
        <v>6</v>
      </c>
      <c r="B2590">
        <v>25</v>
      </c>
      <c r="C2590" t="str">
        <f>CHOOSE(MATCH(B2590, {20,25,30,35,40,45,50,55,60,65,70,75,80,85}, 1), "20-24", "25-29", "30-34", "35-39", "40-44", "45-49", "50-54", "55-59", "60-64", "65-69", "70-74", "75-79", "80-84", "85+")</f>
        <v>25-29</v>
      </c>
      <c r="D2590" t="s">
        <v>7</v>
      </c>
    </row>
    <row r="2591" spans="1:4">
      <c r="A2591" t="s">
        <v>6</v>
      </c>
      <c r="B2591">
        <v>53</v>
      </c>
      <c r="C2591" t="str">
        <f>CHOOSE(MATCH(B2591, {20,25,30,35,40,45,50,55,60,65,70,75,80,85}, 1), "20-24", "25-29", "30-34", "35-39", "40-44", "45-49", "50-54", "55-59", "60-64", "65-69", "70-74", "75-79", "80-84", "85+")</f>
        <v>50-54</v>
      </c>
      <c r="D2591" t="s">
        <v>8</v>
      </c>
    </row>
    <row r="2592" spans="1:4">
      <c r="A2592" t="s">
        <v>6</v>
      </c>
      <c r="B2592">
        <v>59</v>
      </c>
      <c r="C2592" t="str">
        <f>CHOOSE(MATCH(B2592, {20,25,30,35,40,45,50,55,60,65,70,75,80,85}, 1), "20-24", "25-29", "30-34", "35-39", "40-44", "45-49", "50-54", "55-59", "60-64", "65-69", "70-74", "75-79", "80-84", "85+")</f>
        <v>55-59</v>
      </c>
      <c r="D2592" t="s">
        <v>8</v>
      </c>
    </row>
    <row r="2593" spans="1:4">
      <c r="A2593" t="s">
        <v>6</v>
      </c>
      <c r="B2593">
        <v>52</v>
      </c>
      <c r="C2593" t="str">
        <f>CHOOSE(MATCH(B2593, {20,25,30,35,40,45,50,55,60,65,70,75,80,85}, 1), "20-24", "25-29", "30-34", "35-39", "40-44", "45-49", "50-54", "55-59", "60-64", "65-69", "70-74", "75-79", "80-84", "85+")</f>
        <v>50-54</v>
      </c>
      <c r="D2593" t="s">
        <v>8</v>
      </c>
    </row>
    <row r="2594" spans="1:4">
      <c r="A2594" t="s">
        <v>6</v>
      </c>
      <c r="B2594">
        <v>37</v>
      </c>
      <c r="C2594" t="str">
        <f>CHOOSE(MATCH(B2594, {20,25,30,35,40,45,50,55,60,65,70,75,80,85}, 1), "20-24", "25-29", "30-34", "35-39", "40-44", "45-49", "50-54", "55-59", "60-64", "65-69", "70-74", "75-79", "80-84", "85+")</f>
        <v>35-39</v>
      </c>
      <c r="D2594" t="s">
        <v>7</v>
      </c>
    </row>
    <row r="2595" spans="1:4">
      <c r="A2595" t="s">
        <v>6</v>
      </c>
      <c r="B2595">
        <v>44</v>
      </c>
      <c r="C2595" t="str">
        <f>CHOOSE(MATCH(B2595, {20,25,30,35,40,45,50,55,60,65,70,75,80,85}, 1), "20-24", "25-29", "30-34", "35-39", "40-44", "45-49", "50-54", "55-59", "60-64", "65-69", "70-74", "75-79", "80-84", "85+")</f>
        <v>40-44</v>
      </c>
      <c r="D2595" t="s">
        <v>7</v>
      </c>
    </row>
    <row r="2596" spans="1:4">
      <c r="A2596" t="s">
        <v>6</v>
      </c>
      <c r="B2596">
        <v>54</v>
      </c>
      <c r="C2596" t="str">
        <f>CHOOSE(MATCH(B2596, {20,25,30,35,40,45,50,55,60,65,70,75,80,85}, 1), "20-24", "25-29", "30-34", "35-39", "40-44", "45-49", "50-54", "55-59", "60-64", "65-69", "70-74", "75-79", "80-84", "85+")</f>
        <v>50-54</v>
      </c>
      <c r="D2596" t="s">
        <v>7</v>
      </c>
    </row>
    <row r="2597" spans="1:4">
      <c r="A2597" t="s">
        <v>6</v>
      </c>
      <c r="B2597">
        <v>73</v>
      </c>
      <c r="C2597" t="str">
        <f>CHOOSE(MATCH(B2597, {20,25,30,35,40,45,50,55,60,65,70,75,80,85}, 1), "20-24", "25-29", "30-34", "35-39", "40-44", "45-49", "50-54", "55-59", "60-64", "65-69", "70-74", "75-79", "80-84", "85+")</f>
        <v>70-74</v>
      </c>
      <c r="D2597" t="s">
        <v>8</v>
      </c>
    </row>
    <row r="2598" spans="1:4">
      <c r="A2598" t="s">
        <v>6</v>
      </c>
      <c r="B2598">
        <v>50</v>
      </c>
      <c r="C2598" t="str">
        <f>CHOOSE(MATCH(B2598, {20,25,30,35,40,45,50,55,60,65,70,75,80,85}, 1), "20-24", "25-29", "30-34", "35-39", "40-44", "45-49", "50-54", "55-59", "60-64", "65-69", "70-74", "75-79", "80-84", "85+")</f>
        <v>50-54</v>
      </c>
      <c r="D2598" t="s">
        <v>8</v>
      </c>
    </row>
    <row r="2599" spans="1:4">
      <c r="A2599" t="s">
        <v>6</v>
      </c>
      <c r="B2599">
        <v>45</v>
      </c>
      <c r="C2599" t="str">
        <f>CHOOSE(MATCH(B2599, {20,25,30,35,40,45,50,55,60,65,70,75,80,85}, 1), "20-24", "25-29", "30-34", "35-39", "40-44", "45-49", "50-54", "55-59", "60-64", "65-69", "70-74", "75-79", "80-84", "85+")</f>
        <v>45-49</v>
      </c>
      <c r="D2599" t="s">
        <v>7</v>
      </c>
    </row>
    <row r="2600" spans="1:4">
      <c r="A2600" t="s">
        <v>6</v>
      </c>
      <c r="B2600">
        <v>37</v>
      </c>
      <c r="C2600" t="str">
        <f>CHOOSE(MATCH(B2600, {20,25,30,35,40,45,50,55,60,65,70,75,80,85}, 1), "20-24", "25-29", "30-34", "35-39", "40-44", "45-49", "50-54", "55-59", "60-64", "65-69", "70-74", "75-79", "80-84", "85+")</f>
        <v>35-39</v>
      </c>
      <c r="D2600" t="s">
        <v>7</v>
      </c>
    </row>
    <row r="2601" spans="1:4">
      <c r="A2601" t="s">
        <v>6</v>
      </c>
      <c r="B2601">
        <v>33</v>
      </c>
      <c r="C2601" t="str">
        <f>CHOOSE(MATCH(B2601, {20,25,30,35,40,45,50,55,60,65,70,75,80,85}, 1), "20-24", "25-29", "30-34", "35-39", "40-44", "45-49", "50-54", "55-59", "60-64", "65-69", "70-74", "75-79", "80-84", "85+")</f>
        <v>30-34</v>
      </c>
      <c r="D2601" t="s">
        <v>8</v>
      </c>
    </row>
    <row r="2602" spans="1:4">
      <c r="A2602" t="s">
        <v>6</v>
      </c>
      <c r="B2602">
        <v>23</v>
      </c>
      <c r="C2602" t="str">
        <f>CHOOSE(MATCH(B2602, {20,25,30,35,40,45,50,55,60,65,70,75,80,85}, 1), "20-24", "25-29", "30-34", "35-39", "40-44", "45-49", "50-54", "55-59", "60-64", "65-69", "70-74", "75-79", "80-84", "85+")</f>
        <v>20-24</v>
      </c>
      <c r="D2602" t="s">
        <v>8</v>
      </c>
    </row>
    <row r="2603" spans="1:4">
      <c r="A2603" t="s">
        <v>6</v>
      </c>
      <c r="B2603">
        <v>38</v>
      </c>
      <c r="C2603" t="str">
        <f>CHOOSE(MATCH(B2603, {20,25,30,35,40,45,50,55,60,65,70,75,80,85}, 1), "20-24", "25-29", "30-34", "35-39", "40-44", "45-49", "50-54", "55-59", "60-64", "65-69", "70-74", "75-79", "80-84", "85+")</f>
        <v>35-39</v>
      </c>
      <c r="D2603" t="s">
        <v>8</v>
      </c>
    </row>
    <row r="2604" spans="1:4">
      <c r="A2604" t="s">
        <v>6</v>
      </c>
      <c r="B2604">
        <v>54</v>
      </c>
      <c r="C2604" t="str">
        <f>CHOOSE(MATCH(B2604, {20,25,30,35,40,45,50,55,60,65,70,75,80,85}, 1), "20-24", "25-29", "30-34", "35-39", "40-44", "45-49", "50-54", "55-59", "60-64", "65-69", "70-74", "75-79", "80-84", "85+")</f>
        <v>50-54</v>
      </c>
      <c r="D2604" t="s">
        <v>7</v>
      </c>
    </row>
    <row r="2605" spans="1:4">
      <c r="A2605" t="s">
        <v>6</v>
      </c>
      <c r="B2605">
        <v>43</v>
      </c>
      <c r="C2605" t="str">
        <f>CHOOSE(MATCH(B2605, {20,25,30,35,40,45,50,55,60,65,70,75,80,85}, 1), "20-24", "25-29", "30-34", "35-39", "40-44", "45-49", "50-54", "55-59", "60-64", "65-69", "70-74", "75-79", "80-84", "85+")</f>
        <v>40-44</v>
      </c>
      <c r="D2605" t="s">
        <v>7</v>
      </c>
    </row>
    <row r="2606" spans="1:4">
      <c r="A2606" t="s">
        <v>6</v>
      </c>
      <c r="B2606">
        <v>30</v>
      </c>
      <c r="C2606" t="str">
        <f>CHOOSE(MATCH(B2606, {20,25,30,35,40,45,50,55,60,65,70,75,80,85}, 1), "20-24", "25-29", "30-34", "35-39", "40-44", "45-49", "50-54", "55-59", "60-64", "65-69", "70-74", "75-79", "80-84", "85+")</f>
        <v>30-34</v>
      </c>
      <c r="D2606" t="s">
        <v>8</v>
      </c>
    </row>
    <row r="2607" spans="1:4">
      <c r="A2607" t="s">
        <v>6</v>
      </c>
      <c r="B2607">
        <v>33</v>
      </c>
      <c r="C2607" t="str">
        <f>CHOOSE(MATCH(B2607, {20,25,30,35,40,45,50,55,60,65,70,75,80,85}, 1), "20-24", "25-29", "30-34", "35-39", "40-44", "45-49", "50-54", "55-59", "60-64", "65-69", "70-74", "75-79", "80-84", "85+")</f>
        <v>30-34</v>
      </c>
      <c r="D2607" t="s">
        <v>7</v>
      </c>
    </row>
    <row r="2608" spans="1:4">
      <c r="A2608" t="s">
        <v>6</v>
      </c>
      <c r="B2608">
        <v>22</v>
      </c>
      <c r="C2608" t="str">
        <f>CHOOSE(MATCH(B2608, {20,25,30,35,40,45,50,55,60,65,70,75,80,85}, 1), "20-24", "25-29", "30-34", "35-39", "40-44", "45-49", "50-54", "55-59", "60-64", "65-69", "70-74", "75-79", "80-84", "85+")</f>
        <v>20-24</v>
      </c>
      <c r="D2608" t="s">
        <v>7</v>
      </c>
    </row>
    <row r="2609" spans="1:4">
      <c r="A2609" t="s">
        <v>6</v>
      </c>
      <c r="B2609">
        <v>27</v>
      </c>
      <c r="C2609" t="str">
        <f>CHOOSE(MATCH(B2609, {20,25,30,35,40,45,50,55,60,65,70,75,80,85}, 1), "20-24", "25-29", "30-34", "35-39", "40-44", "45-49", "50-54", "55-59", "60-64", "65-69", "70-74", "75-79", "80-84", "85+")</f>
        <v>25-29</v>
      </c>
      <c r="D2609" t="s">
        <v>7</v>
      </c>
    </row>
    <row r="2610" spans="1:4">
      <c r="A2610" t="s">
        <v>6</v>
      </c>
      <c r="B2610">
        <v>53</v>
      </c>
      <c r="C2610" t="str">
        <f>CHOOSE(MATCH(B2610, {20,25,30,35,40,45,50,55,60,65,70,75,80,85}, 1), "20-24", "25-29", "30-34", "35-39", "40-44", "45-49", "50-54", "55-59", "60-64", "65-69", "70-74", "75-79", "80-84", "85+")</f>
        <v>50-54</v>
      </c>
      <c r="D2610" t="s">
        <v>8</v>
      </c>
    </row>
    <row r="2611" spans="1:4">
      <c r="A2611" t="s">
        <v>6</v>
      </c>
      <c r="B2611">
        <v>27</v>
      </c>
      <c r="C2611" t="str">
        <f>CHOOSE(MATCH(B2611, {20,25,30,35,40,45,50,55,60,65,70,75,80,85}, 1), "20-24", "25-29", "30-34", "35-39", "40-44", "45-49", "50-54", "55-59", "60-64", "65-69", "70-74", "75-79", "80-84", "85+")</f>
        <v>25-29</v>
      </c>
      <c r="D2611" t="s">
        <v>7</v>
      </c>
    </row>
    <row r="2612" spans="1:4">
      <c r="A2612" t="s">
        <v>6</v>
      </c>
      <c r="B2612">
        <v>28</v>
      </c>
      <c r="C2612" t="str">
        <f>CHOOSE(MATCH(B2612, {20,25,30,35,40,45,50,55,60,65,70,75,80,85}, 1), "20-24", "25-29", "30-34", "35-39", "40-44", "45-49", "50-54", "55-59", "60-64", "65-69", "70-74", "75-79", "80-84", "85+")</f>
        <v>25-29</v>
      </c>
      <c r="D2612" t="s">
        <v>8</v>
      </c>
    </row>
    <row r="2613" spans="1:4">
      <c r="A2613" t="s">
        <v>6</v>
      </c>
      <c r="B2613">
        <v>52</v>
      </c>
      <c r="C2613" t="str">
        <f>CHOOSE(MATCH(B2613, {20,25,30,35,40,45,50,55,60,65,70,75,80,85}, 1), "20-24", "25-29", "30-34", "35-39", "40-44", "45-49", "50-54", "55-59", "60-64", "65-69", "70-74", "75-79", "80-84", "85+")</f>
        <v>50-54</v>
      </c>
      <c r="D2613" t="s">
        <v>8</v>
      </c>
    </row>
    <row r="2614" spans="1:4">
      <c r="A2614" t="s">
        <v>6</v>
      </c>
      <c r="B2614">
        <v>37</v>
      </c>
      <c r="C2614" t="str">
        <f>CHOOSE(MATCH(B2614, {20,25,30,35,40,45,50,55,60,65,70,75,80,85}, 1), "20-24", "25-29", "30-34", "35-39", "40-44", "45-49", "50-54", "55-59", "60-64", "65-69", "70-74", "75-79", "80-84", "85+")</f>
        <v>35-39</v>
      </c>
      <c r="D2614" t="s">
        <v>7</v>
      </c>
    </row>
    <row r="2615" spans="1:4">
      <c r="A2615" t="s">
        <v>6</v>
      </c>
      <c r="B2615">
        <v>72</v>
      </c>
      <c r="C2615" t="str">
        <f>CHOOSE(MATCH(B2615, {20,25,30,35,40,45,50,55,60,65,70,75,80,85}, 1), "20-24", "25-29", "30-34", "35-39", "40-44", "45-49", "50-54", "55-59", "60-64", "65-69", "70-74", "75-79", "80-84", "85+")</f>
        <v>70-74</v>
      </c>
      <c r="D2615" t="s">
        <v>7</v>
      </c>
    </row>
    <row r="2616" spans="1:4">
      <c r="A2616" t="s">
        <v>6</v>
      </c>
      <c r="B2616">
        <v>43</v>
      </c>
      <c r="C2616" t="str">
        <f>CHOOSE(MATCH(B2616, {20,25,30,35,40,45,50,55,60,65,70,75,80,85}, 1), "20-24", "25-29", "30-34", "35-39", "40-44", "45-49", "50-54", "55-59", "60-64", "65-69", "70-74", "75-79", "80-84", "85+")</f>
        <v>40-44</v>
      </c>
      <c r="D2616" t="s">
        <v>7</v>
      </c>
    </row>
    <row r="2617" spans="1:4">
      <c r="A2617" t="s">
        <v>6</v>
      </c>
      <c r="B2617">
        <v>31</v>
      </c>
      <c r="C2617" t="str">
        <f>CHOOSE(MATCH(B2617, {20,25,30,35,40,45,50,55,60,65,70,75,80,85}, 1), "20-24", "25-29", "30-34", "35-39", "40-44", "45-49", "50-54", "55-59", "60-64", "65-69", "70-74", "75-79", "80-84", "85+")</f>
        <v>30-34</v>
      </c>
      <c r="D2617" t="s">
        <v>7</v>
      </c>
    </row>
    <row r="2618" spans="1:4">
      <c r="A2618" t="s">
        <v>6</v>
      </c>
      <c r="B2618">
        <v>61</v>
      </c>
      <c r="C2618" t="str">
        <f>CHOOSE(MATCH(B2618, {20,25,30,35,40,45,50,55,60,65,70,75,80,85}, 1), "20-24", "25-29", "30-34", "35-39", "40-44", "45-49", "50-54", "55-59", "60-64", "65-69", "70-74", "75-79", "80-84", "85+")</f>
        <v>60-64</v>
      </c>
      <c r="D2618" t="s">
        <v>7</v>
      </c>
    </row>
    <row r="2619" spans="1:4">
      <c r="A2619" t="s">
        <v>6</v>
      </c>
      <c r="B2619">
        <v>57</v>
      </c>
      <c r="C2619" t="str">
        <f>CHOOSE(MATCH(B2619, {20,25,30,35,40,45,50,55,60,65,70,75,80,85}, 1), "20-24", "25-29", "30-34", "35-39", "40-44", "45-49", "50-54", "55-59", "60-64", "65-69", "70-74", "75-79", "80-84", "85+")</f>
        <v>55-59</v>
      </c>
      <c r="D2619" t="s">
        <v>8</v>
      </c>
    </row>
    <row r="2620" spans="1:4">
      <c r="A2620" t="s">
        <v>6</v>
      </c>
      <c r="B2620">
        <v>33</v>
      </c>
      <c r="C2620" t="str">
        <f>CHOOSE(MATCH(B2620, {20,25,30,35,40,45,50,55,60,65,70,75,80,85}, 1), "20-24", "25-29", "30-34", "35-39", "40-44", "45-49", "50-54", "55-59", "60-64", "65-69", "70-74", "75-79", "80-84", "85+")</f>
        <v>30-34</v>
      </c>
      <c r="D2620" t="s">
        <v>7</v>
      </c>
    </row>
    <row r="2621" spans="1:4">
      <c r="A2621" t="s">
        <v>6</v>
      </c>
      <c r="B2621">
        <v>44</v>
      </c>
      <c r="C2621" t="str">
        <f>CHOOSE(MATCH(B2621, {20,25,30,35,40,45,50,55,60,65,70,75,80,85}, 1), "20-24", "25-29", "30-34", "35-39", "40-44", "45-49", "50-54", "55-59", "60-64", "65-69", "70-74", "75-79", "80-84", "85+")</f>
        <v>40-44</v>
      </c>
      <c r="D2621" t="s">
        <v>7</v>
      </c>
    </row>
    <row r="2622" spans="1:4">
      <c r="A2622" t="s">
        <v>6</v>
      </c>
      <c r="B2622">
        <v>26</v>
      </c>
      <c r="C2622" t="str">
        <f>CHOOSE(MATCH(B2622, {20,25,30,35,40,45,50,55,60,65,70,75,80,85}, 1), "20-24", "25-29", "30-34", "35-39", "40-44", "45-49", "50-54", "55-59", "60-64", "65-69", "70-74", "75-79", "80-84", "85+")</f>
        <v>25-29</v>
      </c>
      <c r="D2622" t="s">
        <v>7</v>
      </c>
    </row>
    <row r="2623" spans="1:4">
      <c r="A2623" t="s">
        <v>6</v>
      </c>
      <c r="B2623">
        <v>36</v>
      </c>
      <c r="C2623" t="str">
        <f>CHOOSE(MATCH(B2623, {20,25,30,35,40,45,50,55,60,65,70,75,80,85}, 1), "20-24", "25-29", "30-34", "35-39", "40-44", "45-49", "50-54", "55-59", "60-64", "65-69", "70-74", "75-79", "80-84", "85+")</f>
        <v>35-39</v>
      </c>
      <c r="D2623" t="s">
        <v>7</v>
      </c>
    </row>
    <row r="2624" spans="1:4">
      <c r="A2624" t="s">
        <v>6</v>
      </c>
      <c r="B2624">
        <v>36</v>
      </c>
      <c r="C2624" t="str">
        <f>CHOOSE(MATCH(B2624, {20,25,30,35,40,45,50,55,60,65,70,75,80,85}, 1), "20-24", "25-29", "30-34", "35-39", "40-44", "45-49", "50-54", "55-59", "60-64", "65-69", "70-74", "75-79", "80-84", "85+")</f>
        <v>35-39</v>
      </c>
      <c r="D2624" t="s">
        <v>8</v>
      </c>
    </row>
    <row r="2625" spans="1:4">
      <c r="A2625" t="s">
        <v>6</v>
      </c>
      <c r="B2625">
        <v>45</v>
      </c>
      <c r="C2625" t="str">
        <f>CHOOSE(MATCH(B2625, {20,25,30,35,40,45,50,55,60,65,70,75,80,85}, 1), "20-24", "25-29", "30-34", "35-39", "40-44", "45-49", "50-54", "55-59", "60-64", "65-69", "70-74", "75-79", "80-84", "85+")</f>
        <v>45-49</v>
      </c>
      <c r="D2625" t="s">
        <v>8</v>
      </c>
    </row>
    <row r="2626" spans="1:4">
      <c r="A2626" t="s">
        <v>6</v>
      </c>
      <c r="B2626">
        <v>40</v>
      </c>
      <c r="C2626" t="str">
        <f>CHOOSE(MATCH(B2626, {20,25,30,35,40,45,50,55,60,65,70,75,80,85}, 1), "20-24", "25-29", "30-34", "35-39", "40-44", "45-49", "50-54", "55-59", "60-64", "65-69", "70-74", "75-79", "80-84", "85+")</f>
        <v>40-44</v>
      </c>
      <c r="D2626" t="s">
        <v>7</v>
      </c>
    </row>
    <row r="2627" spans="1:4">
      <c r="A2627" t="s">
        <v>6</v>
      </c>
      <c r="B2627">
        <v>22</v>
      </c>
      <c r="C2627" t="str">
        <f>CHOOSE(MATCH(B2627, {20,25,30,35,40,45,50,55,60,65,70,75,80,85}, 1), "20-24", "25-29", "30-34", "35-39", "40-44", "45-49", "50-54", "55-59", "60-64", "65-69", "70-74", "75-79", "80-84", "85+")</f>
        <v>20-24</v>
      </c>
      <c r="D2627" t="s">
        <v>7</v>
      </c>
    </row>
    <row r="2628" spans="1:4">
      <c r="A2628" t="s">
        <v>6</v>
      </c>
      <c r="B2628">
        <v>42</v>
      </c>
      <c r="C2628" t="str">
        <f>CHOOSE(MATCH(B2628, {20,25,30,35,40,45,50,55,60,65,70,75,80,85}, 1), "20-24", "25-29", "30-34", "35-39", "40-44", "45-49", "50-54", "55-59", "60-64", "65-69", "70-74", "75-79", "80-84", "85+")</f>
        <v>40-44</v>
      </c>
      <c r="D2628" t="s">
        <v>7</v>
      </c>
    </row>
    <row r="2629" spans="1:4">
      <c r="A2629" t="s">
        <v>6</v>
      </c>
      <c r="B2629">
        <v>53</v>
      </c>
      <c r="C2629" t="str">
        <f>CHOOSE(MATCH(B2629, {20,25,30,35,40,45,50,55,60,65,70,75,80,85}, 1), "20-24", "25-29", "30-34", "35-39", "40-44", "45-49", "50-54", "55-59", "60-64", "65-69", "70-74", "75-79", "80-84", "85+")</f>
        <v>50-54</v>
      </c>
      <c r="D2629" t="s">
        <v>7</v>
      </c>
    </row>
    <row r="2630" spans="1:4">
      <c r="A2630" t="s">
        <v>6</v>
      </c>
      <c r="B2630">
        <v>36</v>
      </c>
      <c r="C2630" t="str">
        <f>CHOOSE(MATCH(B2630, {20,25,30,35,40,45,50,55,60,65,70,75,80,85}, 1), "20-24", "25-29", "30-34", "35-39", "40-44", "45-49", "50-54", "55-59", "60-64", "65-69", "70-74", "75-79", "80-84", "85+")</f>
        <v>35-39</v>
      </c>
      <c r="D2630" t="s">
        <v>8</v>
      </c>
    </row>
    <row r="2631" spans="1:4">
      <c r="A2631" t="s">
        <v>6</v>
      </c>
      <c r="B2631">
        <v>31</v>
      </c>
      <c r="C2631" t="str">
        <f>CHOOSE(MATCH(B2631, {20,25,30,35,40,45,50,55,60,65,70,75,80,85}, 1), "20-24", "25-29", "30-34", "35-39", "40-44", "45-49", "50-54", "55-59", "60-64", "65-69", "70-74", "75-79", "80-84", "85+")</f>
        <v>30-34</v>
      </c>
      <c r="D2631" t="s">
        <v>7</v>
      </c>
    </row>
    <row r="2632" spans="1:4">
      <c r="A2632" t="s">
        <v>6</v>
      </c>
      <c r="B2632">
        <v>20</v>
      </c>
      <c r="C2632" t="str">
        <f>CHOOSE(MATCH(B2632, {20,25,30,35,40,45,50,55,60,65,70,75,80,85}, 1), "20-24", "25-29", "30-34", "35-39", "40-44", "45-49", "50-54", "55-59", "60-64", "65-69", "70-74", "75-79", "80-84", "85+")</f>
        <v>20-24</v>
      </c>
      <c r="D2632" t="s">
        <v>7</v>
      </c>
    </row>
    <row r="2633" spans="1:4">
      <c r="A2633" t="s">
        <v>6</v>
      </c>
      <c r="B2633">
        <v>55</v>
      </c>
      <c r="C2633" t="str">
        <f>CHOOSE(MATCH(B2633, {20,25,30,35,40,45,50,55,60,65,70,75,80,85}, 1), "20-24", "25-29", "30-34", "35-39", "40-44", "45-49", "50-54", "55-59", "60-64", "65-69", "70-74", "75-79", "80-84", "85+")</f>
        <v>55-59</v>
      </c>
      <c r="D2633" t="s">
        <v>8</v>
      </c>
    </row>
    <row r="2634" spans="1:4">
      <c r="A2634" t="s">
        <v>6</v>
      </c>
      <c r="B2634">
        <v>51</v>
      </c>
      <c r="C2634" t="str">
        <f>CHOOSE(MATCH(B2634, {20,25,30,35,40,45,50,55,60,65,70,75,80,85}, 1), "20-24", "25-29", "30-34", "35-39", "40-44", "45-49", "50-54", "55-59", "60-64", "65-69", "70-74", "75-79", "80-84", "85+")</f>
        <v>50-54</v>
      </c>
      <c r="D2634" t="s">
        <v>7</v>
      </c>
    </row>
    <row r="2635" spans="1:4">
      <c r="A2635" t="s">
        <v>6</v>
      </c>
      <c r="B2635">
        <v>38</v>
      </c>
      <c r="C2635" t="str">
        <f>CHOOSE(MATCH(B2635, {20,25,30,35,40,45,50,55,60,65,70,75,80,85}, 1), "20-24", "25-29", "30-34", "35-39", "40-44", "45-49", "50-54", "55-59", "60-64", "65-69", "70-74", "75-79", "80-84", "85+")</f>
        <v>35-39</v>
      </c>
      <c r="D2635" t="s">
        <v>7</v>
      </c>
    </row>
    <row r="2636" spans="1:4">
      <c r="A2636" t="s">
        <v>6</v>
      </c>
      <c r="B2636">
        <v>31</v>
      </c>
      <c r="C2636" t="str">
        <f>CHOOSE(MATCH(B2636, {20,25,30,35,40,45,50,55,60,65,70,75,80,85}, 1), "20-24", "25-29", "30-34", "35-39", "40-44", "45-49", "50-54", "55-59", "60-64", "65-69", "70-74", "75-79", "80-84", "85+")</f>
        <v>30-34</v>
      </c>
      <c r="D2636" t="s">
        <v>7</v>
      </c>
    </row>
    <row r="2637" spans="1:4">
      <c r="A2637" t="s">
        <v>6</v>
      </c>
      <c r="B2637">
        <v>63</v>
      </c>
      <c r="C2637" t="str">
        <f>CHOOSE(MATCH(B2637, {20,25,30,35,40,45,50,55,60,65,70,75,80,85}, 1), "20-24", "25-29", "30-34", "35-39", "40-44", "45-49", "50-54", "55-59", "60-64", "65-69", "70-74", "75-79", "80-84", "85+")</f>
        <v>60-64</v>
      </c>
      <c r="D2637" t="s">
        <v>8</v>
      </c>
    </row>
    <row r="2638" spans="1:4">
      <c r="A2638" t="s">
        <v>6</v>
      </c>
      <c r="B2638">
        <v>45</v>
      </c>
      <c r="C2638" t="str">
        <f>CHOOSE(MATCH(B2638, {20,25,30,35,40,45,50,55,60,65,70,75,80,85}, 1), "20-24", "25-29", "30-34", "35-39", "40-44", "45-49", "50-54", "55-59", "60-64", "65-69", "70-74", "75-79", "80-84", "85+")</f>
        <v>45-49</v>
      </c>
      <c r="D2638" t="s">
        <v>7</v>
      </c>
    </row>
    <row r="2639" spans="1:4">
      <c r="A2639" t="s">
        <v>6</v>
      </c>
      <c r="B2639">
        <v>68</v>
      </c>
      <c r="C2639" t="str">
        <f>CHOOSE(MATCH(B2639, {20,25,30,35,40,45,50,55,60,65,70,75,80,85}, 1), "20-24", "25-29", "30-34", "35-39", "40-44", "45-49", "50-54", "55-59", "60-64", "65-69", "70-74", "75-79", "80-84", "85+")</f>
        <v>65-69</v>
      </c>
      <c r="D2639" t="s">
        <v>7</v>
      </c>
    </row>
    <row r="2640" spans="1:4">
      <c r="A2640" t="s">
        <v>6</v>
      </c>
      <c r="B2640">
        <v>36</v>
      </c>
      <c r="C2640" t="str">
        <f>CHOOSE(MATCH(B2640, {20,25,30,35,40,45,50,55,60,65,70,75,80,85}, 1), "20-24", "25-29", "30-34", "35-39", "40-44", "45-49", "50-54", "55-59", "60-64", "65-69", "70-74", "75-79", "80-84", "85+")</f>
        <v>35-39</v>
      </c>
      <c r="D2640" t="s">
        <v>8</v>
      </c>
    </row>
    <row r="2641" spans="1:4">
      <c r="A2641" t="s">
        <v>6</v>
      </c>
      <c r="B2641">
        <v>33</v>
      </c>
      <c r="C2641" t="str">
        <f>CHOOSE(MATCH(B2641, {20,25,30,35,40,45,50,55,60,65,70,75,80,85}, 1), "20-24", "25-29", "30-34", "35-39", "40-44", "45-49", "50-54", "55-59", "60-64", "65-69", "70-74", "75-79", "80-84", "85+")</f>
        <v>30-34</v>
      </c>
      <c r="D2641" t="s">
        <v>7</v>
      </c>
    </row>
    <row r="2642" spans="1:4">
      <c r="A2642" t="s">
        <v>6</v>
      </c>
      <c r="B2642">
        <v>91</v>
      </c>
      <c r="C2642" t="str">
        <f>CHOOSE(MATCH(B2642, {20,25,30,35,40,45,50,55,60,65,70,75,80,85}, 1), "20-24", "25-29", "30-34", "35-39", "40-44", "45-49", "50-54", "55-59", "60-64", "65-69", "70-74", "75-79", "80-84", "85+")</f>
        <v>85+</v>
      </c>
      <c r="D2642" t="s">
        <v>7</v>
      </c>
    </row>
    <row r="2643" spans="1:4">
      <c r="A2643" t="s">
        <v>6</v>
      </c>
      <c r="B2643">
        <v>53</v>
      </c>
      <c r="C2643" t="str">
        <f>CHOOSE(MATCH(B2643, {20,25,30,35,40,45,50,55,60,65,70,75,80,85}, 1), "20-24", "25-29", "30-34", "35-39", "40-44", "45-49", "50-54", "55-59", "60-64", "65-69", "70-74", "75-79", "80-84", "85+")</f>
        <v>50-54</v>
      </c>
      <c r="D2643" t="s">
        <v>7</v>
      </c>
    </row>
    <row r="2644" spans="1:4">
      <c r="A2644" t="s">
        <v>6</v>
      </c>
      <c r="B2644">
        <v>66</v>
      </c>
      <c r="C2644" t="str">
        <f>CHOOSE(MATCH(B2644, {20,25,30,35,40,45,50,55,60,65,70,75,80,85}, 1), "20-24", "25-29", "30-34", "35-39", "40-44", "45-49", "50-54", "55-59", "60-64", "65-69", "70-74", "75-79", "80-84", "85+")</f>
        <v>65-69</v>
      </c>
      <c r="D2644" t="s">
        <v>8</v>
      </c>
    </row>
    <row r="2645" spans="1:4">
      <c r="A2645" t="s">
        <v>6</v>
      </c>
      <c r="B2645">
        <v>68</v>
      </c>
      <c r="C2645" t="str">
        <f>CHOOSE(MATCH(B2645, {20,25,30,35,40,45,50,55,60,65,70,75,80,85}, 1), "20-24", "25-29", "30-34", "35-39", "40-44", "45-49", "50-54", "55-59", "60-64", "65-69", "70-74", "75-79", "80-84", "85+")</f>
        <v>65-69</v>
      </c>
      <c r="D2645" t="s">
        <v>7</v>
      </c>
    </row>
    <row r="2646" spans="1:4">
      <c r="A2646" t="s">
        <v>6</v>
      </c>
      <c r="B2646">
        <v>33</v>
      </c>
      <c r="C2646" t="str">
        <f>CHOOSE(MATCH(B2646, {20,25,30,35,40,45,50,55,60,65,70,75,80,85}, 1), "20-24", "25-29", "30-34", "35-39", "40-44", "45-49", "50-54", "55-59", "60-64", "65-69", "70-74", "75-79", "80-84", "85+")</f>
        <v>30-34</v>
      </c>
      <c r="D2646" t="s">
        <v>8</v>
      </c>
    </row>
    <row r="2647" spans="1:4">
      <c r="A2647" t="s">
        <v>6</v>
      </c>
      <c r="B2647">
        <v>54</v>
      </c>
      <c r="C2647" t="str">
        <f>CHOOSE(MATCH(B2647, {20,25,30,35,40,45,50,55,60,65,70,75,80,85}, 1), "20-24", "25-29", "30-34", "35-39", "40-44", "45-49", "50-54", "55-59", "60-64", "65-69", "70-74", "75-79", "80-84", "85+")</f>
        <v>50-54</v>
      </c>
      <c r="D2647" t="s">
        <v>8</v>
      </c>
    </row>
    <row r="2648" spans="1:4">
      <c r="A2648" t="s">
        <v>6</v>
      </c>
      <c r="B2648">
        <v>74</v>
      </c>
      <c r="C2648" t="str">
        <f>CHOOSE(MATCH(B2648, {20,25,30,35,40,45,50,55,60,65,70,75,80,85}, 1), "20-24", "25-29", "30-34", "35-39", "40-44", "45-49", "50-54", "55-59", "60-64", "65-69", "70-74", "75-79", "80-84", "85+")</f>
        <v>70-74</v>
      </c>
      <c r="D2648" t="s">
        <v>7</v>
      </c>
    </row>
    <row r="2649" spans="1:4">
      <c r="A2649" t="s">
        <v>6</v>
      </c>
      <c r="B2649">
        <v>31</v>
      </c>
      <c r="C2649" t="str">
        <f>CHOOSE(MATCH(B2649, {20,25,30,35,40,45,50,55,60,65,70,75,80,85}, 1), "20-24", "25-29", "30-34", "35-39", "40-44", "45-49", "50-54", "55-59", "60-64", "65-69", "70-74", "75-79", "80-84", "85+")</f>
        <v>30-34</v>
      </c>
      <c r="D2649" t="s">
        <v>7</v>
      </c>
    </row>
    <row r="2650" spans="1:4">
      <c r="A2650" t="s">
        <v>6</v>
      </c>
      <c r="B2650">
        <v>45</v>
      </c>
      <c r="C2650" t="str">
        <f>CHOOSE(MATCH(B2650, {20,25,30,35,40,45,50,55,60,65,70,75,80,85}, 1), "20-24", "25-29", "30-34", "35-39", "40-44", "45-49", "50-54", "55-59", "60-64", "65-69", "70-74", "75-79", "80-84", "85+")</f>
        <v>45-49</v>
      </c>
      <c r="D2650" t="s">
        <v>7</v>
      </c>
    </row>
    <row r="2651" spans="1:4">
      <c r="A2651" t="s">
        <v>6</v>
      </c>
      <c r="B2651">
        <v>56</v>
      </c>
      <c r="C2651" t="str">
        <f>CHOOSE(MATCH(B2651, {20,25,30,35,40,45,50,55,60,65,70,75,80,85}, 1), "20-24", "25-29", "30-34", "35-39", "40-44", "45-49", "50-54", "55-59", "60-64", "65-69", "70-74", "75-79", "80-84", "85+")</f>
        <v>55-59</v>
      </c>
      <c r="D2651" t="s">
        <v>7</v>
      </c>
    </row>
    <row r="2652" spans="1:4">
      <c r="A2652" t="s">
        <v>6</v>
      </c>
      <c r="B2652">
        <v>31</v>
      </c>
      <c r="C2652" t="str">
        <f>CHOOSE(MATCH(B2652, {20,25,30,35,40,45,50,55,60,65,70,75,80,85}, 1), "20-24", "25-29", "30-34", "35-39", "40-44", "45-49", "50-54", "55-59", "60-64", "65-69", "70-74", "75-79", "80-84", "85+")</f>
        <v>30-34</v>
      </c>
      <c r="D2652" t="s">
        <v>8</v>
      </c>
    </row>
    <row r="2653" spans="1:4">
      <c r="A2653" t="s">
        <v>6</v>
      </c>
      <c r="B2653">
        <v>36</v>
      </c>
      <c r="C2653" t="str">
        <f>CHOOSE(MATCH(B2653, {20,25,30,35,40,45,50,55,60,65,70,75,80,85}, 1), "20-24", "25-29", "30-34", "35-39", "40-44", "45-49", "50-54", "55-59", "60-64", "65-69", "70-74", "75-79", "80-84", "85+")</f>
        <v>35-39</v>
      </c>
      <c r="D2653" t="s">
        <v>8</v>
      </c>
    </row>
    <row r="2654" spans="1:4">
      <c r="A2654" t="s">
        <v>6</v>
      </c>
      <c r="B2654">
        <v>23</v>
      </c>
      <c r="C2654" t="str">
        <f>CHOOSE(MATCH(B2654, {20,25,30,35,40,45,50,55,60,65,70,75,80,85}, 1), "20-24", "25-29", "30-34", "35-39", "40-44", "45-49", "50-54", "55-59", "60-64", "65-69", "70-74", "75-79", "80-84", "85+")</f>
        <v>20-24</v>
      </c>
      <c r="D2654" t="s">
        <v>8</v>
      </c>
    </row>
    <row r="2655" spans="1:4">
      <c r="A2655" t="s">
        <v>6</v>
      </c>
      <c r="B2655">
        <v>57</v>
      </c>
      <c r="C2655" t="str">
        <f>CHOOSE(MATCH(B2655, {20,25,30,35,40,45,50,55,60,65,70,75,80,85}, 1), "20-24", "25-29", "30-34", "35-39", "40-44", "45-49", "50-54", "55-59", "60-64", "65-69", "70-74", "75-79", "80-84", "85+")</f>
        <v>55-59</v>
      </c>
      <c r="D2655" t="s">
        <v>8</v>
      </c>
    </row>
    <row r="2656" spans="1:4">
      <c r="A2656" t="s">
        <v>6</v>
      </c>
      <c r="B2656">
        <v>29</v>
      </c>
      <c r="C2656" t="str">
        <f>CHOOSE(MATCH(B2656, {20,25,30,35,40,45,50,55,60,65,70,75,80,85}, 1), "20-24", "25-29", "30-34", "35-39", "40-44", "45-49", "50-54", "55-59", "60-64", "65-69", "70-74", "75-79", "80-84", "85+")</f>
        <v>25-29</v>
      </c>
      <c r="D2656" t="s">
        <v>7</v>
      </c>
    </row>
    <row r="2657" spans="1:4">
      <c r="A2657" t="s">
        <v>6</v>
      </c>
      <c r="B2657">
        <v>32</v>
      </c>
      <c r="C2657" t="str">
        <f>CHOOSE(MATCH(B2657, {20,25,30,35,40,45,50,55,60,65,70,75,80,85}, 1), "20-24", "25-29", "30-34", "35-39", "40-44", "45-49", "50-54", "55-59", "60-64", "65-69", "70-74", "75-79", "80-84", "85+")</f>
        <v>30-34</v>
      </c>
      <c r="D2657" t="s">
        <v>7</v>
      </c>
    </row>
    <row r="2658" spans="1:4">
      <c r="A2658" t="s">
        <v>6</v>
      </c>
      <c r="B2658">
        <v>31</v>
      </c>
      <c r="C2658" t="str">
        <f>CHOOSE(MATCH(B2658, {20,25,30,35,40,45,50,55,60,65,70,75,80,85}, 1), "20-24", "25-29", "30-34", "35-39", "40-44", "45-49", "50-54", "55-59", "60-64", "65-69", "70-74", "75-79", "80-84", "85+")</f>
        <v>30-34</v>
      </c>
      <c r="D2658" t="s">
        <v>7</v>
      </c>
    </row>
    <row r="2659" spans="1:4">
      <c r="A2659" t="s">
        <v>6</v>
      </c>
      <c r="B2659">
        <v>28</v>
      </c>
      <c r="C2659" t="str">
        <f>CHOOSE(MATCH(B2659, {20,25,30,35,40,45,50,55,60,65,70,75,80,85}, 1), "20-24", "25-29", "30-34", "35-39", "40-44", "45-49", "50-54", "55-59", "60-64", "65-69", "70-74", "75-79", "80-84", "85+")</f>
        <v>25-29</v>
      </c>
      <c r="D2659" t="s">
        <v>7</v>
      </c>
    </row>
    <row r="2660" spans="1:4">
      <c r="A2660" t="s">
        <v>6</v>
      </c>
      <c r="B2660">
        <v>43</v>
      </c>
      <c r="C2660" t="str">
        <f>CHOOSE(MATCH(B2660, {20,25,30,35,40,45,50,55,60,65,70,75,80,85}, 1), "20-24", "25-29", "30-34", "35-39", "40-44", "45-49", "50-54", "55-59", "60-64", "65-69", "70-74", "75-79", "80-84", "85+")</f>
        <v>40-44</v>
      </c>
      <c r="D2660" t="s">
        <v>8</v>
      </c>
    </row>
    <row r="2661" spans="1:4">
      <c r="A2661" t="s">
        <v>6</v>
      </c>
      <c r="B2661">
        <v>27</v>
      </c>
      <c r="C2661" t="str">
        <f>CHOOSE(MATCH(B2661, {20,25,30,35,40,45,50,55,60,65,70,75,80,85}, 1), "20-24", "25-29", "30-34", "35-39", "40-44", "45-49", "50-54", "55-59", "60-64", "65-69", "70-74", "75-79", "80-84", "85+")</f>
        <v>25-29</v>
      </c>
      <c r="D2661" t="s">
        <v>7</v>
      </c>
    </row>
    <row r="2662" spans="1:4">
      <c r="A2662" t="s">
        <v>6</v>
      </c>
      <c r="B2662">
        <v>40</v>
      </c>
      <c r="C2662" t="str">
        <f>CHOOSE(MATCH(B2662, {20,25,30,35,40,45,50,55,60,65,70,75,80,85}, 1), "20-24", "25-29", "30-34", "35-39", "40-44", "45-49", "50-54", "55-59", "60-64", "65-69", "70-74", "75-79", "80-84", "85+")</f>
        <v>40-44</v>
      </c>
      <c r="D2662" t="s">
        <v>7</v>
      </c>
    </row>
    <row r="2663" spans="1:4">
      <c r="A2663" t="s">
        <v>6</v>
      </c>
      <c r="B2663">
        <v>21</v>
      </c>
      <c r="C2663" t="str">
        <f>CHOOSE(MATCH(B2663, {20,25,30,35,40,45,50,55,60,65,70,75,80,85}, 1), "20-24", "25-29", "30-34", "35-39", "40-44", "45-49", "50-54", "55-59", "60-64", "65-69", "70-74", "75-79", "80-84", "85+")</f>
        <v>20-24</v>
      </c>
      <c r="D2663" t="s">
        <v>8</v>
      </c>
    </row>
    <row r="2664" spans="1:4">
      <c r="A2664" t="s">
        <v>6</v>
      </c>
      <c r="B2664">
        <v>36</v>
      </c>
      <c r="C2664" t="str">
        <f>CHOOSE(MATCH(B2664, {20,25,30,35,40,45,50,55,60,65,70,75,80,85}, 1), "20-24", "25-29", "30-34", "35-39", "40-44", "45-49", "50-54", "55-59", "60-64", "65-69", "70-74", "75-79", "80-84", "85+")</f>
        <v>35-39</v>
      </c>
      <c r="D2664" t="s">
        <v>7</v>
      </c>
    </row>
    <row r="2665" spans="1:4">
      <c r="A2665" t="s">
        <v>6</v>
      </c>
      <c r="B2665">
        <v>84</v>
      </c>
      <c r="C2665" t="str">
        <f>CHOOSE(MATCH(B2665, {20,25,30,35,40,45,50,55,60,65,70,75,80,85}, 1), "20-24", "25-29", "30-34", "35-39", "40-44", "45-49", "50-54", "55-59", "60-64", "65-69", "70-74", "75-79", "80-84", "85+")</f>
        <v>80-84</v>
      </c>
      <c r="D2665" t="s">
        <v>7</v>
      </c>
    </row>
    <row r="2666" spans="1:4">
      <c r="A2666" t="s">
        <v>6</v>
      </c>
      <c r="B2666">
        <v>36</v>
      </c>
      <c r="C2666" t="str">
        <f>CHOOSE(MATCH(B2666, {20,25,30,35,40,45,50,55,60,65,70,75,80,85}, 1), "20-24", "25-29", "30-34", "35-39", "40-44", "45-49", "50-54", "55-59", "60-64", "65-69", "70-74", "75-79", "80-84", "85+")</f>
        <v>35-39</v>
      </c>
      <c r="D2666" t="s">
        <v>7</v>
      </c>
    </row>
    <row r="2667" spans="1:4">
      <c r="A2667" t="s">
        <v>6</v>
      </c>
      <c r="B2667">
        <v>37</v>
      </c>
      <c r="C2667" t="str">
        <f>CHOOSE(MATCH(B2667, {20,25,30,35,40,45,50,55,60,65,70,75,80,85}, 1), "20-24", "25-29", "30-34", "35-39", "40-44", "45-49", "50-54", "55-59", "60-64", "65-69", "70-74", "75-79", "80-84", "85+")</f>
        <v>35-39</v>
      </c>
      <c r="D2667" t="s">
        <v>7</v>
      </c>
    </row>
    <row r="2668" spans="1:4">
      <c r="A2668" t="s">
        <v>6</v>
      </c>
      <c r="B2668">
        <v>28</v>
      </c>
      <c r="C2668" t="str">
        <f>CHOOSE(MATCH(B2668, {20,25,30,35,40,45,50,55,60,65,70,75,80,85}, 1), "20-24", "25-29", "30-34", "35-39", "40-44", "45-49", "50-54", "55-59", "60-64", "65-69", "70-74", "75-79", "80-84", "85+")</f>
        <v>25-29</v>
      </c>
      <c r="D2668" t="s">
        <v>7</v>
      </c>
    </row>
    <row r="2669" spans="1:4">
      <c r="A2669" t="s">
        <v>6</v>
      </c>
      <c r="B2669">
        <v>47</v>
      </c>
      <c r="C2669" t="str">
        <f>CHOOSE(MATCH(B2669, {20,25,30,35,40,45,50,55,60,65,70,75,80,85}, 1), "20-24", "25-29", "30-34", "35-39", "40-44", "45-49", "50-54", "55-59", "60-64", "65-69", "70-74", "75-79", "80-84", "85+")</f>
        <v>45-49</v>
      </c>
      <c r="D2669" t="s">
        <v>7</v>
      </c>
    </row>
    <row r="2670" spans="1:4">
      <c r="A2670" t="s">
        <v>6</v>
      </c>
      <c r="B2670">
        <v>73</v>
      </c>
      <c r="C2670" t="str">
        <f>CHOOSE(MATCH(B2670, {20,25,30,35,40,45,50,55,60,65,70,75,80,85}, 1), "20-24", "25-29", "30-34", "35-39", "40-44", "45-49", "50-54", "55-59", "60-64", "65-69", "70-74", "75-79", "80-84", "85+")</f>
        <v>70-74</v>
      </c>
      <c r="D2670" t="s">
        <v>7</v>
      </c>
    </row>
    <row r="2671" spans="1:4">
      <c r="A2671" t="s">
        <v>6</v>
      </c>
      <c r="B2671">
        <v>32</v>
      </c>
      <c r="C2671" t="str">
        <f>CHOOSE(MATCH(B2671, {20,25,30,35,40,45,50,55,60,65,70,75,80,85}, 1), "20-24", "25-29", "30-34", "35-39", "40-44", "45-49", "50-54", "55-59", "60-64", "65-69", "70-74", "75-79", "80-84", "85+")</f>
        <v>30-34</v>
      </c>
      <c r="D2671" t="s">
        <v>7</v>
      </c>
    </row>
    <row r="2672" spans="1:4">
      <c r="A2672" t="s">
        <v>6</v>
      </c>
      <c r="B2672">
        <v>40</v>
      </c>
      <c r="C2672" t="str">
        <f>CHOOSE(MATCH(B2672, {20,25,30,35,40,45,50,55,60,65,70,75,80,85}, 1), "20-24", "25-29", "30-34", "35-39", "40-44", "45-49", "50-54", "55-59", "60-64", "65-69", "70-74", "75-79", "80-84", "85+")</f>
        <v>40-44</v>
      </c>
      <c r="D2672" t="s">
        <v>8</v>
      </c>
    </row>
    <row r="2673" spans="1:4">
      <c r="A2673" t="s">
        <v>6</v>
      </c>
      <c r="B2673">
        <v>54</v>
      </c>
      <c r="C2673" t="str">
        <f>CHOOSE(MATCH(B2673, {20,25,30,35,40,45,50,55,60,65,70,75,80,85}, 1), "20-24", "25-29", "30-34", "35-39", "40-44", "45-49", "50-54", "55-59", "60-64", "65-69", "70-74", "75-79", "80-84", "85+")</f>
        <v>50-54</v>
      </c>
      <c r="D2673" t="s">
        <v>7</v>
      </c>
    </row>
    <row r="2674" spans="1:4">
      <c r="A2674" t="s">
        <v>6</v>
      </c>
      <c r="B2674">
        <v>58</v>
      </c>
      <c r="C2674" t="str">
        <f>CHOOSE(MATCH(B2674, {20,25,30,35,40,45,50,55,60,65,70,75,80,85}, 1), "20-24", "25-29", "30-34", "35-39", "40-44", "45-49", "50-54", "55-59", "60-64", "65-69", "70-74", "75-79", "80-84", "85+")</f>
        <v>55-59</v>
      </c>
      <c r="D2674" t="s">
        <v>7</v>
      </c>
    </row>
    <row r="2675" spans="1:4">
      <c r="A2675" t="s">
        <v>6</v>
      </c>
      <c r="B2675">
        <v>33</v>
      </c>
      <c r="C2675" t="str">
        <f>CHOOSE(MATCH(B2675, {20,25,30,35,40,45,50,55,60,65,70,75,80,85}, 1), "20-24", "25-29", "30-34", "35-39", "40-44", "45-49", "50-54", "55-59", "60-64", "65-69", "70-74", "75-79", "80-84", "85+")</f>
        <v>30-34</v>
      </c>
      <c r="D2675" t="s">
        <v>8</v>
      </c>
    </row>
    <row r="2676" spans="1:4">
      <c r="A2676" t="s">
        <v>6</v>
      </c>
      <c r="B2676">
        <v>50</v>
      </c>
      <c r="C2676" t="str">
        <f>CHOOSE(MATCH(B2676, {20,25,30,35,40,45,50,55,60,65,70,75,80,85}, 1), "20-24", "25-29", "30-34", "35-39", "40-44", "45-49", "50-54", "55-59", "60-64", "65-69", "70-74", "75-79", "80-84", "85+")</f>
        <v>50-54</v>
      </c>
      <c r="D2676" t="s">
        <v>7</v>
      </c>
    </row>
    <row r="2677" spans="1:4">
      <c r="A2677" t="s">
        <v>6</v>
      </c>
      <c r="B2677">
        <v>34</v>
      </c>
      <c r="C2677" t="str">
        <f>CHOOSE(MATCH(B2677, {20,25,30,35,40,45,50,55,60,65,70,75,80,85}, 1), "20-24", "25-29", "30-34", "35-39", "40-44", "45-49", "50-54", "55-59", "60-64", "65-69", "70-74", "75-79", "80-84", "85+")</f>
        <v>30-34</v>
      </c>
      <c r="D2677" t="s">
        <v>7</v>
      </c>
    </row>
    <row r="2678" spans="1:4">
      <c r="A2678" t="s">
        <v>6</v>
      </c>
      <c r="B2678">
        <v>41</v>
      </c>
      <c r="C2678" t="str">
        <f>CHOOSE(MATCH(B2678, {20,25,30,35,40,45,50,55,60,65,70,75,80,85}, 1), "20-24", "25-29", "30-34", "35-39", "40-44", "45-49", "50-54", "55-59", "60-64", "65-69", "70-74", "75-79", "80-84", "85+")</f>
        <v>40-44</v>
      </c>
      <c r="D2678" t="s">
        <v>8</v>
      </c>
    </row>
    <row r="2679" spans="1:4">
      <c r="A2679" t="s">
        <v>6</v>
      </c>
      <c r="B2679">
        <v>20</v>
      </c>
      <c r="C2679" t="str">
        <f>CHOOSE(MATCH(B2679, {20,25,30,35,40,45,50,55,60,65,70,75,80,85}, 1), "20-24", "25-29", "30-34", "35-39", "40-44", "45-49", "50-54", "55-59", "60-64", "65-69", "70-74", "75-79", "80-84", "85+")</f>
        <v>20-24</v>
      </c>
      <c r="D2679" t="s">
        <v>7</v>
      </c>
    </row>
    <row r="2680" spans="1:4">
      <c r="A2680" t="s">
        <v>6</v>
      </c>
      <c r="B2680">
        <v>25</v>
      </c>
      <c r="C2680" t="str">
        <f>CHOOSE(MATCH(B2680, {20,25,30,35,40,45,50,55,60,65,70,75,80,85}, 1), "20-24", "25-29", "30-34", "35-39", "40-44", "45-49", "50-54", "55-59", "60-64", "65-69", "70-74", "75-79", "80-84", "85+")</f>
        <v>25-29</v>
      </c>
      <c r="D2680" t="s">
        <v>7</v>
      </c>
    </row>
    <row r="2681" spans="1:4">
      <c r="A2681" t="s">
        <v>6</v>
      </c>
      <c r="B2681">
        <v>34</v>
      </c>
      <c r="C2681" t="str">
        <f>CHOOSE(MATCH(B2681, {20,25,30,35,40,45,50,55,60,65,70,75,80,85}, 1), "20-24", "25-29", "30-34", "35-39", "40-44", "45-49", "50-54", "55-59", "60-64", "65-69", "70-74", "75-79", "80-84", "85+")</f>
        <v>30-34</v>
      </c>
      <c r="D2681" t="s">
        <v>7</v>
      </c>
    </row>
    <row r="2682" spans="1:4">
      <c r="A2682" t="s">
        <v>6</v>
      </c>
      <c r="B2682">
        <v>35</v>
      </c>
      <c r="C2682" t="str">
        <f>CHOOSE(MATCH(B2682, {20,25,30,35,40,45,50,55,60,65,70,75,80,85}, 1), "20-24", "25-29", "30-34", "35-39", "40-44", "45-49", "50-54", "55-59", "60-64", "65-69", "70-74", "75-79", "80-84", "85+")</f>
        <v>35-39</v>
      </c>
      <c r="D2682" t="s">
        <v>8</v>
      </c>
    </row>
    <row r="2683" spans="1:4">
      <c r="A2683" t="s">
        <v>6</v>
      </c>
      <c r="B2683">
        <v>45</v>
      </c>
      <c r="C2683" t="str">
        <f>CHOOSE(MATCH(B2683, {20,25,30,35,40,45,50,55,60,65,70,75,80,85}, 1), "20-24", "25-29", "30-34", "35-39", "40-44", "45-49", "50-54", "55-59", "60-64", "65-69", "70-74", "75-79", "80-84", "85+")</f>
        <v>45-49</v>
      </c>
      <c r="D2683" t="s">
        <v>7</v>
      </c>
    </row>
    <row r="2684" spans="1:4">
      <c r="A2684" t="s">
        <v>6</v>
      </c>
      <c r="B2684">
        <v>58</v>
      </c>
      <c r="C2684" t="str">
        <f>CHOOSE(MATCH(B2684, {20,25,30,35,40,45,50,55,60,65,70,75,80,85}, 1), "20-24", "25-29", "30-34", "35-39", "40-44", "45-49", "50-54", "55-59", "60-64", "65-69", "70-74", "75-79", "80-84", "85+")</f>
        <v>55-59</v>
      </c>
      <c r="D2684" t="s">
        <v>8</v>
      </c>
    </row>
    <row r="2685" spans="1:4">
      <c r="A2685" t="s">
        <v>6</v>
      </c>
      <c r="B2685">
        <v>71</v>
      </c>
      <c r="C2685" t="str">
        <f>CHOOSE(MATCH(B2685, {20,25,30,35,40,45,50,55,60,65,70,75,80,85}, 1), "20-24", "25-29", "30-34", "35-39", "40-44", "45-49", "50-54", "55-59", "60-64", "65-69", "70-74", "75-79", "80-84", "85+")</f>
        <v>70-74</v>
      </c>
      <c r="D2685" t="s">
        <v>7</v>
      </c>
    </row>
    <row r="2686" spans="1:4">
      <c r="A2686" t="s">
        <v>6</v>
      </c>
      <c r="B2686">
        <v>32</v>
      </c>
      <c r="C2686" t="str">
        <f>CHOOSE(MATCH(B2686, {20,25,30,35,40,45,50,55,60,65,70,75,80,85}, 1), "20-24", "25-29", "30-34", "35-39", "40-44", "45-49", "50-54", "55-59", "60-64", "65-69", "70-74", "75-79", "80-84", "85+")</f>
        <v>30-34</v>
      </c>
      <c r="D2686" t="s">
        <v>7</v>
      </c>
    </row>
    <row r="2687" spans="1:4">
      <c r="A2687" t="s">
        <v>6</v>
      </c>
      <c r="B2687">
        <v>42</v>
      </c>
      <c r="C2687" t="str">
        <f>CHOOSE(MATCH(B2687, {20,25,30,35,40,45,50,55,60,65,70,75,80,85}, 1), "20-24", "25-29", "30-34", "35-39", "40-44", "45-49", "50-54", "55-59", "60-64", "65-69", "70-74", "75-79", "80-84", "85+")</f>
        <v>40-44</v>
      </c>
      <c r="D2687" t="s">
        <v>7</v>
      </c>
    </row>
    <row r="2688" spans="1:4">
      <c r="A2688" t="s">
        <v>6</v>
      </c>
      <c r="B2688">
        <v>58</v>
      </c>
      <c r="C2688" t="str">
        <f>CHOOSE(MATCH(B2688, {20,25,30,35,40,45,50,55,60,65,70,75,80,85}, 1), "20-24", "25-29", "30-34", "35-39", "40-44", "45-49", "50-54", "55-59", "60-64", "65-69", "70-74", "75-79", "80-84", "85+")</f>
        <v>55-59</v>
      </c>
      <c r="D2688" t="s">
        <v>7</v>
      </c>
    </row>
    <row r="2689" spans="1:4">
      <c r="A2689" t="s">
        <v>6</v>
      </c>
      <c r="B2689">
        <v>52</v>
      </c>
      <c r="C2689" t="str">
        <f>CHOOSE(MATCH(B2689, {20,25,30,35,40,45,50,55,60,65,70,75,80,85}, 1), "20-24", "25-29", "30-34", "35-39", "40-44", "45-49", "50-54", "55-59", "60-64", "65-69", "70-74", "75-79", "80-84", "85+")</f>
        <v>50-54</v>
      </c>
      <c r="D2689" t="s">
        <v>7</v>
      </c>
    </row>
    <row r="2690" spans="1:4">
      <c r="A2690" t="s">
        <v>6</v>
      </c>
      <c r="B2690">
        <v>30</v>
      </c>
      <c r="C2690" t="str">
        <f>CHOOSE(MATCH(B2690, {20,25,30,35,40,45,50,55,60,65,70,75,80,85}, 1), "20-24", "25-29", "30-34", "35-39", "40-44", "45-49", "50-54", "55-59", "60-64", "65-69", "70-74", "75-79", "80-84", "85+")</f>
        <v>30-34</v>
      </c>
      <c r="D2690" t="s">
        <v>7</v>
      </c>
    </row>
    <row r="2691" spans="1:4">
      <c r="A2691" t="s">
        <v>6</v>
      </c>
      <c r="B2691">
        <v>29</v>
      </c>
      <c r="C2691" t="str">
        <f>CHOOSE(MATCH(B2691, {20,25,30,35,40,45,50,55,60,65,70,75,80,85}, 1), "20-24", "25-29", "30-34", "35-39", "40-44", "45-49", "50-54", "55-59", "60-64", "65-69", "70-74", "75-79", "80-84", "85+")</f>
        <v>25-29</v>
      </c>
      <c r="D2691" t="s">
        <v>8</v>
      </c>
    </row>
    <row r="2692" spans="1:4">
      <c r="A2692" t="s">
        <v>6</v>
      </c>
      <c r="B2692">
        <v>29</v>
      </c>
      <c r="C2692" t="str">
        <f>CHOOSE(MATCH(B2692, {20,25,30,35,40,45,50,55,60,65,70,75,80,85}, 1), "20-24", "25-29", "30-34", "35-39", "40-44", "45-49", "50-54", "55-59", "60-64", "65-69", "70-74", "75-79", "80-84", "85+")</f>
        <v>25-29</v>
      </c>
      <c r="D2692" t="s">
        <v>8</v>
      </c>
    </row>
    <row r="2693" spans="1:4">
      <c r="A2693" t="s">
        <v>6</v>
      </c>
      <c r="B2693">
        <v>39</v>
      </c>
      <c r="C2693" t="str">
        <f>CHOOSE(MATCH(B2693, {20,25,30,35,40,45,50,55,60,65,70,75,80,85}, 1), "20-24", "25-29", "30-34", "35-39", "40-44", "45-49", "50-54", "55-59", "60-64", "65-69", "70-74", "75-79", "80-84", "85+")</f>
        <v>35-39</v>
      </c>
      <c r="D2693" t="s">
        <v>8</v>
      </c>
    </row>
    <row r="2694" spans="1:4">
      <c r="A2694" t="s">
        <v>6</v>
      </c>
      <c r="B2694">
        <v>28</v>
      </c>
      <c r="C2694" t="str">
        <f>CHOOSE(MATCH(B2694, {20,25,30,35,40,45,50,55,60,65,70,75,80,85}, 1), "20-24", "25-29", "30-34", "35-39", "40-44", "45-49", "50-54", "55-59", "60-64", "65-69", "70-74", "75-79", "80-84", "85+")</f>
        <v>25-29</v>
      </c>
      <c r="D2694" t="s">
        <v>7</v>
      </c>
    </row>
    <row r="2695" spans="1:4">
      <c r="A2695" t="s">
        <v>6</v>
      </c>
      <c r="B2695">
        <v>37</v>
      </c>
      <c r="C2695" t="str">
        <f>CHOOSE(MATCH(B2695, {20,25,30,35,40,45,50,55,60,65,70,75,80,85}, 1), "20-24", "25-29", "30-34", "35-39", "40-44", "45-49", "50-54", "55-59", "60-64", "65-69", "70-74", "75-79", "80-84", "85+")</f>
        <v>35-39</v>
      </c>
      <c r="D2695" t="s">
        <v>7</v>
      </c>
    </row>
    <row r="2696" spans="1:4">
      <c r="A2696" t="s">
        <v>6</v>
      </c>
      <c r="B2696">
        <v>43</v>
      </c>
      <c r="C2696" t="str">
        <f>CHOOSE(MATCH(B2696, {20,25,30,35,40,45,50,55,60,65,70,75,80,85}, 1), "20-24", "25-29", "30-34", "35-39", "40-44", "45-49", "50-54", "55-59", "60-64", "65-69", "70-74", "75-79", "80-84", "85+")</f>
        <v>40-44</v>
      </c>
      <c r="D2696" t="s">
        <v>8</v>
      </c>
    </row>
    <row r="2697" spans="1:4">
      <c r="A2697" t="s">
        <v>6</v>
      </c>
      <c r="B2697">
        <v>36</v>
      </c>
      <c r="C2697" t="str">
        <f>CHOOSE(MATCH(B2697, {20,25,30,35,40,45,50,55,60,65,70,75,80,85}, 1), "20-24", "25-29", "30-34", "35-39", "40-44", "45-49", "50-54", "55-59", "60-64", "65-69", "70-74", "75-79", "80-84", "85+")</f>
        <v>35-39</v>
      </c>
      <c r="D2697" t="s">
        <v>8</v>
      </c>
    </row>
    <row r="2698" spans="1:4">
      <c r="A2698" t="s">
        <v>6</v>
      </c>
      <c r="B2698">
        <v>27</v>
      </c>
      <c r="C2698" t="str">
        <f>CHOOSE(MATCH(B2698, {20,25,30,35,40,45,50,55,60,65,70,75,80,85}, 1), "20-24", "25-29", "30-34", "35-39", "40-44", "45-49", "50-54", "55-59", "60-64", "65-69", "70-74", "75-79", "80-84", "85+")</f>
        <v>25-29</v>
      </c>
      <c r="D2698" t="s">
        <v>8</v>
      </c>
    </row>
    <row r="2699" spans="1:4">
      <c r="A2699" t="s">
        <v>6</v>
      </c>
      <c r="B2699">
        <v>35</v>
      </c>
      <c r="C2699" t="str">
        <f>CHOOSE(MATCH(B2699, {20,25,30,35,40,45,50,55,60,65,70,75,80,85}, 1), "20-24", "25-29", "30-34", "35-39", "40-44", "45-49", "50-54", "55-59", "60-64", "65-69", "70-74", "75-79", "80-84", "85+")</f>
        <v>35-39</v>
      </c>
      <c r="D2699" t="s">
        <v>8</v>
      </c>
    </row>
    <row r="2700" spans="1:4">
      <c r="A2700" t="s">
        <v>6</v>
      </c>
      <c r="B2700">
        <v>27</v>
      </c>
      <c r="C2700" t="str">
        <f>CHOOSE(MATCH(B2700, {20,25,30,35,40,45,50,55,60,65,70,75,80,85}, 1), "20-24", "25-29", "30-34", "35-39", "40-44", "45-49", "50-54", "55-59", "60-64", "65-69", "70-74", "75-79", "80-84", "85+")</f>
        <v>25-29</v>
      </c>
      <c r="D2700" t="s">
        <v>8</v>
      </c>
    </row>
    <row r="2701" spans="1:4">
      <c r="A2701" t="s">
        <v>6</v>
      </c>
      <c r="B2701">
        <v>50</v>
      </c>
      <c r="C2701" t="str">
        <f>CHOOSE(MATCH(B2701, {20,25,30,35,40,45,50,55,60,65,70,75,80,85}, 1), "20-24", "25-29", "30-34", "35-39", "40-44", "45-49", "50-54", "55-59", "60-64", "65-69", "70-74", "75-79", "80-84", "85+")</f>
        <v>50-54</v>
      </c>
      <c r="D2701" t="s">
        <v>8</v>
      </c>
    </row>
    <row r="2702" spans="1:4">
      <c r="A2702" t="s">
        <v>6</v>
      </c>
      <c r="B2702">
        <v>63</v>
      </c>
      <c r="C2702" t="str">
        <f>CHOOSE(MATCH(B2702, {20,25,30,35,40,45,50,55,60,65,70,75,80,85}, 1), "20-24", "25-29", "30-34", "35-39", "40-44", "45-49", "50-54", "55-59", "60-64", "65-69", "70-74", "75-79", "80-84", "85+")</f>
        <v>60-64</v>
      </c>
      <c r="D2702" t="s">
        <v>8</v>
      </c>
    </row>
    <row r="2703" spans="1:4">
      <c r="A2703" t="s">
        <v>6</v>
      </c>
      <c r="B2703">
        <v>40</v>
      </c>
      <c r="C2703" t="str">
        <f>CHOOSE(MATCH(B2703, {20,25,30,35,40,45,50,55,60,65,70,75,80,85}, 1), "20-24", "25-29", "30-34", "35-39", "40-44", "45-49", "50-54", "55-59", "60-64", "65-69", "70-74", "75-79", "80-84", "85+")</f>
        <v>40-44</v>
      </c>
      <c r="D2703" t="s">
        <v>7</v>
      </c>
    </row>
    <row r="2704" spans="1:4">
      <c r="A2704" t="s">
        <v>6</v>
      </c>
      <c r="B2704">
        <v>45</v>
      </c>
      <c r="C2704" t="str">
        <f>CHOOSE(MATCH(B2704, {20,25,30,35,40,45,50,55,60,65,70,75,80,85}, 1), "20-24", "25-29", "30-34", "35-39", "40-44", "45-49", "50-54", "55-59", "60-64", "65-69", "70-74", "75-79", "80-84", "85+")</f>
        <v>45-49</v>
      </c>
      <c r="D2704" t="s">
        <v>8</v>
      </c>
    </row>
    <row r="2705" spans="1:4">
      <c r="A2705" t="s">
        <v>6</v>
      </c>
      <c r="B2705">
        <v>68</v>
      </c>
      <c r="C2705" t="str">
        <f>CHOOSE(MATCH(B2705, {20,25,30,35,40,45,50,55,60,65,70,75,80,85}, 1), "20-24", "25-29", "30-34", "35-39", "40-44", "45-49", "50-54", "55-59", "60-64", "65-69", "70-74", "75-79", "80-84", "85+")</f>
        <v>65-69</v>
      </c>
      <c r="D2705" t="s">
        <v>8</v>
      </c>
    </row>
    <row r="2706" spans="1:4">
      <c r="A2706" t="s">
        <v>6</v>
      </c>
      <c r="B2706">
        <v>67</v>
      </c>
      <c r="C2706" t="str">
        <f>CHOOSE(MATCH(B2706, {20,25,30,35,40,45,50,55,60,65,70,75,80,85}, 1), "20-24", "25-29", "30-34", "35-39", "40-44", "45-49", "50-54", "55-59", "60-64", "65-69", "70-74", "75-79", "80-84", "85+")</f>
        <v>65-69</v>
      </c>
      <c r="D2706" t="s">
        <v>8</v>
      </c>
    </row>
    <row r="2707" spans="1:4">
      <c r="A2707" t="s">
        <v>6</v>
      </c>
      <c r="B2707">
        <v>32</v>
      </c>
      <c r="C2707" t="str">
        <f>CHOOSE(MATCH(B2707, {20,25,30,35,40,45,50,55,60,65,70,75,80,85}, 1), "20-24", "25-29", "30-34", "35-39", "40-44", "45-49", "50-54", "55-59", "60-64", "65-69", "70-74", "75-79", "80-84", "85+")</f>
        <v>30-34</v>
      </c>
      <c r="D2707" t="s">
        <v>7</v>
      </c>
    </row>
    <row r="2708" spans="1:4">
      <c r="A2708" t="s">
        <v>6</v>
      </c>
      <c r="B2708">
        <v>42</v>
      </c>
      <c r="C2708" t="str">
        <f>CHOOSE(MATCH(B2708, {20,25,30,35,40,45,50,55,60,65,70,75,80,85}, 1), "20-24", "25-29", "30-34", "35-39", "40-44", "45-49", "50-54", "55-59", "60-64", "65-69", "70-74", "75-79", "80-84", "85+")</f>
        <v>40-44</v>
      </c>
      <c r="D2708" t="s">
        <v>7</v>
      </c>
    </row>
    <row r="2709" spans="1:4">
      <c r="A2709" t="s">
        <v>6</v>
      </c>
      <c r="B2709">
        <v>37</v>
      </c>
      <c r="C2709" t="str">
        <f>CHOOSE(MATCH(B2709, {20,25,30,35,40,45,50,55,60,65,70,75,80,85}, 1), "20-24", "25-29", "30-34", "35-39", "40-44", "45-49", "50-54", "55-59", "60-64", "65-69", "70-74", "75-79", "80-84", "85+")</f>
        <v>35-39</v>
      </c>
      <c r="D2709" t="s">
        <v>8</v>
      </c>
    </row>
    <row r="2710" spans="1:4">
      <c r="A2710" t="s">
        <v>6</v>
      </c>
      <c r="B2710">
        <v>40</v>
      </c>
      <c r="C2710" t="str">
        <f>CHOOSE(MATCH(B2710, {20,25,30,35,40,45,50,55,60,65,70,75,80,85}, 1), "20-24", "25-29", "30-34", "35-39", "40-44", "45-49", "50-54", "55-59", "60-64", "65-69", "70-74", "75-79", "80-84", "85+")</f>
        <v>40-44</v>
      </c>
      <c r="D2710" t="s">
        <v>8</v>
      </c>
    </row>
    <row r="2711" spans="1:4">
      <c r="A2711" t="s">
        <v>6</v>
      </c>
      <c r="B2711">
        <v>55</v>
      </c>
      <c r="C2711" t="str">
        <f>CHOOSE(MATCH(B2711, {20,25,30,35,40,45,50,55,60,65,70,75,80,85}, 1), "20-24", "25-29", "30-34", "35-39", "40-44", "45-49", "50-54", "55-59", "60-64", "65-69", "70-74", "75-79", "80-84", "85+")</f>
        <v>55-59</v>
      </c>
      <c r="D2711" t="s">
        <v>7</v>
      </c>
    </row>
    <row r="2712" spans="1:4">
      <c r="A2712" t="s">
        <v>6</v>
      </c>
      <c r="B2712">
        <v>30</v>
      </c>
      <c r="C2712" t="str">
        <f>CHOOSE(MATCH(B2712, {20,25,30,35,40,45,50,55,60,65,70,75,80,85}, 1), "20-24", "25-29", "30-34", "35-39", "40-44", "45-49", "50-54", "55-59", "60-64", "65-69", "70-74", "75-79", "80-84", "85+")</f>
        <v>30-34</v>
      </c>
      <c r="D2712" t="s">
        <v>7</v>
      </c>
    </row>
    <row r="2713" spans="1:4">
      <c r="A2713" t="s">
        <v>6</v>
      </c>
      <c r="B2713">
        <v>43</v>
      </c>
      <c r="C2713" t="str">
        <f>CHOOSE(MATCH(B2713, {20,25,30,35,40,45,50,55,60,65,70,75,80,85}, 1), "20-24", "25-29", "30-34", "35-39", "40-44", "45-49", "50-54", "55-59", "60-64", "65-69", "70-74", "75-79", "80-84", "85+")</f>
        <v>40-44</v>
      </c>
      <c r="D2713" t="s">
        <v>8</v>
      </c>
    </row>
    <row r="2714" spans="1:4">
      <c r="A2714" t="s">
        <v>6</v>
      </c>
      <c r="B2714">
        <v>34</v>
      </c>
      <c r="C2714" t="str">
        <f>CHOOSE(MATCH(B2714, {20,25,30,35,40,45,50,55,60,65,70,75,80,85}, 1), "20-24", "25-29", "30-34", "35-39", "40-44", "45-49", "50-54", "55-59", "60-64", "65-69", "70-74", "75-79", "80-84", "85+")</f>
        <v>30-34</v>
      </c>
      <c r="D2714" t="s">
        <v>7</v>
      </c>
    </row>
    <row r="2715" spans="1:4">
      <c r="A2715" t="s">
        <v>6</v>
      </c>
      <c r="B2715">
        <v>53</v>
      </c>
      <c r="C2715" t="str">
        <f>CHOOSE(MATCH(B2715, {20,25,30,35,40,45,50,55,60,65,70,75,80,85}, 1), "20-24", "25-29", "30-34", "35-39", "40-44", "45-49", "50-54", "55-59", "60-64", "65-69", "70-74", "75-79", "80-84", "85+")</f>
        <v>50-54</v>
      </c>
      <c r="D2715" t="s">
        <v>7</v>
      </c>
    </row>
    <row r="2716" spans="1:4">
      <c r="A2716" t="s">
        <v>6</v>
      </c>
      <c r="B2716">
        <v>72</v>
      </c>
      <c r="C2716" t="str">
        <f>CHOOSE(MATCH(B2716, {20,25,30,35,40,45,50,55,60,65,70,75,80,85}, 1), "20-24", "25-29", "30-34", "35-39", "40-44", "45-49", "50-54", "55-59", "60-64", "65-69", "70-74", "75-79", "80-84", "85+")</f>
        <v>70-74</v>
      </c>
      <c r="D2716" t="s">
        <v>8</v>
      </c>
    </row>
    <row r="2717" spans="1:4">
      <c r="A2717" t="s">
        <v>6</v>
      </c>
      <c r="B2717">
        <v>42</v>
      </c>
      <c r="C2717" t="str">
        <f>CHOOSE(MATCH(B2717, {20,25,30,35,40,45,50,55,60,65,70,75,80,85}, 1), "20-24", "25-29", "30-34", "35-39", "40-44", "45-49", "50-54", "55-59", "60-64", "65-69", "70-74", "75-79", "80-84", "85+")</f>
        <v>40-44</v>
      </c>
      <c r="D2717" t="s">
        <v>8</v>
      </c>
    </row>
    <row r="2718" spans="1:4">
      <c r="A2718" t="s">
        <v>6</v>
      </c>
      <c r="B2718">
        <v>44</v>
      </c>
      <c r="C2718" t="str">
        <f>CHOOSE(MATCH(B2718, {20,25,30,35,40,45,50,55,60,65,70,75,80,85}, 1), "20-24", "25-29", "30-34", "35-39", "40-44", "45-49", "50-54", "55-59", "60-64", "65-69", "70-74", "75-79", "80-84", "85+")</f>
        <v>40-44</v>
      </c>
      <c r="D2718" t="s">
        <v>8</v>
      </c>
    </row>
    <row r="2719" spans="1:4">
      <c r="A2719" t="s">
        <v>6</v>
      </c>
      <c r="B2719">
        <v>25</v>
      </c>
      <c r="C2719" t="str">
        <f>CHOOSE(MATCH(B2719, {20,25,30,35,40,45,50,55,60,65,70,75,80,85}, 1), "20-24", "25-29", "30-34", "35-39", "40-44", "45-49", "50-54", "55-59", "60-64", "65-69", "70-74", "75-79", "80-84", "85+")</f>
        <v>25-29</v>
      </c>
      <c r="D2719" t="s">
        <v>7</v>
      </c>
    </row>
    <row r="2720" spans="1:4">
      <c r="A2720" t="s">
        <v>6</v>
      </c>
      <c r="B2720">
        <v>22</v>
      </c>
      <c r="C2720" t="str">
        <f>CHOOSE(MATCH(B2720, {20,25,30,35,40,45,50,55,60,65,70,75,80,85}, 1), "20-24", "25-29", "30-34", "35-39", "40-44", "45-49", "50-54", "55-59", "60-64", "65-69", "70-74", "75-79", "80-84", "85+")</f>
        <v>20-24</v>
      </c>
      <c r="D2720" t="s">
        <v>8</v>
      </c>
    </row>
    <row r="2721" spans="1:4">
      <c r="A2721" t="s">
        <v>6</v>
      </c>
      <c r="B2721">
        <v>29</v>
      </c>
      <c r="C2721" t="str">
        <f>CHOOSE(MATCH(B2721, {20,25,30,35,40,45,50,55,60,65,70,75,80,85}, 1), "20-24", "25-29", "30-34", "35-39", "40-44", "45-49", "50-54", "55-59", "60-64", "65-69", "70-74", "75-79", "80-84", "85+")</f>
        <v>25-29</v>
      </c>
      <c r="D2721" t="s">
        <v>7</v>
      </c>
    </row>
    <row r="2722" spans="1:4">
      <c r="A2722" t="s">
        <v>6</v>
      </c>
      <c r="B2722">
        <v>36</v>
      </c>
      <c r="C2722" t="str">
        <f>CHOOSE(MATCH(B2722, {20,25,30,35,40,45,50,55,60,65,70,75,80,85}, 1), "20-24", "25-29", "30-34", "35-39", "40-44", "45-49", "50-54", "55-59", "60-64", "65-69", "70-74", "75-79", "80-84", "85+")</f>
        <v>35-39</v>
      </c>
      <c r="D2722" t="s">
        <v>7</v>
      </c>
    </row>
    <row r="2723" spans="1:4">
      <c r="A2723" t="s">
        <v>6</v>
      </c>
      <c r="B2723">
        <v>54</v>
      </c>
      <c r="C2723" t="str">
        <f>CHOOSE(MATCH(B2723, {20,25,30,35,40,45,50,55,60,65,70,75,80,85}, 1), "20-24", "25-29", "30-34", "35-39", "40-44", "45-49", "50-54", "55-59", "60-64", "65-69", "70-74", "75-79", "80-84", "85+")</f>
        <v>50-54</v>
      </c>
      <c r="D2723" t="s">
        <v>7</v>
      </c>
    </row>
    <row r="2724" spans="1:4">
      <c r="A2724" t="s">
        <v>6</v>
      </c>
      <c r="B2724">
        <v>65</v>
      </c>
      <c r="C2724" t="str">
        <f>CHOOSE(MATCH(B2724, {20,25,30,35,40,45,50,55,60,65,70,75,80,85}, 1), "20-24", "25-29", "30-34", "35-39", "40-44", "45-49", "50-54", "55-59", "60-64", "65-69", "70-74", "75-79", "80-84", "85+")</f>
        <v>65-69</v>
      </c>
      <c r="D2724" t="s">
        <v>7</v>
      </c>
    </row>
    <row r="2725" spans="1:4">
      <c r="A2725" t="s">
        <v>6</v>
      </c>
      <c r="B2725">
        <v>38</v>
      </c>
      <c r="C2725" t="str">
        <f>CHOOSE(MATCH(B2725, {20,25,30,35,40,45,50,55,60,65,70,75,80,85}, 1), "20-24", "25-29", "30-34", "35-39", "40-44", "45-49", "50-54", "55-59", "60-64", "65-69", "70-74", "75-79", "80-84", "85+")</f>
        <v>35-39</v>
      </c>
      <c r="D2725" t="s">
        <v>7</v>
      </c>
    </row>
    <row r="2726" spans="1:4">
      <c r="A2726" t="s">
        <v>6</v>
      </c>
      <c r="B2726">
        <v>35</v>
      </c>
      <c r="C2726" t="str">
        <f>CHOOSE(MATCH(B2726, {20,25,30,35,40,45,50,55,60,65,70,75,80,85}, 1), "20-24", "25-29", "30-34", "35-39", "40-44", "45-49", "50-54", "55-59", "60-64", "65-69", "70-74", "75-79", "80-84", "85+")</f>
        <v>35-39</v>
      </c>
      <c r="D2726" t="s">
        <v>8</v>
      </c>
    </row>
    <row r="2727" spans="1:4">
      <c r="A2727" t="s">
        <v>6</v>
      </c>
      <c r="B2727">
        <v>32</v>
      </c>
      <c r="C2727" t="str">
        <f>CHOOSE(MATCH(B2727, {20,25,30,35,40,45,50,55,60,65,70,75,80,85}, 1), "20-24", "25-29", "30-34", "35-39", "40-44", "45-49", "50-54", "55-59", "60-64", "65-69", "70-74", "75-79", "80-84", "85+")</f>
        <v>30-34</v>
      </c>
      <c r="D2727" t="s">
        <v>7</v>
      </c>
    </row>
    <row r="2728" spans="1:4">
      <c r="A2728" t="s">
        <v>6</v>
      </c>
      <c r="B2728">
        <v>37</v>
      </c>
      <c r="C2728" t="str">
        <f>CHOOSE(MATCH(B2728, {20,25,30,35,40,45,50,55,60,65,70,75,80,85}, 1), "20-24", "25-29", "30-34", "35-39", "40-44", "45-49", "50-54", "55-59", "60-64", "65-69", "70-74", "75-79", "80-84", "85+")</f>
        <v>35-39</v>
      </c>
      <c r="D2728" t="s">
        <v>7</v>
      </c>
    </row>
    <row r="2729" spans="1:4">
      <c r="A2729" t="s">
        <v>6</v>
      </c>
      <c r="B2729">
        <v>23</v>
      </c>
      <c r="C2729" t="str">
        <f>CHOOSE(MATCH(B2729, {20,25,30,35,40,45,50,55,60,65,70,75,80,85}, 1), "20-24", "25-29", "30-34", "35-39", "40-44", "45-49", "50-54", "55-59", "60-64", "65-69", "70-74", "75-79", "80-84", "85+")</f>
        <v>20-24</v>
      </c>
      <c r="D2729" t="s">
        <v>7</v>
      </c>
    </row>
    <row r="2730" spans="1:4">
      <c r="A2730" t="s">
        <v>6</v>
      </c>
      <c r="B2730">
        <v>22</v>
      </c>
      <c r="C2730" t="str">
        <f>CHOOSE(MATCH(B2730, {20,25,30,35,40,45,50,55,60,65,70,75,80,85}, 1), "20-24", "25-29", "30-34", "35-39", "40-44", "45-49", "50-54", "55-59", "60-64", "65-69", "70-74", "75-79", "80-84", "85+")</f>
        <v>20-24</v>
      </c>
      <c r="D2730" t="s">
        <v>7</v>
      </c>
    </row>
    <row r="2731" spans="1:4">
      <c r="A2731" t="s">
        <v>6</v>
      </c>
      <c r="B2731">
        <v>79</v>
      </c>
      <c r="C2731" t="str">
        <f>CHOOSE(MATCH(B2731, {20,25,30,35,40,45,50,55,60,65,70,75,80,85}, 1), "20-24", "25-29", "30-34", "35-39", "40-44", "45-49", "50-54", "55-59", "60-64", "65-69", "70-74", "75-79", "80-84", "85+")</f>
        <v>75-79</v>
      </c>
      <c r="D2731" t="s">
        <v>7</v>
      </c>
    </row>
    <row r="2732" spans="1:4">
      <c r="A2732" t="s">
        <v>6</v>
      </c>
      <c r="B2732">
        <v>35</v>
      </c>
      <c r="C2732" t="str">
        <f>CHOOSE(MATCH(B2732, {20,25,30,35,40,45,50,55,60,65,70,75,80,85}, 1), "20-24", "25-29", "30-34", "35-39", "40-44", "45-49", "50-54", "55-59", "60-64", "65-69", "70-74", "75-79", "80-84", "85+")</f>
        <v>35-39</v>
      </c>
      <c r="D2732" t="s">
        <v>8</v>
      </c>
    </row>
    <row r="2733" spans="1:4">
      <c r="A2733" t="s">
        <v>6</v>
      </c>
      <c r="B2733">
        <v>40</v>
      </c>
      <c r="C2733" t="str">
        <f>CHOOSE(MATCH(B2733, {20,25,30,35,40,45,50,55,60,65,70,75,80,85}, 1), "20-24", "25-29", "30-34", "35-39", "40-44", "45-49", "50-54", "55-59", "60-64", "65-69", "70-74", "75-79", "80-84", "85+")</f>
        <v>40-44</v>
      </c>
      <c r="D2733" t="s">
        <v>7</v>
      </c>
    </row>
    <row r="2734" spans="1:4">
      <c r="A2734" t="s">
        <v>6</v>
      </c>
      <c r="B2734">
        <v>41</v>
      </c>
      <c r="C2734" t="str">
        <f>CHOOSE(MATCH(B2734, {20,25,30,35,40,45,50,55,60,65,70,75,80,85}, 1), "20-24", "25-29", "30-34", "35-39", "40-44", "45-49", "50-54", "55-59", "60-64", "65-69", "70-74", "75-79", "80-84", "85+")</f>
        <v>40-44</v>
      </c>
      <c r="D2734" t="s">
        <v>8</v>
      </c>
    </row>
    <row r="2735" spans="1:4">
      <c r="A2735" t="s">
        <v>6</v>
      </c>
      <c r="B2735">
        <v>49</v>
      </c>
      <c r="C2735" t="str">
        <f>CHOOSE(MATCH(B2735, {20,25,30,35,40,45,50,55,60,65,70,75,80,85}, 1), "20-24", "25-29", "30-34", "35-39", "40-44", "45-49", "50-54", "55-59", "60-64", "65-69", "70-74", "75-79", "80-84", "85+")</f>
        <v>45-49</v>
      </c>
      <c r="D2735" t="s">
        <v>8</v>
      </c>
    </row>
    <row r="2736" spans="1:4">
      <c r="A2736" t="s">
        <v>6</v>
      </c>
      <c r="B2736">
        <v>72</v>
      </c>
      <c r="C2736" t="str">
        <f>CHOOSE(MATCH(B2736, {20,25,30,35,40,45,50,55,60,65,70,75,80,85}, 1), "20-24", "25-29", "30-34", "35-39", "40-44", "45-49", "50-54", "55-59", "60-64", "65-69", "70-74", "75-79", "80-84", "85+")</f>
        <v>70-74</v>
      </c>
      <c r="D2736" t="s">
        <v>7</v>
      </c>
    </row>
    <row r="2737" spans="1:4">
      <c r="A2737" t="s">
        <v>6</v>
      </c>
      <c r="B2737">
        <v>65</v>
      </c>
      <c r="C2737" t="str">
        <f>CHOOSE(MATCH(B2737, {20,25,30,35,40,45,50,55,60,65,70,75,80,85}, 1), "20-24", "25-29", "30-34", "35-39", "40-44", "45-49", "50-54", "55-59", "60-64", "65-69", "70-74", "75-79", "80-84", "85+")</f>
        <v>65-69</v>
      </c>
      <c r="D2737" t="s">
        <v>7</v>
      </c>
    </row>
    <row r="2738" spans="1:4">
      <c r="A2738" t="s">
        <v>6</v>
      </c>
      <c r="B2738">
        <v>37</v>
      </c>
      <c r="C2738" t="str">
        <f>CHOOSE(MATCH(B2738, {20,25,30,35,40,45,50,55,60,65,70,75,80,85}, 1), "20-24", "25-29", "30-34", "35-39", "40-44", "45-49", "50-54", "55-59", "60-64", "65-69", "70-74", "75-79", "80-84", "85+")</f>
        <v>35-39</v>
      </c>
      <c r="D2738" t="s">
        <v>8</v>
      </c>
    </row>
    <row r="2739" spans="1:4">
      <c r="A2739" t="s">
        <v>6</v>
      </c>
      <c r="B2739">
        <v>24</v>
      </c>
      <c r="C2739" t="str">
        <f>CHOOSE(MATCH(B2739, {20,25,30,35,40,45,50,55,60,65,70,75,80,85}, 1), "20-24", "25-29", "30-34", "35-39", "40-44", "45-49", "50-54", "55-59", "60-64", "65-69", "70-74", "75-79", "80-84", "85+")</f>
        <v>20-24</v>
      </c>
      <c r="D2739" t="s">
        <v>7</v>
      </c>
    </row>
    <row r="2740" spans="1:4">
      <c r="A2740" t="s">
        <v>6</v>
      </c>
      <c r="B2740">
        <v>26</v>
      </c>
      <c r="C2740" t="str">
        <f>CHOOSE(MATCH(B2740, {20,25,30,35,40,45,50,55,60,65,70,75,80,85}, 1), "20-24", "25-29", "30-34", "35-39", "40-44", "45-49", "50-54", "55-59", "60-64", "65-69", "70-74", "75-79", "80-84", "85+")</f>
        <v>25-29</v>
      </c>
      <c r="D2740" t="s">
        <v>7</v>
      </c>
    </row>
    <row r="2741" spans="1:4">
      <c r="A2741" t="s">
        <v>6</v>
      </c>
      <c r="B2741">
        <v>27</v>
      </c>
      <c r="C2741" t="str">
        <f>CHOOSE(MATCH(B2741, {20,25,30,35,40,45,50,55,60,65,70,75,80,85}, 1), "20-24", "25-29", "30-34", "35-39", "40-44", "45-49", "50-54", "55-59", "60-64", "65-69", "70-74", "75-79", "80-84", "85+")</f>
        <v>25-29</v>
      </c>
      <c r="D2741" t="s">
        <v>7</v>
      </c>
    </row>
    <row r="2742" spans="1:4">
      <c r="A2742" t="s">
        <v>6</v>
      </c>
      <c r="B2742">
        <v>41</v>
      </c>
      <c r="C2742" t="str">
        <f>CHOOSE(MATCH(B2742, {20,25,30,35,40,45,50,55,60,65,70,75,80,85}, 1), "20-24", "25-29", "30-34", "35-39", "40-44", "45-49", "50-54", "55-59", "60-64", "65-69", "70-74", "75-79", "80-84", "85+")</f>
        <v>40-44</v>
      </c>
      <c r="D2742" t="s">
        <v>8</v>
      </c>
    </row>
    <row r="2743" spans="1:4">
      <c r="A2743" t="s">
        <v>6</v>
      </c>
      <c r="B2743">
        <v>49</v>
      </c>
      <c r="C2743" t="str">
        <f>CHOOSE(MATCH(B2743, {20,25,30,35,40,45,50,55,60,65,70,75,80,85}, 1), "20-24", "25-29", "30-34", "35-39", "40-44", "45-49", "50-54", "55-59", "60-64", "65-69", "70-74", "75-79", "80-84", "85+")</f>
        <v>45-49</v>
      </c>
      <c r="D2743" t="s">
        <v>8</v>
      </c>
    </row>
    <row r="2744" spans="1:4">
      <c r="A2744" t="s">
        <v>6</v>
      </c>
      <c r="B2744">
        <v>35</v>
      </c>
      <c r="C2744" t="str">
        <f>CHOOSE(MATCH(B2744, {20,25,30,35,40,45,50,55,60,65,70,75,80,85}, 1), "20-24", "25-29", "30-34", "35-39", "40-44", "45-49", "50-54", "55-59", "60-64", "65-69", "70-74", "75-79", "80-84", "85+")</f>
        <v>35-39</v>
      </c>
      <c r="D2744" t="s">
        <v>7</v>
      </c>
    </row>
    <row r="2745" spans="1:4">
      <c r="A2745" t="s">
        <v>6</v>
      </c>
      <c r="B2745">
        <v>25</v>
      </c>
      <c r="C2745" t="str">
        <f>CHOOSE(MATCH(B2745, {20,25,30,35,40,45,50,55,60,65,70,75,80,85}, 1), "20-24", "25-29", "30-34", "35-39", "40-44", "45-49", "50-54", "55-59", "60-64", "65-69", "70-74", "75-79", "80-84", "85+")</f>
        <v>25-29</v>
      </c>
      <c r="D2745" t="s">
        <v>7</v>
      </c>
    </row>
    <row r="2746" spans="1:4">
      <c r="A2746" t="s">
        <v>6</v>
      </c>
      <c r="B2746">
        <v>27</v>
      </c>
      <c r="C2746" t="str">
        <f>CHOOSE(MATCH(B2746, {20,25,30,35,40,45,50,55,60,65,70,75,80,85}, 1), "20-24", "25-29", "30-34", "35-39", "40-44", "45-49", "50-54", "55-59", "60-64", "65-69", "70-74", "75-79", "80-84", "85+")</f>
        <v>25-29</v>
      </c>
      <c r="D2746" t="s">
        <v>7</v>
      </c>
    </row>
    <row r="2747" spans="1:4">
      <c r="A2747" t="s">
        <v>6</v>
      </c>
      <c r="B2747">
        <v>33</v>
      </c>
      <c r="C2747" t="str">
        <f>CHOOSE(MATCH(B2747, {20,25,30,35,40,45,50,55,60,65,70,75,80,85}, 1), "20-24", "25-29", "30-34", "35-39", "40-44", "45-49", "50-54", "55-59", "60-64", "65-69", "70-74", "75-79", "80-84", "85+")</f>
        <v>30-34</v>
      </c>
      <c r="D2747" t="s">
        <v>7</v>
      </c>
    </row>
    <row r="2748" spans="1:4">
      <c r="A2748" t="s">
        <v>6</v>
      </c>
      <c r="B2748">
        <v>26</v>
      </c>
      <c r="C2748" t="str">
        <f>CHOOSE(MATCH(B2748, {20,25,30,35,40,45,50,55,60,65,70,75,80,85}, 1), "20-24", "25-29", "30-34", "35-39", "40-44", "45-49", "50-54", "55-59", "60-64", "65-69", "70-74", "75-79", "80-84", "85+")</f>
        <v>25-29</v>
      </c>
      <c r="D2748" t="s">
        <v>7</v>
      </c>
    </row>
    <row r="2749" spans="1:4">
      <c r="A2749" t="s">
        <v>6</v>
      </c>
      <c r="B2749">
        <v>29</v>
      </c>
      <c r="C2749" t="str">
        <f>CHOOSE(MATCH(B2749, {20,25,30,35,40,45,50,55,60,65,70,75,80,85}, 1), "20-24", "25-29", "30-34", "35-39", "40-44", "45-49", "50-54", "55-59", "60-64", "65-69", "70-74", "75-79", "80-84", "85+")</f>
        <v>25-29</v>
      </c>
      <c r="D2749" t="s">
        <v>7</v>
      </c>
    </row>
    <row r="2750" spans="1:4">
      <c r="A2750" t="s">
        <v>6</v>
      </c>
      <c r="B2750">
        <v>29</v>
      </c>
      <c r="C2750" t="str">
        <f>CHOOSE(MATCH(B2750, {20,25,30,35,40,45,50,55,60,65,70,75,80,85}, 1), "20-24", "25-29", "30-34", "35-39", "40-44", "45-49", "50-54", "55-59", "60-64", "65-69", "70-74", "75-79", "80-84", "85+")</f>
        <v>25-29</v>
      </c>
      <c r="D2750" t="s">
        <v>7</v>
      </c>
    </row>
    <row r="2751" spans="1:4">
      <c r="A2751" t="s">
        <v>6</v>
      </c>
      <c r="B2751">
        <v>55</v>
      </c>
      <c r="C2751" t="str">
        <f>CHOOSE(MATCH(B2751, {20,25,30,35,40,45,50,55,60,65,70,75,80,85}, 1), "20-24", "25-29", "30-34", "35-39", "40-44", "45-49", "50-54", "55-59", "60-64", "65-69", "70-74", "75-79", "80-84", "85+")</f>
        <v>55-59</v>
      </c>
      <c r="D2751" t="s">
        <v>8</v>
      </c>
    </row>
    <row r="2752" spans="1:4">
      <c r="A2752" t="s">
        <v>6</v>
      </c>
      <c r="B2752">
        <v>26</v>
      </c>
      <c r="C2752" t="str">
        <f>CHOOSE(MATCH(B2752, {20,25,30,35,40,45,50,55,60,65,70,75,80,85}, 1), "20-24", "25-29", "30-34", "35-39", "40-44", "45-49", "50-54", "55-59", "60-64", "65-69", "70-74", "75-79", "80-84", "85+")</f>
        <v>25-29</v>
      </c>
      <c r="D2752" t="s">
        <v>8</v>
      </c>
    </row>
    <row r="2753" spans="1:4">
      <c r="A2753" t="s">
        <v>6</v>
      </c>
      <c r="B2753">
        <v>43</v>
      </c>
      <c r="C2753" t="str">
        <f>CHOOSE(MATCH(B2753, {20,25,30,35,40,45,50,55,60,65,70,75,80,85}, 1), "20-24", "25-29", "30-34", "35-39", "40-44", "45-49", "50-54", "55-59", "60-64", "65-69", "70-74", "75-79", "80-84", "85+")</f>
        <v>40-44</v>
      </c>
      <c r="D2753" t="s">
        <v>8</v>
      </c>
    </row>
    <row r="2754" spans="1:4">
      <c r="A2754" t="s">
        <v>6</v>
      </c>
      <c r="B2754">
        <v>47</v>
      </c>
      <c r="C2754" t="str">
        <f>CHOOSE(MATCH(B2754, {20,25,30,35,40,45,50,55,60,65,70,75,80,85}, 1), "20-24", "25-29", "30-34", "35-39", "40-44", "45-49", "50-54", "55-59", "60-64", "65-69", "70-74", "75-79", "80-84", "85+")</f>
        <v>45-49</v>
      </c>
      <c r="D2754" t="s">
        <v>7</v>
      </c>
    </row>
    <row r="2755" spans="1:4">
      <c r="A2755" t="s">
        <v>6</v>
      </c>
      <c r="B2755">
        <v>20</v>
      </c>
      <c r="C2755" t="str">
        <f>CHOOSE(MATCH(B2755, {20,25,30,35,40,45,50,55,60,65,70,75,80,85}, 1), "20-24", "25-29", "30-34", "35-39", "40-44", "45-49", "50-54", "55-59", "60-64", "65-69", "70-74", "75-79", "80-84", "85+")</f>
        <v>20-24</v>
      </c>
      <c r="D2755" t="s">
        <v>8</v>
      </c>
    </row>
    <row r="2756" spans="1:4">
      <c r="A2756" t="s">
        <v>6</v>
      </c>
      <c r="B2756">
        <v>61</v>
      </c>
      <c r="C2756" t="str">
        <f>CHOOSE(MATCH(B2756, {20,25,30,35,40,45,50,55,60,65,70,75,80,85}, 1), "20-24", "25-29", "30-34", "35-39", "40-44", "45-49", "50-54", "55-59", "60-64", "65-69", "70-74", "75-79", "80-84", "85+")</f>
        <v>60-64</v>
      </c>
      <c r="D2756" t="s">
        <v>8</v>
      </c>
    </row>
    <row r="2757" spans="1:4">
      <c r="A2757" t="s">
        <v>6</v>
      </c>
      <c r="B2757">
        <v>36</v>
      </c>
      <c r="C2757" t="str">
        <f>CHOOSE(MATCH(B2757, {20,25,30,35,40,45,50,55,60,65,70,75,80,85}, 1), "20-24", "25-29", "30-34", "35-39", "40-44", "45-49", "50-54", "55-59", "60-64", "65-69", "70-74", "75-79", "80-84", "85+")</f>
        <v>35-39</v>
      </c>
      <c r="D2757" t="s">
        <v>7</v>
      </c>
    </row>
    <row r="2758" spans="1:4">
      <c r="A2758" t="s">
        <v>6</v>
      </c>
      <c r="B2758">
        <v>62</v>
      </c>
      <c r="C2758" t="str">
        <f>CHOOSE(MATCH(B2758, {20,25,30,35,40,45,50,55,60,65,70,75,80,85}, 1), "20-24", "25-29", "30-34", "35-39", "40-44", "45-49", "50-54", "55-59", "60-64", "65-69", "70-74", "75-79", "80-84", "85+")</f>
        <v>60-64</v>
      </c>
      <c r="D2758" t="s">
        <v>8</v>
      </c>
    </row>
    <row r="2759" spans="1:4">
      <c r="A2759" t="s">
        <v>6</v>
      </c>
      <c r="B2759">
        <v>47</v>
      </c>
      <c r="C2759" t="str">
        <f>CHOOSE(MATCH(B2759, {20,25,30,35,40,45,50,55,60,65,70,75,80,85}, 1), "20-24", "25-29", "30-34", "35-39", "40-44", "45-49", "50-54", "55-59", "60-64", "65-69", "70-74", "75-79", "80-84", "85+")</f>
        <v>45-49</v>
      </c>
      <c r="D2759" t="s">
        <v>8</v>
      </c>
    </row>
    <row r="2760" spans="1:4">
      <c r="A2760" t="s">
        <v>6</v>
      </c>
      <c r="B2760">
        <v>69</v>
      </c>
      <c r="C2760" t="str">
        <f>CHOOSE(MATCH(B2760, {20,25,30,35,40,45,50,55,60,65,70,75,80,85}, 1), "20-24", "25-29", "30-34", "35-39", "40-44", "45-49", "50-54", "55-59", "60-64", "65-69", "70-74", "75-79", "80-84", "85+")</f>
        <v>65-69</v>
      </c>
      <c r="D2760" t="s">
        <v>7</v>
      </c>
    </row>
    <row r="2761" spans="1:4">
      <c r="A2761" t="s">
        <v>6</v>
      </c>
      <c r="B2761">
        <v>20</v>
      </c>
      <c r="C2761" t="str">
        <f>CHOOSE(MATCH(B2761, {20,25,30,35,40,45,50,55,60,65,70,75,80,85}, 1), "20-24", "25-29", "30-34", "35-39", "40-44", "45-49", "50-54", "55-59", "60-64", "65-69", "70-74", "75-79", "80-84", "85+")</f>
        <v>20-24</v>
      </c>
      <c r="D2761" t="s">
        <v>7</v>
      </c>
    </row>
    <row r="2762" spans="1:4">
      <c r="A2762" t="s">
        <v>6</v>
      </c>
      <c r="B2762">
        <v>32</v>
      </c>
      <c r="C2762" t="str">
        <f>CHOOSE(MATCH(B2762, {20,25,30,35,40,45,50,55,60,65,70,75,80,85}, 1), "20-24", "25-29", "30-34", "35-39", "40-44", "45-49", "50-54", "55-59", "60-64", "65-69", "70-74", "75-79", "80-84", "85+")</f>
        <v>30-34</v>
      </c>
      <c r="D2762" t="s">
        <v>7</v>
      </c>
    </row>
    <row r="2763" spans="1:4">
      <c r="A2763" t="s">
        <v>6</v>
      </c>
      <c r="B2763">
        <v>29</v>
      </c>
      <c r="C2763" t="str">
        <f>CHOOSE(MATCH(B2763, {20,25,30,35,40,45,50,55,60,65,70,75,80,85}, 1), "20-24", "25-29", "30-34", "35-39", "40-44", "45-49", "50-54", "55-59", "60-64", "65-69", "70-74", "75-79", "80-84", "85+")</f>
        <v>25-29</v>
      </c>
      <c r="D2763" t="s">
        <v>7</v>
      </c>
    </row>
    <row r="2764" spans="1:4">
      <c r="A2764" t="s">
        <v>6</v>
      </c>
      <c r="B2764">
        <v>51</v>
      </c>
      <c r="C2764" t="str">
        <f>CHOOSE(MATCH(B2764, {20,25,30,35,40,45,50,55,60,65,70,75,80,85}, 1), "20-24", "25-29", "30-34", "35-39", "40-44", "45-49", "50-54", "55-59", "60-64", "65-69", "70-74", "75-79", "80-84", "85+")</f>
        <v>50-54</v>
      </c>
      <c r="D2764" t="s">
        <v>7</v>
      </c>
    </row>
    <row r="2765" spans="1:4">
      <c r="A2765" t="s">
        <v>6</v>
      </c>
      <c r="B2765">
        <v>33</v>
      </c>
      <c r="C2765" t="str">
        <f>CHOOSE(MATCH(B2765, {20,25,30,35,40,45,50,55,60,65,70,75,80,85}, 1), "20-24", "25-29", "30-34", "35-39", "40-44", "45-49", "50-54", "55-59", "60-64", "65-69", "70-74", "75-79", "80-84", "85+")</f>
        <v>30-34</v>
      </c>
      <c r="D2765" t="s">
        <v>8</v>
      </c>
    </row>
    <row r="2766" spans="1:4">
      <c r="A2766" t="s">
        <v>6</v>
      </c>
      <c r="B2766">
        <v>40</v>
      </c>
      <c r="C2766" t="str">
        <f>CHOOSE(MATCH(B2766, {20,25,30,35,40,45,50,55,60,65,70,75,80,85}, 1), "20-24", "25-29", "30-34", "35-39", "40-44", "45-49", "50-54", "55-59", "60-64", "65-69", "70-74", "75-79", "80-84", "85+")</f>
        <v>40-44</v>
      </c>
      <c r="D2766" t="s">
        <v>7</v>
      </c>
    </row>
    <row r="2767" spans="1:4">
      <c r="A2767" t="s">
        <v>6</v>
      </c>
      <c r="B2767">
        <v>57</v>
      </c>
      <c r="C2767" t="str">
        <f>CHOOSE(MATCH(B2767, {20,25,30,35,40,45,50,55,60,65,70,75,80,85}, 1), "20-24", "25-29", "30-34", "35-39", "40-44", "45-49", "50-54", "55-59", "60-64", "65-69", "70-74", "75-79", "80-84", "85+")</f>
        <v>55-59</v>
      </c>
      <c r="D2767" t="s">
        <v>7</v>
      </c>
    </row>
    <row r="2768" spans="1:4">
      <c r="A2768" t="s">
        <v>6</v>
      </c>
      <c r="B2768">
        <v>41</v>
      </c>
      <c r="C2768" t="str">
        <f>CHOOSE(MATCH(B2768, {20,25,30,35,40,45,50,55,60,65,70,75,80,85}, 1), "20-24", "25-29", "30-34", "35-39", "40-44", "45-49", "50-54", "55-59", "60-64", "65-69", "70-74", "75-79", "80-84", "85+")</f>
        <v>40-44</v>
      </c>
      <c r="D2768" t="s">
        <v>7</v>
      </c>
    </row>
    <row r="2769" spans="1:4">
      <c r="A2769" t="s">
        <v>6</v>
      </c>
      <c r="B2769">
        <v>47</v>
      </c>
      <c r="C2769" t="str">
        <f>CHOOSE(MATCH(B2769, {20,25,30,35,40,45,50,55,60,65,70,75,80,85}, 1), "20-24", "25-29", "30-34", "35-39", "40-44", "45-49", "50-54", "55-59", "60-64", "65-69", "70-74", "75-79", "80-84", "85+")</f>
        <v>45-49</v>
      </c>
      <c r="D2769" t="s">
        <v>8</v>
      </c>
    </row>
    <row r="2770" spans="1:4">
      <c r="A2770" t="s">
        <v>6</v>
      </c>
      <c r="B2770">
        <v>45</v>
      </c>
      <c r="C2770" t="str">
        <f>CHOOSE(MATCH(B2770, {20,25,30,35,40,45,50,55,60,65,70,75,80,85}, 1), "20-24", "25-29", "30-34", "35-39", "40-44", "45-49", "50-54", "55-59", "60-64", "65-69", "70-74", "75-79", "80-84", "85+")</f>
        <v>45-49</v>
      </c>
      <c r="D2770" t="s">
        <v>7</v>
      </c>
    </row>
    <row r="2771" spans="1:4">
      <c r="A2771" t="s">
        <v>6</v>
      </c>
      <c r="B2771">
        <v>41</v>
      </c>
      <c r="C2771" t="str">
        <f>CHOOSE(MATCH(B2771, {20,25,30,35,40,45,50,55,60,65,70,75,80,85}, 1), "20-24", "25-29", "30-34", "35-39", "40-44", "45-49", "50-54", "55-59", "60-64", "65-69", "70-74", "75-79", "80-84", "85+")</f>
        <v>40-44</v>
      </c>
      <c r="D2771" t="s">
        <v>7</v>
      </c>
    </row>
    <row r="2772" spans="1:4">
      <c r="A2772" t="s">
        <v>6</v>
      </c>
      <c r="B2772">
        <v>42</v>
      </c>
      <c r="C2772" t="str">
        <f>CHOOSE(MATCH(B2772, {20,25,30,35,40,45,50,55,60,65,70,75,80,85}, 1), "20-24", "25-29", "30-34", "35-39", "40-44", "45-49", "50-54", "55-59", "60-64", "65-69", "70-74", "75-79", "80-84", "85+")</f>
        <v>40-44</v>
      </c>
      <c r="D2772" t="s">
        <v>8</v>
      </c>
    </row>
    <row r="2773" spans="1:4">
      <c r="A2773" t="s">
        <v>6</v>
      </c>
      <c r="B2773">
        <v>22</v>
      </c>
      <c r="C2773" t="str">
        <f>CHOOSE(MATCH(B2773, {20,25,30,35,40,45,50,55,60,65,70,75,80,85}, 1), "20-24", "25-29", "30-34", "35-39", "40-44", "45-49", "50-54", "55-59", "60-64", "65-69", "70-74", "75-79", "80-84", "85+")</f>
        <v>20-24</v>
      </c>
      <c r="D2773" t="s">
        <v>8</v>
      </c>
    </row>
    <row r="2774" spans="1:4">
      <c r="A2774" t="s">
        <v>6</v>
      </c>
      <c r="B2774">
        <v>37</v>
      </c>
      <c r="C2774" t="str">
        <f>CHOOSE(MATCH(B2774, {20,25,30,35,40,45,50,55,60,65,70,75,80,85}, 1), "20-24", "25-29", "30-34", "35-39", "40-44", "45-49", "50-54", "55-59", "60-64", "65-69", "70-74", "75-79", "80-84", "85+")</f>
        <v>35-39</v>
      </c>
      <c r="D2774" t="s">
        <v>8</v>
      </c>
    </row>
    <row r="2775" spans="1:4">
      <c r="A2775" t="s">
        <v>6</v>
      </c>
      <c r="B2775">
        <v>63</v>
      </c>
      <c r="C2775" t="str">
        <f>CHOOSE(MATCH(B2775, {20,25,30,35,40,45,50,55,60,65,70,75,80,85}, 1), "20-24", "25-29", "30-34", "35-39", "40-44", "45-49", "50-54", "55-59", "60-64", "65-69", "70-74", "75-79", "80-84", "85+")</f>
        <v>60-64</v>
      </c>
      <c r="D2775" t="s">
        <v>7</v>
      </c>
    </row>
    <row r="2776" spans="1:4">
      <c r="A2776" t="s">
        <v>6</v>
      </c>
      <c r="B2776">
        <v>74</v>
      </c>
      <c r="C2776" t="str">
        <f>CHOOSE(MATCH(B2776, {20,25,30,35,40,45,50,55,60,65,70,75,80,85}, 1), "20-24", "25-29", "30-34", "35-39", "40-44", "45-49", "50-54", "55-59", "60-64", "65-69", "70-74", "75-79", "80-84", "85+")</f>
        <v>70-74</v>
      </c>
      <c r="D2776" t="s">
        <v>8</v>
      </c>
    </row>
    <row r="2777" spans="1:4">
      <c r="A2777" t="s">
        <v>6</v>
      </c>
      <c r="B2777">
        <v>49</v>
      </c>
      <c r="C2777" t="str">
        <f>CHOOSE(MATCH(B2777, {20,25,30,35,40,45,50,55,60,65,70,75,80,85}, 1), "20-24", "25-29", "30-34", "35-39", "40-44", "45-49", "50-54", "55-59", "60-64", "65-69", "70-74", "75-79", "80-84", "85+")</f>
        <v>45-49</v>
      </c>
      <c r="D2777" t="s">
        <v>8</v>
      </c>
    </row>
    <row r="2778" spans="1:4">
      <c r="A2778" t="s">
        <v>6</v>
      </c>
      <c r="B2778">
        <v>20</v>
      </c>
      <c r="C2778" t="str">
        <f>CHOOSE(MATCH(B2778, {20,25,30,35,40,45,50,55,60,65,70,75,80,85}, 1), "20-24", "25-29", "30-34", "35-39", "40-44", "45-49", "50-54", "55-59", "60-64", "65-69", "70-74", "75-79", "80-84", "85+")</f>
        <v>20-24</v>
      </c>
      <c r="D2778" t="s">
        <v>7</v>
      </c>
    </row>
    <row r="2779" spans="1:4">
      <c r="A2779" t="s">
        <v>6</v>
      </c>
      <c r="B2779">
        <v>27</v>
      </c>
      <c r="C2779" t="str">
        <f>CHOOSE(MATCH(B2779, {20,25,30,35,40,45,50,55,60,65,70,75,80,85}, 1), "20-24", "25-29", "30-34", "35-39", "40-44", "45-49", "50-54", "55-59", "60-64", "65-69", "70-74", "75-79", "80-84", "85+")</f>
        <v>25-29</v>
      </c>
      <c r="D2779" t="s">
        <v>7</v>
      </c>
    </row>
    <row r="2780" spans="1:4">
      <c r="A2780" t="s">
        <v>6</v>
      </c>
      <c r="B2780">
        <v>34</v>
      </c>
      <c r="C2780" t="str">
        <f>CHOOSE(MATCH(B2780, {20,25,30,35,40,45,50,55,60,65,70,75,80,85}, 1), "20-24", "25-29", "30-34", "35-39", "40-44", "45-49", "50-54", "55-59", "60-64", "65-69", "70-74", "75-79", "80-84", "85+")</f>
        <v>30-34</v>
      </c>
      <c r="D2780" t="s">
        <v>8</v>
      </c>
    </row>
    <row r="2781" spans="1:4">
      <c r="A2781" t="s">
        <v>6</v>
      </c>
      <c r="B2781">
        <v>41</v>
      </c>
      <c r="C2781" t="str">
        <f>CHOOSE(MATCH(B2781, {20,25,30,35,40,45,50,55,60,65,70,75,80,85}, 1), "20-24", "25-29", "30-34", "35-39", "40-44", "45-49", "50-54", "55-59", "60-64", "65-69", "70-74", "75-79", "80-84", "85+")</f>
        <v>40-44</v>
      </c>
      <c r="D2781" t="s">
        <v>8</v>
      </c>
    </row>
    <row r="2782" spans="1:4">
      <c r="A2782" t="s">
        <v>6</v>
      </c>
      <c r="B2782">
        <v>28</v>
      </c>
      <c r="C2782" t="str">
        <f>CHOOSE(MATCH(B2782, {20,25,30,35,40,45,50,55,60,65,70,75,80,85}, 1), "20-24", "25-29", "30-34", "35-39", "40-44", "45-49", "50-54", "55-59", "60-64", "65-69", "70-74", "75-79", "80-84", "85+")</f>
        <v>25-29</v>
      </c>
      <c r="D2782" t="s">
        <v>7</v>
      </c>
    </row>
    <row r="2783" spans="1:4">
      <c r="A2783" t="s">
        <v>6</v>
      </c>
      <c r="B2783">
        <v>39</v>
      </c>
      <c r="C2783" t="str">
        <f>CHOOSE(MATCH(B2783, {20,25,30,35,40,45,50,55,60,65,70,75,80,85}, 1), "20-24", "25-29", "30-34", "35-39", "40-44", "45-49", "50-54", "55-59", "60-64", "65-69", "70-74", "75-79", "80-84", "85+")</f>
        <v>35-39</v>
      </c>
      <c r="D2783" t="s">
        <v>8</v>
      </c>
    </row>
    <row r="2784" spans="1:4">
      <c r="A2784" t="s">
        <v>6</v>
      </c>
      <c r="B2784">
        <v>41</v>
      </c>
      <c r="C2784" t="str">
        <f>CHOOSE(MATCH(B2784, {20,25,30,35,40,45,50,55,60,65,70,75,80,85}, 1), "20-24", "25-29", "30-34", "35-39", "40-44", "45-49", "50-54", "55-59", "60-64", "65-69", "70-74", "75-79", "80-84", "85+")</f>
        <v>40-44</v>
      </c>
      <c r="D2784" t="s">
        <v>7</v>
      </c>
    </row>
    <row r="2785" spans="1:4">
      <c r="A2785" t="s">
        <v>6</v>
      </c>
      <c r="B2785">
        <v>36</v>
      </c>
      <c r="C2785" t="str">
        <f>CHOOSE(MATCH(B2785, {20,25,30,35,40,45,50,55,60,65,70,75,80,85}, 1), "20-24", "25-29", "30-34", "35-39", "40-44", "45-49", "50-54", "55-59", "60-64", "65-69", "70-74", "75-79", "80-84", "85+")</f>
        <v>35-39</v>
      </c>
      <c r="D2785" t="s">
        <v>8</v>
      </c>
    </row>
    <row r="2786" spans="1:4">
      <c r="A2786" t="s">
        <v>6</v>
      </c>
      <c r="B2786">
        <v>43</v>
      </c>
      <c r="C2786" t="str">
        <f>CHOOSE(MATCH(B2786, {20,25,30,35,40,45,50,55,60,65,70,75,80,85}, 1), "20-24", "25-29", "30-34", "35-39", "40-44", "45-49", "50-54", "55-59", "60-64", "65-69", "70-74", "75-79", "80-84", "85+")</f>
        <v>40-44</v>
      </c>
      <c r="D2786" t="s">
        <v>7</v>
      </c>
    </row>
    <row r="2787" spans="1:4">
      <c r="A2787" t="s">
        <v>6</v>
      </c>
      <c r="B2787">
        <v>23</v>
      </c>
      <c r="C2787" t="str">
        <f>CHOOSE(MATCH(B2787, {20,25,30,35,40,45,50,55,60,65,70,75,80,85}, 1), "20-24", "25-29", "30-34", "35-39", "40-44", "45-49", "50-54", "55-59", "60-64", "65-69", "70-74", "75-79", "80-84", "85+")</f>
        <v>20-24</v>
      </c>
      <c r="D2787" t="s">
        <v>7</v>
      </c>
    </row>
    <row r="2788" spans="1:4">
      <c r="A2788" t="s">
        <v>6</v>
      </c>
      <c r="B2788">
        <v>29</v>
      </c>
      <c r="C2788" t="str">
        <f>CHOOSE(MATCH(B2788, {20,25,30,35,40,45,50,55,60,65,70,75,80,85}, 1), "20-24", "25-29", "30-34", "35-39", "40-44", "45-49", "50-54", "55-59", "60-64", "65-69", "70-74", "75-79", "80-84", "85+")</f>
        <v>25-29</v>
      </c>
      <c r="D2788" t="s">
        <v>7</v>
      </c>
    </row>
    <row r="2789" spans="1:4">
      <c r="A2789" t="s">
        <v>6</v>
      </c>
      <c r="B2789">
        <v>26</v>
      </c>
      <c r="C2789" t="str">
        <f>CHOOSE(MATCH(B2789, {20,25,30,35,40,45,50,55,60,65,70,75,80,85}, 1), "20-24", "25-29", "30-34", "35-39", "40-44", "45-49", "50-54", "55-59", "60-64", "65-69", "70-74", "75-79", "80-84", "85+")</f>
        <v>25-29</v>
      </c>
      <c r="D2789" t="s">
        <v>7</v>
      </c>
    </row>
    <row r="2790" spans="1:4">
      <c r="A2790" t="s">
        <v>6</v>
      </c>
      <c r="B2790">
        <v>58</v>
      </c>
      <c r="C2790" t="str">
        <f>CHOOSE(MATCH(B2790, {20,25,30,35,40,45,50,55,60,65,70,75,80,85}, 1), "20-24", "25-29", "30-34", "35-39", "40-44", "45-49", "50-54", "55-59", "60-64", "65-69", "70-74", "75-79", "80-84", "85+")</f>
        <v>55-59</v>
      </c>
      <c r="D2790" t="s">
        <v>8</v>
      </c>
    </row>
    <row r="2791" spans="1:4">
      <c r="A2791" t="s">
        <v>6</v>
      </c>
      <c r="B2791">
        <v>32</v>
      </c>
      <c r="C2791" t="str">
        <f>CHOOSE(MATCH(B2791, {20,25,30,35,40,45,50,55,60,65,70,75,80,85}, 1), "20-24", "25-29", "30-34", "35-39", "40-44", "45-49", "50-54", "55-59", "60-64", "65-69", "70-74", "75-79", "80-84", "85+")</f>
        <v>30-34</v>
      </c>
      <c r="D2791" t="s">
        <v>7</v>
      </c>
    </row>
    <row r="2792" spans="1:4">
      <c r="A2792" t="s">
        <v>6</v>
      </c>
      <c r="B2792">
        <v>24</v>
      </c>
      <c r="C2792" t="str">
        <f>CHOOSE(MATCH(B2792, {20,25,30,35,40,45,50,55,60,65,70,75,80,85}, 1), "20-24", "25-29", "30-34", "35-39", "40-44", "45-49", "50-54", "55-59", "60-64", "65-69", "70-74", "75-79", "80-84", "85+")</f>
        <v>20-24</v>
      </c>
      <c r="D2792" t="s">
        <v>8</v>
      </c>
    </row>
    <row r="2793" spans="1:4">
      <c r="A2793" t="s">
        <v>6</v>
      </c>
      <c r="B2793">
        <v>41</v>
      </c>
      <c r="C2793" t="str">
        <f>CHOOSE(MATCH(B2793, {20,25,30,35,40,45,50,55,60,65,70,75,80,85}, 1), "20-24", "25-29", "30-34", "35-39", "40-44", "45-49", "50-54", "55-59", "60-64", "65-69", "70-74", "75-79", "80-84", "85+")</f>
        <v>40-44</v>
      </c>
      <c r="D2793" t="s">
        <v>7</v>
      </c>
    </row>
    <row r="2794" spans="1:4">
      <c r="A2794" t="s">
        <v>6</v>
      </c>
      <c r="B2794">
        <v>49</v>
      </c>
      <c r="C2794" t="str">
        <f>CHOOSE(MATCH(B2794, {20,25,30,35,40,45,50,55,60,65,70,75,80,85}, 1), "20-24", "25-29", "30-34", "35-39", "40-44", "45-49", "50-54", "55-59", "60-64", "65-69", "70-74", "75-79", "80-84", "85+")</f>
        <v>45-49</v>
      </c>
      <c r="D2794" t="s">
        <v>8</v>
      </c>
    </row>
    <row r="2795" spans="1:4">
      <c r="A2795" t="s">
        <v>6</v>
      </c>
      <c r="B2795">
        <v>68</v>
      </c>
      <c r="C2795" t="str">
        <f>CHOOSE(MATCH(B2795, {20,25,30,35,40,45,50,55,60,65,70,75,80,85}, 1), "20-24", "25-29", "30-34", "35-39", "40-44", "45-49", "50-54", "55-59", "60-64", "65-69", "70-74", "75-79", "80-84", "85+")</f>
        <v>65-69</v>
      </c>
      <c r="D2795" t="s">
        <v>7</v>
      </c>
    </row>
    <row r="2796" spans="1:4">
      <c r="A2796" t="s">
        <v>6</v>
      </c>
      <c r="B2796">
        <v>52</v>
      </c>
      <c r="C2796" t="str">
        <f>CHOOSE(MATCH(B2796, {20,25,30,35,40,45,50,55,60,65,70,75,80,85}, 1), "20-24", "25-29", "30-34", "35-39", "40-44", "45-49", "50-54", "55-59", "60-64", "65-69", "70-74", "75-79", "80-84", "85+")</f>
        <v>50-54</v>
      </c>
      <c r="D2796" t="s">
        <v>8</v>
      </c>
    </row>
    <row r="2797" spans="1:4">
      <c r="A2797" t="s">
        <v>6</v>
      </c>
      <c r="B2797">
        <v>63</v>
      </c>
      <c r="C2797" t="str">
        <f>CHOOSE(MATCH(B2797, {20,25,30,35,40,45,50,55,60,65,70,75,80,85}, 1), "20-24", "25-29", "30-34", "35-39", "40-44", "45-49", "50-54", "55-59", "60-64", "65-69", "70-74", "75-79", "80-84", "85+")</f>
        <v>60-64</v>
      </c>
      <c r="D2797" t="s">
        <v>8</v>
      </c>
    </row>
    <row r="2798" spans="1:4">
      <c r="A2798" t="s">
        <v>6</v>
      </c>
      <c r="B2798">
        <v>60</v>
      </c>
      <c r="C2798" t="str">
        <f>CHOOSE(MATCH(B2798, {20,25,30,35,40,45,50,55,60,65,70,75,80,85}, 1), "20-24", "25-29", "30-34", "35-39", "40-44", "45-49", "50-54", "55-59", "60-64", "65-69", "70-74", "75-79", "80-84", "85+")</f>
        <v>60-64</v>
      </c>
      <c r="D2798" t="s">
        <v>7</v>
      </c>
    </row>
    <row r="2799" spans="1:4">
      <c r="A2799" t="s">
        <v>6</v>
      </c>
      <c r="B2799">
        <v>48</v>
      </c>
      <c r="C2799" t="str">
        <f>CHOOSE(MATCH(B2799, {20,25,30,35,40,45,50,55,60,65,70,75,80,85}, 1), "20-24", "25-29", "30-34", "35-39", "40-44", "45-49", "50-54", "55-59", "60-64", "65-69", "70-74", "75-79", "80-84", "85+")</f>
        <v>45-49</v>
      </c>
      <c r="D2799" t="s">
        <v>7</v>
      </c>
    </row>
    <row r="2800" spans="1:4">
      <c r="A2800" t="s">
        <v>6</v>
      </c>
      <c r="B2800">
        <v>45</v>
      </c>
      <c r="C2800" t="str">
        <f>CHOOSE(MATCH(B2800, {20,25,30,35,40,45,50,55,60,65,70,75,80,85}, 1), "20-24", "25-29", "30-34", "35-39", "40-44", "45-49", "50-54", "55-59", "60-64", "65-69", "70-74", "75-79", "80-84", "85+")</f>
        <v>45-49</v>
      </c>
      <c r="D2800" t="s">
        <v>8</v>
      </c>
    </row>
    <row r="2801" spans="1:4">
      <c r="A2801" t="s">
        <v>6</v>
      </c>
      <c r="B2801">
        <v>51</v>
      </c>
      <c r="C2801" t="str">
        <f>CHOOSE(MATCH(B2801, {20,25,30,35,40,45,50,55,60,65,70,75,80,85}, 1), "20-24", "25-29", "30-34", "35-39", "40-44", "45-49", "50-54", "55-59", "60-64", "65-69", "70-74", "75-79", "80-84", "85+")</f>
        <v>50-54</v>
      </c>
      <c r="D2801" t="s">
        <v>7</v>
      </c>
    </row>
    <row r="2802" spans="1:4">
      <c r="A2802" t="s">
        <v>6</v>
      </c>
      <c r="B2802">
        <v>46</v>
      </c>
      <c r="C2802" t="str">
        <f>CHOOSE(MATCH(B2802, {20,25,30,35,40,45,50,55,60,65,70,75,80,85}, 1), "20-24", "25-29", "30-34", "35-39", "40-44", "45-49", "50-54", "55-59", "60-64", "65-69", "70-74", "75-79", "80-84", "85+")</f>
        <v>45-49</v>
      </c>
      <c r="D2802" t="s">
        <v>8</v>
      </c>
    </row>
    <row r="2803" spans="1:4">
      <c r="A2803" t="s">
        <v>6</v>
      </c>
      <c r="B2803">
        <v>36</v>
      </c>
      <c r="C2803" t="str">
        <f>CHOOSE(MATCH(B2803, {20,25,30,35,40,45,50,55,60,65,70,75,80,85}, 1), "20-24", "25-29", "30-34", "35-39", "40-44", "45-49", "50-54", "55-59", "60-64", "65-69", "70-74", "75-79", "80-84", "85+")</f>
        <v>35-39</v>
      </c>
      <c r="D2803" t="s">
        <v>7</v>
      </c>
    </row>
    <row r="2804" spans="1:4">
      <c r="A2804" t="s">
        <v>6</v>
      </c>
      <c r="B2804">
        <v>25</v>
      </c>
      <c r="C2804" t="str">
        <f>CHOOSE(MATCH(B2804, {20,25,30,35,40,45,50,55,60,65,70,75,80,85}, 1), "20-24", "25-29", "30-34", "35-39", "40-44", "45-49", "50-54", "55-59", "60-64", "65-69", "70-74", "75-79", "80-84", "85+")</f>
        <v>25-29</v>
      </c>
      <c r="D2804" t="s">
        <v>7</v>
      </c>
    </row>
    <row r="2805" spans="1:4">
      <c r="A2805" t="s">
        <v>6</v>
      </c>
      <c r="B2805">
        <v>76</v>
      </c>
      <c r="C2805" t="str">
        <f>CHOOSE(MATCH(B2805, {20,25,30,35,40,45,50,55,60,65,70,75,80,85}, 1), "20-24", "25-29", "30-34", "35-39", "40-44", "45-49", "50-54", "55-59", "60-64", "65-69", "70-74", "75-79", "80-84", "85+")</f>
        <v>75-79</v>
      </c>
      <c r="D2805" t="s">
        <v>8</v>
      </c>
    </row>
    <row r="2806" spans="1:4">
      <c r="A2806" t="s">
        <v>6</v>
      </c>
      <c r="B2806">
        <v>52</v>
      </c>
      <c r="C2806" t="str">
        <f>CHOOSE(MATCH(B2806, {20,25,30,35,40,45,50,55,60,65,70,75,80,85}, 1), "20-24", "25-29", "30-34", "35-39", "40-44", "45-49", "50-54", "55-59", "60-64", "65-69", "70-74", "75-79", "80-84", "85+")</f>
        <v>50-54</v>
      </c>
      <c r="D2806" t="s">
        <v>7</v>
      </c>
    </row>
    <row r="2807" spans="1:4">
      <c r="A2807" t="s">
        <v>6</v>
      </c>
      <c r="B2807">
        <v>32</v>
      </c>
      <c r="C2807" t="str">
        <f>CHOOSE(MATCH(B2807, {20,25,30,35,40,45,50,55,60,65,70,75,80,85}, 1), "20-24", "25-29", "30-34", "35-39", "40-44", "45-49", "50-54", "55-59", "60-64", "65-69", "70-74", "75-79", "80-84", "85+")</f>
        <v>30-34</v>
      </c>
      <c r="D2807" t="s">
        <v>7</v>
      </c>
    </row>
    <row r="2808" spans="1:4">
      <c r="A2808" t="s">
        <v>6</v>
      </c>
      <c r="B2808">
        <v>36</v>
      </c>
      <c r="C2808" t="str">
        <f>CHOOSE(MATCH(B2808, {20,25,30,35,40,45,50,55,60,65,70,75,80,85}, 1), "20-24", "25-29", "30-34", "35-39", "40-44", "45-49", "50-54", "55-59", "60-64", "65-69", "70-74", "75-79", "80-84", "85+")</f>
        <v>35-39</v>
      </c>
      <c r="D2808" t="s">
        <v>7</v>
      </c>
    </row>
    <row r="2809" spans="1:4">
      <c r="A2809" t="s">
        <v>6</v>
      </c>
      <c r="B2809">
        <v>58</v>
      </c>
      <c r="C2809" t="str">
        <f>CHOOSE(MATCH(B2809, {20,25,30,35,40,45,50,55,60,65,70,75,80,85}, 1), "20-24", "25-29", "30-34", "35-39", "40-44", "45-49", "50-54", "55-59", "60-64", "65-69", "70-74", "75-79", "80-84", "85+")</f>
        <v>55-59</v>
      </c>
      <c r="D2809" t="s">
        <v>7</v>
      </c>
    </row>
    <row r="2810" spans="1:4">
      <c r="A2810" t="s">
        <v>6</v>
      </c>
      <c r="B2810">
        <v>30</v>
      </c>
      <c r="C2810" t="str">
        <f>CHOOSE(MATCH(B2810, {20,25,30,35,40,45,50,55,60,65,70,75,80,85}, 1), "20-24", "25-29", "30-34", "35-39", "40-44", "45-49", "50-54", "55-59", "60-64", "65-69", "70-74", "75-79", "80-84", "85+")</f>
        <v>30-34</v>
      </c>
      <c r="D2810" t="s">
        <v>7</v>
      </c>
    </row>
    <row r="2811" spans="1:4">
      <c r="A2811" t="s">
        <v>6</v>
      </c>
      <c r="B2811">
        <v>52</v>
      </c>
      <c r="C2811" t="str">
        <f>CHOOSE(MATCH(B2811, {20,25,30,35,40,45,50,55,60,65,70,75,80,85}, 1), "20-24", "25-29", "30-34", "35-39", "40-44", "45-49", "50-54", "55-59", "60-64", "65-69", "70-74", "75-79", "80-84", "85+")</f>
        <v>50-54</v>
      </c>
      <c r="D2811" t="s">
        <v>8</v>
      </c>
    </row>
    <row r="2812" spans="1:4">
      <c r="A2812" t="s">
        <v>6</v>
      </c>
      <c r="B2812">
        <v>26</v>
      </c>
      <c r="C2812" t="str">
        <f>CHOOSE(MATCH(B2812, {20,25,30,35,40,45,50,55,60,65,70,75,80,85}, 1), "20-24", "25-29", "30-34", "35-39", "40-44", "45-49", "50-54", "55-59", "60-64", "65-69", "70-74", "75-79", "80-84", "85+")</f>
        <v>25-29</v>
      </c>
      <c r="D2812" t="s">
        <v>7</v>
      </c>
    </row>
    <row r="2813" spans="1:4">
      <c r="A2813" t="s">
        <v>6</v>
      </c>
      <c r="B2813">
        <v>45</v>
      </c>
      <c r="C2813" t="str">
        <f>CHOOSE(MATCH(B2813, {20,25,30,35,40,45,50,55,60,65,70,75,80,85}, 1), "20-24", "25-29", "30-34", "35-39", "40-44", "45-49", "50-54", "55-59", "60-64", "65-69", "70-74", "75-79", "80-84", "85+")</f>
        <v>45-49</v>
      </c>
      <c r="D2813" t="s">
        <v>7</v>
      </c>
    </row>
    <row r="2814" spans="1:4">
      <c r="A2814" t="s">
        <v>6</v>
      </c>
      <c r="B2814">
        <v>34</v>
      </c>
      <c r="C2814" t="str">
        <f>CHOOSE(MATCH(B2814, {20,25,30,35,40,45,50,55,60,65,70,75,80,85}, 1), "20-24", "25-29", "30-34", "35-39", "40-44", "45-49", "50-54", "55-59", "60-64", "65-69", "70-74", "75-79", "80-84", "85+")</f>
        <v>30-34</v>
      </c>
      <c r="D2814" t="s">
        <v>7</v>
      </c>
    </row>
    <row r="2815" spans="1:4">
      <c r="A2815" t="s">
        <v>6</v>
      </c>
      <c r="B2815">
        <v>50</v>
      </c>
      <c r="C2815" t="str">
        <f>CHOOSE(MATCH(B2815, {20,25,30,35,40,45,50,55,60,65,70,75,80,85}, 1), "20-24", "25-29", "30-34", "35-39", "40-44", "45-49", "50-54", "55-59", "60-64", "65-69", "70-74", "75-79", "80-84", "85+")</f>
        <v>50-54</v>
      </c>
      <c r="D2815" t="s">
        <v>8</v>
      </c>
    </row>
    <row r="2816" spans="1:4">
      <c r="A2816" t="s">
        <v>6</v>
      </c>
      <c r="B2816">
        <v>34</v>
      </c>
      <c r="C2816" t="str">
        <f>CHOOSE(MATCH(B2816, {20,25,30,35,40,45,50,55,60,65,70,75,80,85}, 1), "20-24", "25-29", "30-34", "35-39", "40-44", "45-49", "50-54", "55-59", "60-64", "65-69", "70-74", "75-79", "80-84", "85+")</f>
        <v>30-34</v>
      </c>
      <c r="D2816" t="s">
        <v>8</v>
      </c>
    </row>
    <row r="2817" spans="1:4">
      <c r="A2817" t="s">
        <v>6</v>
      </c>
      <c r="B2817">
        <v>34</v>
      </c>
      <c r="C2817" t="str">
        <f>CHOOSE(MATCH(B2817, {20,25,30,35,40,45,50,55,60,65,70,75,80,85}, 1), "20-24", "25-29", "30-34", "35-39", "40-44", "45-49", "50-54", "55-59", "60-64", "65-69", "70-74", "75-79", "80-84", "85+")</f>
        <v>30-34</v>
      </c>
      <c r="D2817" t="s">
        <v>7</v>
      </c>
    </row>
    <row r="2818" spans="1:4">
      <c r="A2818" t="s">
        <v>6</v>
      </c>
      <c r="B2818">
        <v>25</v>
      </c>
      <c r="C2818" t="str">
        <f>CHOOSE(MATCH(B2818, {20,25,30,35,40,45,50,55,60,65,70,75,80,85}, 1), "20-24", "25-29", "30-34", "35-39", "40-44", "45-49", "50-54", "55-59", "60-64", "65-69", "70-74", "75-79", "80-84", "85+")</f>
        <v>25-29</v>
      </c>
      <c r="D2818" t="s">
        <v>7</v>
      </c>
    </row>
    <row r="2819" spans="1:4">
      <c r="A2819" t="s">
        <v>6</v>
      </c>
      <c r="B2819">
        <v>32</v>
      </c>
      <c r="C2819" t="str">
        <f>CHOOSE(MATCH(B2819, {20,25,30,35,40,45,50,55,60,65,70,75,80,85}, 1), "20-24", "25-29", "30-34", "35-39", "40-44", "45-49", "50-54", "55-59", "60-64", "65-69", "70-74", "75-79", "80-84", "85+")</f>
        <v>30-34</v>
      </c>
      <c r="D2819" t="s">
        <v>7</v>
      </c>
    </row>
    <row r="2820" spans="1:4">
      <c r="A2820" t="s">
        <v>6</v>
      </c>
      <c r="B2820">
        <v>44</v>
      </c>
      <c r="C2820" t="str">
        <f>CHOOSE(MATCH(B2820, {20,25,30,35,40,45,50,55,60,65,70,75,80,85}, 1), "20-24", "25-29", "30-34", "35-39", "40-44", "45-49", "50-54", "55-59", "60-64", "65-69", "70-74", "75-79", "80-84", "85+")</f>
        <v>40-44</v>
      </c>
      <c r="D2820" t="s">
        <v>7</v>
      </c>
    </row>
    <row r="2821" spans="1:4">
      <c r="A2821" t="s">
        <v>6</v>
      </c>
      <c r="B2821">
        <v>58</v>
      </c>
      <c r="C2821" t="str">
        <f>CHOOSE(MATCH(B2821, {20,25,30,35,40,45,50,55,60,65,70,75,80,85}, 1), "20-24", "25-29", "30-34", "35-39", "40-44", "45-49", "50-54", "55-59", "60-64", "65-69", "70-74", "75-79", "80-84", "85+")</f>
        <v>55-59</v>
      </c>
      <c r="D2821" t="s">
        <v>7</v>
      </c>
    </row>
    <row r="2822" spans="1:4">
      <c r="A2822" t="s">
        <v>6</v>
      </c>
      <c r="B2822">
        <v>43</v>
      </c>
      <c r="C2822" t="str">
        <f>CHOOSE(MATCH(B2822, {20,25,30,35,40,45,50,55,60,65,70,75,80,85}, 1), "20-24", "25-29", "30-34", "35-39", "40-44", "45-49", "50-54", "55-59", "60-64", "65-69", "70-74", "75-79", "80-84", "85+")</f>
        <v>40-44</v>
      </c>
      <c r="D2822" t="s">
        <v>7</v>
      </c>
    </row>
    <row r="2823" spans="1:4">
      <c r="A2823" t="s">
        <v>6</v>
      </c>
      <c r="B2823">
        <v>55</v>
      </c>
      <c r="C2823" t="str">
        <f>CHOOSE(MATCH(B2823, {20,25,30,35,40,45,50,55,60,65,70,75,80,85}, 1), "20-24", "25-29", "30-34", "35-39", "40-44", "45-49", "50-54", "55-59", "60-64", "65-69", "70-74", "75-79", "80-84", "85+")</f>
        <v>55-59</v>
      </c>
      <c r="D2823" t="s">
        <v>7</v>
      </c>
    </row>
    <row r="2824" spans="1:4">
      <c r="A2824" t="s">
        <v>6</v>
      </c>
      <c r="B2824">
        <v>43</v>
      </c>
      <c r="C2824" t="str">
        <f>CHOOSE(MATCH(B2824, {20,25,30,35,40,45,50,55,60,65,70,75,80,85}, 1), "20-24", "25-29", "30-34", "35-39", "40-44", "45-49", "50-54", "55-59", "60-64", "65-69", "70-74", "75-79", "80-84", "85+")</f>
        <v>40-44</v>
      </c>
      <c r="D2824" t="s">
        <v>7</v>
      </c>
    </row>
    <row r="2825" spans="1:4">
      <c r="A2825" t="s">
        <v>6</v>
      </c>
      <c r="B2825">
        <v>46</v>
      </c>
      <c r="C2825" t="str">
        <f>CHOOSE(MATCH(B2825, {20,25,30,35,40,45,50,55,60,65,70,75,80,85}, 1), "20-24", "25-29", "30-34", "35-39", "40-44", "45-49", "50-54", "55-59", "60-64", "65-69", "70-74", "75-79", "80-84", "85+")</f>
        <v>45-49</v>
      </c>
      <c r="D2825" t="s">
        <v>7</v>
      </c>
    </row>
    <row r="2826" spans="1:4">
      <c r="A2826" t="s">
        <v>6</v>
      </c>
      <c r="B2826">
        <v>28</v>
      </c>
      <c r="C2826" t="str">
        <f>CHOOSE(MATCH(B2826, {20,25,30,35,40,45,50,55,60,65,70,75,80,85}, 1), "20-24", "25-29", "30-34", "35-39", "40-44", "45-49", "50-54", "55-59", "60-64", "65-69", "70-74", "75-79", "80-84", "85+")</f>
        <v>25-29</v>
      </c>
      <c r="D2826" t="s">
        <v>7</v>
      </c>
    </row>
    <row r="2827" spans="1:4">
      <c r="A2827" t="s">
        <v>6</v>
      </c>
      <c r="B2827">
        <v>29</v>
      </c>
      <c r="C2827" t="str">
        <f>CHOOSE(MATCH(B2827, {20,25,30,35,40,45,50,55,60,65,70,75,80,85}, 1), "20-24", "25-29", "30-34", "35-39", "40-44", "45-49", "50-54", "55-59", "60-64", "65-69", "70-74", "75-79", "80-84", "85+")</f>
        <v>25-29</v>
      </c>
      <c r="D2827" t="s">
        <v>7</v>
      </c>
    </row>
    <row r="2828" spans="1:4">
      <c r="A2828" t="s">
        <v>6</v>
      </c>
      <c r="B2828">
        <v>57</v>
      </c>
      <c r="C2828" t="str">
        <f>CHOOSE(MATCH(B2828, {20,25,30,35,40,45,50,55,60,65,70,75,80,85}, 1), "20-24", "25-29", "30-34", "35-39", "40-44", "45-49", "50-54", "55-59", "60-64", "65-69", "70-74", "75-79", "80-84", "85+")</f>
        <v>55-59</v>
      </c>
      <c r="D2828" t="s">
        <v>8</v>
      </c>
    </row>
    <row r="2829" spans="1:4">
      <c r="A2829" t="s">
        <v>6</v>
      </c>
      <c r="B2829">
        <v>32</v>
      </c>
      <c r="C2829" t="str">
        <f>CHOOSE(MATCH(B2829, {20,25,30,35,40,45,50,55,60,65,70,75,80,85}, 1), "20-24", "25-29", "30-34", "35-39", "40-44", "45-49", "50-54", "55-59", "60-64", "65-69", "70-74", "75-79", "80-84", "85+")</f>
        <v>30-34</v>
      </c>
      <c r="D2829" t="s">
        <v>7</v>
      </c>
    </row>
    <row r="2830" spans="1:4">
      <c r="A2830" t="s">
        <v>6</v>
      </c>
      <c r="B2830">
        <v>51</v>
      </c>
      <c r="C2830" t="str">
        <f>CHOOSE(MATCH(B2830, {20,25,30,35,40,45,50,55,60,65,70,75,80,85}, 1), "20-24", "25-29", "30-34", "35-39", "40-44", "45-49", "50-54", "55-59", "60-64", "65-69", "70-74", "75-79", "80-84", "85+")</f>
        <v>50-54</v>
      </c>
      <c r="D2830" t="s">
        <v>7</v>
      </c>
    </row>
    <row r="2831" spans="1:4">
      <c r="A2831" t="s">
        <v>6</v>
      </c>
      <c r="B2831">
        <v>37</v>
      </c>
      <c r="C2831" t="str">
        <f>CHOOSE(MATCH(B2831, {20,25,30,35,40,45,50,55,60,65,70,75,80,85}, 1), "20-24", "25-29", "30-34", "35-39", "40-44", "45-49", "50-54", "55-59", "60-64", "65-69", "70-74", "75-79", "80-84", "85+")</f>
        <v>35-39</v>
      </c>
      <c r="D2831" t="s">
        <v>8</v>
      </c>
    </row>
    <row r="2832" spans="1:4">
      <c r="A2832" t="s">
        <v>6</v>
      </c>
      <c r="B2832">
        <v>29</v>
      </c>
      <c r="C2832" t="str">
        <f>CHOOSE(MATCH(B2832, {20,25,30,35,40,45,50,55,60,65,70,75,80,85}, 1), "20-24", "25-29", "30-34", "35-39", "40-44", "45-49", "50-54", "55-59", "60-64", "65-69", "70-74", "75-79", "80-84", "85+")</f>
        <v>25-29</v>
      </c>
      <c r="D2832" t="s">
        <v>7</v>
      </c>
    </row>
    <row r="2833" spans="1:4">
      <c r="A2833" t="s">
        <v>6</v>
      </c>
      <c r="B2833">
        <v>53</v>
      </c>
      <c r="C2833" t="str">
        <f>CHOOSE(MATCH(B2833, {20,25,30,35,40,45,50,55,60,65,70,75,80,85}, 1), "20-24", "25-29", "30-34", "35-39", "40-44", "45-49", "50-54", "55-59", "60-64", "65-69", "70-74", "75-79", "80-84", "85+")</f>
        <v>50-54</v>
      </c>
      <c r="D2833" t="s">
        <v>7</v>
      </c>
    </row>
    <row r="2834" spans="1:4">
      <c r="A2834" t="s">
        <v>6</v>
      </c>
      <c r="B2834">
        <v>33</v>
      </c>
      <c r="C2834" t="str">
        <f>CHOOSE(MATCH(B2834, {20,25,30,35,40,45,50,55,60,65,70,75,80,85}, 1), "20-24", "25-29", "30-34", "35-39", "40-44", "45-49", "50-54", "55-59", "60-64", "65-69", "70-74", "75-79", "80-84", "85+")</f>
        <v>30-34</v>
      </c>
      <c r="D2834" t="s">
        <v>8</v>
      </c>
    </row>
    <row r="2835" spans="1:4">
      <c r="A2835" t="s">
        <v>6</v>
      </c>
      <c r="B2835">
        <v>58</v>
      </c>
      <c r="C2835" t="str">
        <f>CHOOSE(MATCH(B2835, {20,25,30,35,40,45,50,55,60,65,70,75,80,85}, 1), "20-24", "25-29", "30-34", "35-39", "40-44", "45-49", "50-54", "55-59", "60-64", "65-69", "70-74", "75-79", "80-84", "85+")</f>
        <v>55-59</v>
      </c>
      <c r="D2835" t="s">
        <v>7</v>
      </c>
    </row>
    <row r="2836" spans="1:4">
      <c r="A2836" t="s">
        <v>6</v>
      </c>
      <c r="B2836">
        <v>27</v>
      </c>
      <c r="C2836" t="str">
        <f>CHOOSE(MATCH(B2836, {20,25,30,35,40,45,50,55,60,65,70,75,80,85}, 1), "20-24", "25-29", "30-34", "35-39", "40-44", "45-49", "50-54", "55-59", "60-64", "65-69", "70-74", "75-79", "80-84", "85+")</f>
        <v>25-29</v>
      </c>
      <c r="D2836" t="s">
        <v>7</v>
      </c>
    </row>
    <row r="2837" spans="1:4">
      <c r="A2837" t="s">
        <v>6</v>
      </c>
      <c r="B2837">
        <v>26</v>
      </c>
      <c r="C2837" t="str">
        <f>CHOOSE(MATCH(B2837, {20,25,30,35,40,45,50,55,60,65,70,75,80,85}, 1), "20-24", "25-29", "30-34", "35-39", "40-44", "45-49", "50-54", "55-59", "60-64", "65-69", "70-74", "75-79", "80-84", "85+")</f>
        <v>25-29</v>
      </c>
      <c r="D2837" t="s">
        <v>7</v>
      </c>
    </row>
    <row r="2838" spans="1:4">
      <c r="A2838" t="s">
        <v>6</v>
      </c>
      <c r="B2838">
        <v>33</v>
      </c>
      <c r="C2838" t="str">
        <f>CHOOSE(MATCH(B2838, {20,25,30,35,40,45,50,55,60,65,70,75,80,85}, 1), "20-24", "25-29", "30-34", "35-39", "40-44", "45-49", "50-54", "55-59", "60-64", "65-69", "70-74", "75-79", "80-84", "85+")</f>
        <v>30-34</v>
      </c>
      <c r="D2838" t="s">
        <v>8</v>
      </c>
    </row>
    <row r="2839" spans="1:4">
      <c r="A2839" t="s">
        <v>6</v>
      </c>
      <c r="B2839">
        <v>61</v>
      </c>
      <c r="C2839" t="str">
        <f>CHOOSE(MATCH(B2839, {20,25,30,35,40,45,50,55,60,65,70,75,80,85}, 1), "20-24", "25-29", "30-34", "35-39", "40-44", "45-49", "50-54", "55-59", "60-64", "65-69", "70-74", "75-79", "80-84", "85+")</f>
        <v>60-64</v>
      </c>
      <c r="D2839" t="s">
        <v>7</v>
      </c>
    </row>
    <row r="2840" spans="1:4">
      <c r="A2840" t="s">
        <v>6</v>
      </c>
      <c r="B2840">
        <v>37</v>
      </c>
      <c r="C2840" t="str">
        <f>CHOOSE(MATCH(B2840, {20,25,30,35,40,45,50,55,60,65,70,75,80,85}, 1), "20-24", "25-29", "30-34", "35-39", "40-44", "45-49", "50-54", "55-59", "60-64", "65-69", "70-74", "75-79", "80-84", "85+")</f>
        <v>35-39</v>
      </c>
      <c r="D2840" t="s">
        <v>7</v>
      </c>
    </row>
    <row r="2841" spans="1:4">
      <c r="A2841" t="s">
        <v>6</v>
      </c>
      <c r="B2841">
        <v>24</v>
      </c>
      <c r="C2841" t="str">
        <f>CHOOSE(MATCH(B2841, {20,25,30,35,40,45,50,55,60,65,70,75,80,85}, 1), "20-24", "25-29", "30-34", "35-39", "40-44", "45-49", "50-54", "55-59", "60-64", "65-69", "70-74", "75-79", "80-84", "85+")</f>
        <v>20-24</v>
      </c>
      <c r="D2841" t="s">
        <v>7</v>
      </c>
    </row>
    <row r="2842" spans="1:4">
      <c r="A2842" t="s">
        <v>6</v>
      </c>
      <c r="B2842">
        <v>34</v>
      </c>
      <c r="C2842" t="str">
        <f>CHOOSE(MATCH(B2842, {20,25,30,35,40,45,50,55,60,65,70,75,80,85}, 1), "20-24", "25-29", "30-34", "35-39", "40-44", "45-49", "50-54", "55-59", "60-64", "65-69", "70-74", "75-79", "80-84", "85+")</f>
        <v>30-34</v>
      </c>
      <c r="D2842" t="s">
        <v>8</v>
      </c>
    </row>
    <row r="2843" spans="1:4">
      <c r="A2843" t="s">
        <v>6</v>
      </c>
      <c r="B2843">
        <v>52</v>
      </c>
      <c r="C2843" t="str">
        <f>CHOOSE(MATCH(B2843, {20,25,30,35,40,45,50,55,60,65,70,75,80,85}, 1), "20-24", "25-29", "30-34", "35-39", "40-44", "45-49", "50-54", "55-59", "60-64", "65-69", "70-74", "75-79", "80-84", "85+")</f>
        <v>50-54</v>
      </c>
      <c r="D2843" t="s">
        <v>7</v>
      </c>
    </row>
    <row r="2844" spans="1:4">
      <c r="A2844" t="s">
        <v>6</v>
      </c>
      <c r="B2844">
        <v>67</v>
      </c>
      <c r="C2844" t="str">
        <f>CHOOSE(MATCH(B2844, {20,25,30,35,40,45,50,55,60,65,70,75,80,85}, 1), "20-24", "25-29", "30-34", "35-39", "40-44", "45-49", "50-54", "55-59", "60-64", "65-69", "70-74", "75-79", "80-84", "85+")</f>
        <v>65-69</v>
      </c>
      <c r="D2844" t="s">
        <v>7</v>
      </c>
    </row>
    <row r="2845" spans="1:4">
      <c r="A2845" t="s">
        <v>6</v>
      </c>
      <c r="B2845">
        <v>44</v>
      </c>
      <c r="C2845" t="str">
        <f>CHOOSE(MATCH(B2845, {20,25,30,35,40,45,50,55,60,65,70,75,80,85}, 1), "20-24", "25-29", "30-34", "35-39", "40-44", "45-49", "50-54", "55-59", "60-64", "65-69", "70-74", "75-79", "80-84", "85+")</f>
        <v>40-44</v>
      </c>
      <c r="D2845" t="s">
        <v>7</v>
      </c>
    </row>
    <row r="2846" spans="1:4">
      <c r="A2846" t="s">
        <v>6</v>
      </c>
      <c r="B2846">
        <v>34</v>
      </c>
      <c r="C2846" t="str">
        <f>CHOOSE(MATCH(B2846, {20,25,30,35,40,45,50,55,60,65,70,75,80,85}, 1), "20-24", "25-29", "30-34", "35-39", "40-44", "45-49", "50-54", "55-59", "60-64", "65-69", "70-74", "75-79", "80-84", "85+")</f>
        <v>30-34</v>
      </c>
      <c r="D2846" t="s">
        <v>7</v>
      </c>
    </row>
    <row r="2847" spans="1:4">
      <c r="A2847" t="s">
        <v>6</v>
      </c>
      <c r="B2847">
        <v>29</v>
      </c>
      <c r="C2847" t="str">
        <f>CHOOSE(MATCH(B2847, {20,25,30,35,40,45,50,55,60,65,70,75,80,85}, 1), "20-24", "25-29", "30-34", "35-39", "40-44", "45-49", "50-54", "55-59", "60-64", "65-69", "70-74", "75-79", "80-84", "85+")</f>
        <v>25-29</v>
      </c>
      <c r="D2847" t="s">
        <v>8</v>
      </c>
    </row>
    <row r="2848" spans="1:4">
      <c r="A2848" t="s">
        <v>6</v>
      </c>
      <c r="B2848">
        <v>79</v>
      </c>
      <c r="C2848" t="str">
        <f>CHOOSE(MATCH(B2848, {20,25,30,35,40,45,50,55,60,65,70,75,80,85}, 1), "20-24", "25-29", "30-34", "35-39", "40-44", "45-49", "50-54", "55-59", "60-64", "65-69", "70-74", "75-79", "80-84", "85+")</f>
        <v>75-79</v>
      </c>
      <c r="D2848" t="s">
        <v>8</v>
      </c>
    </row>
    <row r="2849" spans="1:4">
      <c r="A2849" t="s">
        <v>6</v>
      </c>
      <c r="B2849">
        <v>44</v>
      </c>
      <c r="C2849" t="str">
        <f>CHOOSE(MATCH(B2849, {20,25,30,35,40,45,50,55,60,65,70,75,80,85}, 1), "20-24", "25-29", "30-34", "35-39", "40-44", "45-49", "50-54", "55-59", "60-64", "65-69", "70-74", "75-79", "80-84", "85+")</f>
        <v>40-44</v>
      </c>
      <c r="D2849" t="s">
        <v>8</v>
      </c>
    </row>
    <row r="2850" spans="1:4">
      <c r="A2850" t="s">
        <v>6</v>
      </c>
      <c r="B2850">
        <v>25</v>
      </c>
      <c r="C2850" t="str">
        <f>CHOOSE(MATCH(B2850, {20,25,30,35,40,45,50,55,60,65,70,75,80,85}, 1), "20-24", "25-29", "30-34", "35-39", "40-44", "45-49", "50-54", "55-59", "60-64", "65-69", "70-74", "75-79", "80-84", "85+")</f>
        <v>25-29</v>
      </c>
      <c r="D2850" t="s">
        <v>8</v>
      </c>
    </row>
    <row r="2851" spans="1:4">
      <c r="A2851" t="s">
        <v>6</v>
      </c>
      <c r="B2851">
        <v>39</v>
      </c>
      <c r="C2851" t="str">
        <f>CHOOSE(MATCH(B2851, {20,25,30,35,40,45,50,55,60,65,70,75,80,85}, 1), "20-24", "25-29", "30-34", "35-39", "40-44", "45-49", "50-54", "55-59", "60-64", "65-69", "70-74", "75-79", "80-84", "85+")</f>
        <v>35-39</v>
      </c>
      <c r="D2851" t="s">
        <v>7</v>
      </c>
    </row>
    <row r="2852" spans="1:4">
      <c r="A2852" t="s">
        <v>6</v>
      </c>
      <c r="B2852">
        <v>76</v>
      </c>
      <c r="C2852" t="str">
        <f>CHOOSE(MATCH(B2852, {20,25,30,35,40,45,50,55,60,65,70,75,80,85}, 1), "20-24", "25-29", "30-34", "35-39", "40-44", "45-49", "50-54", "55-59", "60-64", "65-69", "70-74", "75-79", "80-84", "85+")</f>
        <v>75-79</v>
      </c>
      <c r="D2852" t="s">
        <v>8</v>
      </c>
    </row>
    <row r="2853" spans="1:4">
      <c r="A2853" t="s">
        <v>6</v>
      </c>
      <c r="B2853">
        <v>39</v>
      </c>
      <c r="C2853" t="str">
        <f>CHOOSE(MATCH(B2853, {20,25,30,35,40,45,50,55,60,65,70,75,80,85}, 1), "20-24", "25-29", "30-34", "35-39", "40-44", "45-49", "50-54", "55-59", "60-64", "65-69", "70-74", "75-79", "80-84", "85+")</f>
        <v>35-39</v>
      </c>
      <c r="D2853" t="s">
        <v>8</v>
      </c>
    </row>
    <row r="2854" spans="1:4">
      <c r="A2854" t="s">
        <v>6</v>
      </c>
      <c r="B2854">
        <v>53</v>
      </c>
      <c r="C2854" t="str">
        <f>CHOOSE(MATCH(B2854, {20,25,30,35,40,45,50,55,60,65,70,75,80,85}, 1), "20-24", "25-29", "30-34", "35-39", "40-44", "45-49", "50-54", "55-59", "60-64", "65-69", "70-74", "75-79", "80-84", "85+")</f>
        <v>50-54</v>
      </c>
      <c r="D2854" t="s">
        <v>8</v>
      </c>
    </row>
    <row r="2855" spans="1:4">
      <c r="A2855" t="s">
        <v>6</v>
      </c>
      <c r="B2855">
        <v>30</v>
      </c>
      <c r="C2855" t="str">
        <f>CHOOSE(MATCH(B2855, {20,25,30,35,40,45,50,55,60,65,70,75,80,85}, 1), "20-24", "25-29", "30-34", "35-39", "40-44", "45-49", "50-54", "55-59", "60-64", "65-69", "70-74", "75-79", "80-84", "85+")</f>
        <v>30-34</v>
      </c>
      <c r="D2855" t="s">
        <v>7</v>
      </c>
    </row>
    <row r="2856" spans="1:4">
      <c r="A2856" t="s">
        <v>6</v>
      </c>
      <c r="B2856">
        <v>33</v>
      </c>
      <c r="C2856" t="str">
        <f>CHOOSE(MATCH(B2856, {20,25,30,35,40,45,50,55,60,65,70,75,80,85}, 1), "20-24", "25-29", "30-34", "35-39", "40-44", "45-49", "50-54", "55-59", "60-64", "65-69", "70-74", "75-79", "80-84", "85+")</f>
        <v>30-34</v>
      </c>
      <c r="D2856" t="s">
        <v>8</v>
      </c>
    </row>
    <row r="2857" spans="1:4">
      <c r="A2857" t="s">
        <v>6</v>
      </c>
      <c r="B2857">
        <v>34</v>
      </c>
      <c r="C2857" t="str">
        <f>CHOOSE(MATCH(B2857, {20,25,30,35,40,45,50,55,60,65,70,75,80,85}, 1), "20-24", "25-29", "30-34", "35-39", "40-44", "45-49", "50-54", "55-59", "60-64", "65-69", "70-74", "75-79", "80-84", "85+")</f>
        <v>30-34</v>
      </c>
      <c r="D2857" t="s">
        <v>8</v>
      </c>
    </row>
    <row r="2858" spans="1:4">
      <c r="A2858" t="s">
        <v>6</v>
      </c>
      <c r="B2858">
        <v>80</v>
      </c>
      <c r="C2858" t="str">
        <f>CHOOSE(MATCH(B2858, {20,25,30,35,40,45,50,55,60,65,70,75,80,85}, 1), "20-24", "25-29", "30-34", "35-39", "40-44", "45-49", "50-54", "55-59", "60-64", "65-69", "70-74", "75-79", "80-84", "85+")</f>
        <v>80-84</v>
      </c>
      <c r="D2858" t="s">
        <v>8</v>
      </c>
    </row>
    <row r="2859" spans="1:4">
      <c r="A2859" t="s">
        <v>6</v>
      </c>
      <c r="B2859">
        <v>55</v>
      </c>
      <c r="C2859" t="str">
        <f>CHOOSE(MATCH(B2859, {20,25,30,35,40,45,50,55,60,65,70,75,80,85}, 1), "20-24", "25-29", "30-34", "35-39", "40-44", "45-49", "50-54", "55-59", "60-64", "65-69", "70-74", "75-79", "80-84", "85+")</f>
        <v>55-59</v>
      </c>
      <c r="D2859" t="s">
        <v>7</v>
      </c>
    </row>
    <row r="2860" spans="1:4">
      <c r="A2860" t="s">
        <v>6</v>
      </c>
      <c r="B2860">
        <v>34</v>
      </c>
      <c r="C2860" t="str">
        <f>CHOOSE(MATCH(B2860, {20,25,30,35,40,45,50,55,60,65,70,75,80,85}, 1), "20-24", "25-29", "30-34", "35-39", "40-44", "45-49", "50-54", "55-59", "60-64", "65-69", "70-74", "75-79", "80-84", "85+")</f>
        <v>30-34</v>
      </c>
      <c r="D2860" t="s">
        <v>7</v>
      </c>
    </row>
    <row r="2861" spans="1:4">
      <c r="A2861" t="s">
        <v>6</v>
      </c>
      <c r="B2861">
        <v>47</v>
      </c>
      <c r="C2861" t="str">
        <f>CHOOSE(MATCH(B2861, {20,25,30,35,40,45,50,55,60,65,70,75,80,85}, 1), "20-24", "25-29", "30-34", "35-39", "40-44", "45-49", "50-54", "55-59", "60-64", "65-69", "70-74", "75-79", "80-84", "85+")</f>
        <v>45-49</v>
      </c>
      <c r="D2861" t="s">
        <v>7</v>
      </c>
    </row>
    <row r="2862" spans="1:4">
      <c r="A2862" t="s">
        <v>6</v>
      </c>
      <c r="B2862">
        <v>36</v>
      </c>
      <c r="C2862" t="str">
        <f>CHOOSE(MATCH(B2862, {20,25,30,35,40,45,50,55,60,65,70,75,80,85}, 1), "20-24", "25-29", "30-34", "35-39", "40-44", "45-49", "50-54", "55-59", "60-64", "65-69", "70-74", "75-79", "80-84", "85+")</f>
        <v>35-39</v>
      </c>
      <c r="D2862" t="s">
        <v>7</v>
      </c>
    </row>
    <row r="2863" spans="1:4">
      <c r="A2863" t="s">
        <v>6</v>
      </c>
      <c r="B2863">
        <v>37</v>
      </c>
      <c r="C2863" t="str">
        <f>CHOOSE(MATCH(B2863, {20,25,30,35,40,45,50,55,60,65,70,75,80,85}, 1), "20-24", "25-29", "30-34", "35-39", "40-44", "45-49", "50-54", "55-59", "60-64", "65-69", "70-74", "75-79", "80-84", "85+")</f>
        <v>35-39</v>
      </c>
      <c r="D2863" t="s">
        <v>7</v>
      </c>
    </row>
    <row r="2864" spans="1:4">
      <c r="A2864" t="s">
        <v>6</v>
      </c>
      <c r="B2864">
        <v>22</v>
      </c>
      <c r="C2864" t="str">
        <f>CHOOSE(MATCH(B2864, {20,25,30,35,40,45,50,55,60,65,70,75,80,85}, 1), "20-24", "25-29", "30-34", "35-39", "40-44", "45-49", "50-54", "55-59", "60-64", "65-69", "70-74", "75-79", "80-84", "85+")</f>
        <v>20-24</v>
      </c>
      <c r="D2864" t="s">
        <v>7</v>
      </c>
    </row>
    <row r="2865" spans="1:4">
      <c r="A2865" t="s">
        <v>6</v>
      </c>
      <c r="B2865">
        <v>38</v>
      </c>
      <c r="C2865" t="str">
        <f>CHOOSE(MATCH(B2865, {20,25,30,35,40,45,50,55,60,65,70,75,80,85}, 1), "20-24", "25-29", "30-34", "35-39", "40-44", "45-49", "50-54", "55-59", "60-64", "65-69", "70-74", "75-79", "80-84", "85+")</f>
        <v>35-39</v>
      </c>
      <c r="D2865" t="s">
        <v>7</v>
      </c>
    </row>
    <row r="2866" spans="1:4">
      <c r="A2866" t="s">
        <v>6</v>
      </c>
      <c r="B2866">
        <v>34</v>
      </c>
      <c r="C2866" t="str">
        <f>CHOOSE(MATCH(B2866, {20,25,30,35,40,45,50,55,60,65,70,75,80,85}, 1), "20-24", "25-29", "30-34", "35-39", "40-44", "45-49", "50-54", "55-59", "60-64", "65-69", "70-74", "75-79", "80-84", "85+")</f>
        <v>30-34</v>
      </c>
      <c r="D2866" t="s">
        <v>7</v>
      </c>
    </row>
    <row r="2867" spans="1:4">
      <c r="A2867" t="s">
        <v>6</v>
      </c>
      <c r="B2867">
        <v>42</v>
      </c>
      <c r="C2867" t="str">
        <f>CHOOSE(MATCH(B2867, {20,25,30,35,40,45,50,55,60,65,70,75,80,85}, 1), "20-24", "25-29", "30-34", "35-39", "40-44", "45-49", "50-54", "55-59", "60-64", "65-69", "70-74", "75-79", "80-84", "85+")</f>
        <v>40-44</v>
      </c>
      <c r="D2867" t="s">
        <v>7</v>
      </c>
    </row>
    <row r="2868" spans="1:4">
      <c r="A2868" t="s">
        <v>6</v>
      </c>
      <c r="B2868">
        <v>37</v>
      </c>
      <c r="C2868" t="str">
        <f>CHOOSE(MATCH(B2868, {20,25,30,35,40,45,50,55,60,65,70,75,80,85}, 1), "20-24", "25-29", "30-34", "35-39", "40-44", "45-49", "50-54", "55-59", "60-64", "65-69", "70-74", "75-79", "80-84", "85+")</f>
        <v>35-39</v>
      </c>
      <c r="D2868" t="s">
        <v>7</v>
      </c>
    </row>
    <row r="2869" spans="1:4">
      <c r="A2869" t="s">
        <v>6</v>
      </c>
      <c r="B2869">
        <v>30</v>
      </c>
      <c r="C2869" t="str">
        <f>CHOOSE(MATCH(B2869, {20,25,30,35,40,45,50,55,60,65,70,75,80,85}, 1), "20-24", "25-29", "30-34", "35-39", "40-44", "45-49", "50-54", "55-59", "60-64", "65-69", "70-74", "75-79", "80-84", "85+")</f>
        <v>30-34</v>
      </c>
      <c r="D2869" t="s">
        <v>7</v>
      </c>
    </row>
    <row r="2870" spans="1:4">
      <c r="A2870" t="s">
        <v>6</v>
      </c>
      <c r="B2870">
        <v>29</v>
      </c>
      <c r="C2870" t="str">
        <f>CHOOSE(MATCH(B2870, {20,25,30,35,40,45,50,55,60,65,70,75,80,85}, 1), "20-24", "25-29", "30-34", "35-39", "40-44", "45-49", "50-54", "55-59", "60-64", "65-69", "70-74", "75-79", "80-84", "85+")</f>
        <v>25-29</v>
      </c>
      <c r="D2870" t="s">
        <v>7</v>
      </c>
    </row>
    <row r="2871" spans="1:4">
      <c r="A2871" t="s">
        <v>6</v>
      </c>
      <c r="B2871">
        <v>82</v>
      </c>
      <c r="C2871" t="str">
        <f>CHOOSE(MATCH(B2871, {20,25,30,35,40,45,50,55,60,65,70,75,80,85}, 1), "20-24", "25-29", "30-34", "35-39", "40-44", "45-49", "50-54", "55-59", "60-64", "65-69", "70-74", "75-79", "80-84", "85+")</f>
        <v>80-84</v>
      </c>
      <c r="D2871" t="s">
        <v>7</v>
      </c>
    </row>
    <row r="2872" spans="1:4">
      <c r="A2872" t="s">
        <v>6</v>
      </c>
      <c r="B2872">
        <v>34</v>
      </c>
      <c r="C2872" t="str">
        <f>CHOOSE(MATCH(B2872, {20,25,30,35,40,45,50,55,60,65,70,75,80,85}, 1), "20-24", "25-29", "30-34", "35-39", "40-44", "45-49", "50-54", "55-59", "60-64", "65-69", "70-74", "75-79", "80-84", "85+")</f>
        <v>30-34</v>
      </c>
      <c r="D2872" t="s">
        <v>7</v>
      </c>
    </row>
    <row r="2873" spans="1:4">
      <c r="A2873" t="s">
        <v>6</v>
      </c>
      <c r="B2873">
        <v>40</v>
      </c>
      <c r="C2873" t="str">
        <f>CHOOSE(MATCH(B2873, {20,25,30,35,40,45,50,55,60,65,70,75,80,85}, 1), "20-24", "25-29", "30-34", "35-39", "40-44", "45-49", "50-54", "55-59", "60-64", "65-69", "70-74", "75-79", "80-84", "85+")</f>
        <v>40-44</v>
      </c>
      <c r="D2873" t="s">
        <v>7</v>
      </c>
    </row>
    <row r="2874" spans="1:4">
      <c r="A2874" t="s">
        <v>6</v>
      </c>
      <c r="B2874">
        <v>20</v>
      </c>
      <c r="C2874" t="str">
        <f>CHOOSE(MATCH(B2874, {20,25,30,35,40,45,50,55,60,65,70,75,80,85}, 1), "20-24", "25-29", "30-34", "35-39", "40-44", "45-49", "50-54", "55-59", "60-64", "65-69", "70-74", "75-79", "80-84", "85+")</f>
        <v>20-24</v>
      </c>
      <c r="D2874" t="s">
        <v>8</v>
      </c>
    </row>
    <row r="2875" spans="1:4">
      <c r="A2875" t="s">
        <v>6</v>
      </c>
      <c r="B2875">
        <v>67</v>
      </c>
      <c r="C2875" t="str">
        <f>CHOOSE(MATCH(B2875, {20,25,30,35,40,45,50,55,60,65,70,75,80,85}, 1), "20-24", "25-29", "30-34", "35-39", "40-44", "45-49", "50-54", "55-59", "60-64", "65-69", "70-74", "75-79", "80-84", "85+")</f>
        <v>65-69</v>
      </c>
      <c r="D2875" t="s">
        <v>7</v>
      </c>
    </row>
    <row r="2876" spans="1:4">
      <c r="A2876" t="s">
        <v>6</v>
      </c>
      <c r="B2876">
        <v>28</v>
      </c>
      <c r="C2876" t="str">
        <f>CHOOSE(MATCH(B2876, {20,25,30,35,40,45,50,55,60,65,70,75,80,85}, 1), "20-24", "25-29", "30-34", "35-39", "40-44", "45-49", "50-54", "55-59", "60-64", "65-69", "70-74", "75-79", "80-84", "85+")</f>
        <v>25-29</v>
      </c>
      <c r="D2876" t="s">
        <v>7</v>
      </c>
    </row>
    <row r="2877" spans="1:4">
      <c r="A2877" t="s">
        <v>6</v>
      </c>
      <c r="B2877">
        <v>45</v>
      </c>
      <c r="C2877" t="str">
        <f>CHOOSE(MATCH(B2877, {20,25,30,35,40,45,50,55,60,65,70,75,80,85}, 1), "20-24", "25-29", "30-34", "35-39", "40-44", "45-49", "50-54", "55-59", "60-64", "65-69", "70-74", "75-79", "80-84", "85+")</f>
        <v>45-49</v>
      </c>
      <c r="D2877" t="s">
        <v>8</v>
      </c>
    </row>
    <row r="2878" spans="1:4">
      <c r="A2878" t="s">
        <v>6</v>
      </c>
      <c r="B2878">
        <v>40</v>
      </c>
      <c r="C2878" t="str">
        <f>CHOOSE(MATCH(B2878, {20,25,30,35,40,45,50,55,60,65,70,75,80,85}, 1), "20-24", "25-29", "30-34", "35-39", "40-44", "45-49", "50-54", "55-59", "60-64", "65-69", "70-74", "75-79", "80-84", "85+")</f>
        <v>40-44</v>
      </c>
      <c r="D2878" t="s">
        <v>8</v>
      </c>
    </row>
    <row r="2879" spans="1:4">
      <c r="A2879" t="s">
        <v>6</v>
      </c>
      <c r="B2879">
        <v>24</v>
      </c>
      <c r="C2879" t="str">
        <f>CHOOSE(MATCH(B2879, {20,25,30,35,40,45,50,55,60,65,70,75,80,85}, 1), "20-24", "25-29", "30-34", "35-39", "40-44", "45-49", "50-54", "55-59", "60-64", "65-69", "70-74", "75-79", "80-84", "85+")</f>
        <v>20-24</v>
      </c>
      <c r="D2879" t="s">
        <v>7</v>
      </c>
    </row>
    <row r="2880" spans="1:4">
      <c r="A2880" t="s">
        <v>6</v>
      </c>
      <c r="B2880">
        <v>25</v>
      </c>
      <c r="C2880" t="str">
        <f>CHOOSE(MATCH(B2880, {20,25,30,35,40,45,50,55,60,65,70,75,80,85}, 1), "20-24", "25-29", "30-34", "35-39", "40-44", "45-49", "50-54", "55-59", "60-64", "65-69", "70-74", "75-79", "80-84", "85+")</f>
        <v>25-29</v>
      </c>
      <c r="D2880" t="s">
        <v>8</v>
      </c>
    </row>
    <row r="2881" spans="1:4">
      <c r="A2881" t="s">
        <v>6</v>
      </c>
      <c r="B2881">
        <v>50</v>
      </c>
      <c r="C2881" t="str">
        <f>CHOOSE(MATCH(B2881, {20,25,30,35,40,45,50,55,60,65,70,75,80,85}, 1), "20-24", "25-29", "30-34", "35-39", "40-44", "45-49", "50-54", "55-59", "60-64", "65-69", "70-74", "75-79", "80-84", "85+")</f>
        <v>50-54</v>
      </c>
      <c r="D2881" t="s">
        <v>7</v>
      </c>
    </row>
    <row r="2882" spans="1:4">
      <c r="A2882" t="s">
        <v>6</v>
      </c>
      <c r="B2882">
        <v>26</v>
      </c>
      <c r="C2882" t="str">
        <f>CHOOSE(MATCH(B2882, {20,25,30,35,40,45,50,55,60,65,70,75,80,85}, 1), "20-24", "25-29", "30-34", "35-39", "40-44", "45-49", "50-54", "55-59", "60-64", "65-69", "70-74", "75-79", "80-84", "85+")</f>
        <v>25-29</v>
      </c>
      <c r="D2882" t="s">
        <v>7</v>
      </c>
    </row>
    <row r="2883" spans="1:4">
      <c r="A2883" t="s">
        <v>6</v>
      </c>
      <c r="B2883">
        <v>34</v>
      </c>
      <c r="C2883" t="str">
        <f>CHOOSE(MATCH(B2883, {20,25,30,35,40,45,50,55,60,65,70,75,80,85}, 1), "20-24", "25-29", "30-34", "35-39", "40-44", "45-49", "50-54", "55-59", "60-64", "65-69", "70-74", "75-79", "80-84", "85+")</f>
        <v>30-34</v>
      </c>
      <c r="D2883" t="s">
        <v>7</v>
      </c>
    </row>
    <row r="2884" spans="1:4">
      <c r="A2884" t="s">
        <v>6</v>
      </c>
      <c r="B2884">
        <v>36</v>
      </c>
      <c r="C2884" t="str">
        <f>CHOOSE(MATCH(B2884, {20,25,30,35,40,45,50,55,60,65,70,75,80,85}, 1), "20-24", "25-29", "30-34", "35-39", "40-44", "45-49", "50-54", "55-59", "60-64", "65-69", "70-74", "75-79", "80-84", "85+")</f>
        <v>35-39</v>
      </c>
      <c r="D2884" t="s">
        <v>8</v>
      </c>
    </row>
    <row r="2885" spans="1:4">
      <c r="A2885" t="s">
        <v>6</v>
      </c>
      <c r="B2885">
        <v>37</v>
      </c>
      <c r="C2885" t="str">
        <f>CHOOSE(MATCH(B2885, {20,25,30,35,40,45,50,55,60,65,70,75,80,85}, 1), "20-24", "25-29", "30-34", "35-39", "40-44", "45-49", "50-54", "55-59", "60-64", "65-69", "70-74", "75-79", "80-84", "85+")</f>
        <v>35-39</v>
      </c>
      <c r="D2885" t="s">
        <v>7</v>
      </c>
    </row>
    <row r="2886" spans="1:4">
      <c r="A2886" t="s">
        <v>6</v>
      </c>
      <c r="B2886">
        <v>36</v>
      </c>
      <c r="C2886" t="str">
        <f>CHOOSE(MATCH(B2886, {20,25,30,35,40,45,50,55,60,65,70,75,80,85}, 1), "20-24", "25-29", "30-34", "35-39", "40-44", "45-49", "50-54", "55-59", "60-64", "65-69", "70-74", "75-79", "80-84", "85+")</f>
        <v>35-39</v>
      </c>
      <c r="D2886" t="s">
        <v>7</v>
      </c>
    </row>
    <row r="2887" spans="1:4">
      <c r="A2887" t="s">
        <v>6</v>
      </c>
      <c r="B2887">
        <v>28</v>
      </c>
      <c r="C2887" t="str">
        <f>CHOOSE(MATCH(B2887, {20,25,30,35,40,45,50,55,60,65,70,75,80,85}, 1), "20-24", "25-29", "30-34", "35-39", "40-44", "45-49", "50-54", "55-59", "60-64", "65-69", "70-74", "75-79", "80-84", "85+")</f>
        <v>25-29</v>
      </c>
      <c r="D2887" t="s">
        <v>7</v>
      </c>
    </row>
    <row r="2888" spans="1:4">
      <c r="A2888" t="s">
        <v>6</v>
      </c>
      <c r="B2888">
        <v>44</v>
      </c>
      <c r="C2888" t="str">
        <f>CHOOSE(MATCH(B2888, {20,25,30,35,40,45,50,55,60,65,70,75,80,85}, 1), "20-24", "25-29", "30-34", "35-39", "40-44", "45-49", "50-54", "55-59", "60-64", "65-69", "70-74", "75-79", "80-84", "85+")</f>
        <v>40-44</v>
      </c>
      <c r="D2888" t="s">
        <v>8</v>
      </c>
    </row>
    <row r="2889" spans="1:4">
      <c r="A2889" t="s">
        <v>6</v>
      </c>
      <c r="B2889">
        <v>23</v>
      </c>
      <c r="C2889" t="str">
        <f>CHOOSE(MATCH(B2889, {20,25,30,35,40,45,50,55,60,65,70,75,80,85}, 1), "20-24", "25-29", "30-34", "35-39", "40-44", "45-49", "50-54", "55-59", "60-64", "65-69", "70-74", "75-79", "80-84", "85+")</f>
        <v>20-24</v>
      </c>
      <c r="D2889" t="s">
        <v>7</v>
      </c>
    </row>
    <row r="2890" spans="1:4">
      <c r="A2890" t="s">
        <v>6</v>
      </c>
      <c r="B2890">
        <v>34</v>
      </c>
      <c r="C2890" t="str">
        <f>CHOOSE(MATCH(B2890, {20,25,30,35,40,45,50,55,60,65,70,75,80,85}, 1), "20-24", "25-29", "30-34", "35-39", "40-44", "45-49", "50-54", "55-59", "60-64", "65-69", "70-74", "75-79", "80-84", "85+")</f>
        <v>30-34</v>
      </c>
      <c r="D2890" t="s">
        <v>7</v>
      </c>
    </row>
    <row r="2891" spans="1:4">
      <c r="A2891" t="s">
        <v>6</v>
      </c>
      <c r="B2891">
        <v>29</v>
      </c>
      <c r="C2891" t="str">
        <f>CHOOSE(MATCH(B2891, {20,25,30,35,40,45,50,55,60,65,70,75,80,85}, 1), "20-24", "25-29", "30-34", "35-39", "40-44", "45-49", "50-54", "55-59", "60-64", "65-69", "70-74", "75-79", "80-84", "85+")</f>
        <v>25-29</v>
      </c>
      <c r="D2891" t="s">
        <v>7</v>
      </c>
    </row>
    <row r="2892" spans="1:4">
      <c r="A2892" t="s">
        <v>6</v>
      </c>
      <c r="B2892">
        <v>58</v>
      </c>
      <c r="C2892" t="str">
        <f>CHOOSE(MATCH(B2892, {20,25,30,35,40,45,50,55,60,65,70,75,80,85}, 1), "20-24", "25-29", "30-34", "35-39", "40-44", "45-49", "50-54", "55-59", "60-64", "65-69", "70-74", "75-79", "80-84", "85+")</f>
        <v>55-59</v>
      </c>
      <c r="D2892" t="s">
        <v>7</v>
      </c>
    </row>
    <row r="2893" spans="1:4">
      <c r="A2893" t="s">
        <v>6</v>
      </c>
      <c r="B2893">
        <v>26</v>
      </c>
      <c r="C2893" t="str">
        <f>CHOOSE(MATCH(B2893, {20,25,30,35,40,45,50,55,60,65,70,75,80,85}, 1), "20-24", "25-29", "30-34", "35-39", "40-44", "45-49", "50-54", "55-59", "60-64", "65-69", "70-74", "75-79", "80-84", "85+")</f>
        <v>25-29</v>
      </c>
      <c r="D2893" t="s">
        <v>8</v>
      </c>
    </row>
    <row r="2894" spans="1:4">
      <c r="A2894" t="s">
        <v>6</v>
      </c>
      <c r="B2894">
        <v>23</v>
      </c>
      <c r="C2894" t="str">
        <f>CHOOSE(MATCH(B2894, {20,25,30,35,40,45,50,55,60,65,70,75,80,85}, 1), "20-24", "25-29", "30-34", "35-39", "40-44", "45-49", "50-54", "55-59", "60-64", "65-69", "70-74", "75-79", "80-84", "85+")</f>
        <v>20-24</v>
      </c>
      <c r="D2894" t="s">
        <v>8</v>
      </c>
    </row>
    <row r="2895" spans="1:4">
      <c r="A2895" t="s">
        <v>6</v>
      </c>
      <c r="B2895">
        <v>26</v>
      </c>
      <c r="C2895" t="str">
        <f>CHOOSE(MATCH(B2895, {20,25,30,35,40,45,50,55,60,65,70,75,80,85}, 1), "20-24", "25-29", "30-34", "35-39", "40-44", "45-49", "50-54", "55-59", "60-64", "65-69", "70-74", "75-79", "80-84", "85+")</f>
        <v>25-29</v>
      </c>
      <c r="D2895" t="s">
        <v>8</v>
      </c>
    </row>
    <row r="2896" spans="1:4">
      <c r="A2896" t="s">
        <v>6</v>
      </c>
      <c r="B2896">
        <v>62</v>
      </c>
      <c r="C2896" t="str">
        <f>CHOOSE(MATCH(B2896, {20,25,30,35,40,45,50,55,60,65,70,75,80,85}, 1), "20-24", "25-29", "30-34", "35-39", "40-44", "45-49", "50-54", "55-59", "60-64", "65-69", "70-74", "75-79", "80-84", "85+")</f>
        <v>60-64</v>
      </c>
      <c r="D2896" t="s">
        <v>7</v>
      </c>
    </row>
    <row r="2897" spans="1:4">
      <c r="A2897" t="s">
        <v>6</v>
      </c>
      <c r="B2897">
        <v>48</v>
      </c>
      <c r="C2897" t="str">
        <f>CHOOSE(MATCH(B2897, {20,25,30,35,40,45,50,55,60,65,70,75,80,85}, 1), "20-24", "25-29", "30-34", "35-39", "40-44", "45-49", "50-54", "55-59", "60-64", "65-69", "70-74", "75-79", "80-84", "85+")</f>
        <v>45-49</v>
      </c>
      <c r="D2897" t="s">
        <v>7</v>
      </c>
    </row>
    <row r="2898" spans="1:4">
      <c r="A2898" t="s">
        <v>6</v>
      </c>
      <c r="B2898">
        <v>25</v>
      </c>
      <c r="C2898" t="str">
        <f>CHOOSE(MATCH(B2898, {20,25,30,35,40,45,50,55,60,65,70,75,80,85}, 1), "20-24", "25-29", "30-34", "35-39", "40-44", "45-49", "50-54", "55-59", "60-64", "65-69", "70-74", "75-79", "80-84", "85+")</f>
        <v>25-29</v>
      </c>
      <c r="D2898" t="s">
        <v>7</v>
      </c>
    </row>
    <row r="2899" spans="1:4">
      <c r="A2899" t="s">
        <v>6</v>
      </c>
      <c r="B2899">
        <v>58</v>
      </c>
      <c r="C2899" t="str">
        <f>CHOOSE(MATCH(B2899, {20,25,30,35,40,45,50,55,60,65,70,75,80,85}, 1), "20-24", "25-29", "30-34", "35-39", "40-44", "45-49", "50-54", "55-59", "60-64", "65-69", "70-74", "75-79", "80-84", "85+")</f>
        <v>55-59</v>
      </c>
      <c r="D2899" t="s">
        <v>8</v>
      </c>
    </row>
    <row r="2900" spans="1:4">
      <c r="A2900" t="s">
        <v>6</v>
      </c>
      <c r="B2900">
        <v>28</v>
      </c>
      <c r="C2900" t="str">
        <f>CHOOSE(MATCH(B2900, {20,25,30,35,40,45,50,55,60,65,70,75,80,85}, 1), "20-24", "25-29", "30-34", "35-39", "40-44", "45-49", "50-54", "55-59", "60-64", "65-69", "70-74", "75-79", "80-84", "85+")</f>
        <v>25-29</v>
      </c>
      <c r="D2900" t="s">
        <v>7</v>
      </c>
    </row>
    <row r="2901" spans="1:4">
      <c r="A2901" t="s">
        <v>6</v>
      </c>
      <c r="B2901">
        <v>47</v>
      </c>
      <c r="C2901" t="str">
        <f>CHOOSE(MATCH(B2901, {20,25,30,35,40,45,50,55,60,65,70,75,80,85}, 1), "20-24", "25-29", "30-34", "35-39", "40-44", "45-49", "50-54", "55-59", "60-64", "65-69", "70-74", "75-79", "80-84", "85+")</f>
        <v>45-49</v>
      </c>
      <c r="D2901" t="s">
        <v>7</v>
      </c>
    </row>
    <row r="2902" spans="1:4">
      <c r="A2902" t="s">
        <v>6</v>
      </c>
      <c r="B2902">
        <v>36</v>
      </c>
      <c r="C2902" t="str">
        <f>CHOOSE(MATCH(B2902, {20,25,30,35,40,45,50,55,60,65,70,75,80,85}, 1), "20-24", "25-29", "30-34", "35-39", "40-44", "45-49", "50-54", "55-59", "60-64", "65-69", "70-74", "75-79", "80-84", "85+")</f>
        <v>35-39</v>
      </c>
      <c r="D2902" t="s">
        <v>7</v>
      </c>
    </row>
    <row r="2903" spans="1:4">
      <c r="A2903" t="s">
        <v>6</v>
      </c>
      <c r="B2903">
        <v>63</v>
      </c>
      <c r="C2903" t="str">
        <f>CHOOSE(MATCH(B2903, {20,25,30,35,40,45,50,55,60,65,70,75,80,85}, 1), "20-24", "25-29", "30-34", "35-39", "40-44", "45-49", "50-54", "55-59", "60-64", "65-69", "70-74", "75-79", "80-84", "85+")</f>
        <v>60-64</v>
      </c>
      <c r="D2903" t="s">
        <v>8</v>
      </c>
    </row>
    <row r="2904" spans="1:4">
      <c r="A2904" t="s">
        <v>6</v>
      </c>
      <c r="B2904">
        <v>49</v>
      </c>
      <c r="C2904" t="str">
        <f>CHOOSE(MATCH(B2904, {20,25,30,35,40,45,50,55,60,65,70,75,80,85}, 1), "20-24", "25-29", "30-34", "35-39", "40-44", "45-49", "50-54", "55-59", "60-64", "65-69", "70-74", "75-79", "80-84", "85+")</f>
        <v>45-49</v>
      </c>
      <c r="D2904" t="s">
        <v>7</v>
      </c>
    </row>
    <row r="2905" spans="1:4">
      <c r="A2905" t="s">
        <v>6</v>
      </c>
      <c r="B2905">
        <v>46</v>
      </c>
      <c r="C2905" t="str">
        <f>CHOOSE(MATCH(B2905, {20,25,30,35,40,45,50,55,60,65,70,75,80,85}, 1), "20-24", "25-29", "30-34", "35-39", "40-44", "45-49", "50-54", "55-59", "60-64", "65-69", "70-74", "75-79", "80-84", "85+")</f>
        <v>45-49</v>
      </c>
      <c r="D2905" t="s">
        <v>8</v>
      </c>
    </row>
    <row r="2906" spans="1:4">
      <c r="A2906" t="s">
        <v>6</v>
      </c>
      <c r="B2906">
        <v>39</v>
      </c>
      <c r="C2906" t="str">
        <f>CHOOSE(MATCH(B2906, {20,25,30,35,40,45,50,55,60,65,70,75,80,85}, 1), "20-24", "25-29", "30-34", "35-39", "40-44", "45-49", "50-54", "55-59", "60-64", "65-69", "70-74", "75-79", "80-84", "85+")</f>
        <v>35-39</v>
      </c>
      <c r="D2906" t="s">
        <v>7</v>
      </c>
    </row>
    <row r="2907" spans="1:4">
      <c r="A2907" t="s">
        <v>6</v>
      </c>
      <c r="B2907">
        <v>60</v>
      </c>
      <c r="C2907" t="str">
        <f>CHOOSE(MATCH(B2907, {20,25,30,35,40,45,50,55,60,65,70,75,80,85}, 1), "20-24", "25-29", "30-34", "35-39", "40-44", "45-49", "50-54", "55-59", "60-64", "65-69", "70-74", "75-79", "80-84", "85+")</f>
        <v>60-64</v>
      </c>
      <c r="D2907" t="s">
        <v>8</v>
      </c>
    </row>
    <row r="2908" spans="1:4">
      <c r="A2908" t="s">
        <v>6</v>
      </c>
      <c r="B2908">
        <v>23</v>
      </c>
      <c r="C2908" t="str">
        <f>CHOOSE(MATCH(B2908, {20,25,30,35,40,45,50,55,60,65,70,75,80,85}, 1), "20-24", "25-29", "30-34", "35-39", "40-44", "45-49", "50-54", "55-59", "60-64", "65-69", "70-74", "75-79", "80-84", "85+")</f>
        <v>20-24</v>
      </c>
      <c r="D2908" t="s">
        <v>8</v>
      </c>
    </row>
    <row r="2909" spans="1:4">
      <c r="A2909" t="s">
        <v>6</v>
      </c>
      <c r="B2909">
        <v>24</v>
      </c>
      <c r="C2909" t="str">
        <f>CHOOSE(MATCH(B2909, {20,25,30,35,40,45,50,55,60,65,70,75,80,85}, 1), "20-24", "25-29", "30-34", "35-39", "40-44", "45-49", "50-54", "55-59", "60-64", "65-69", "70-74", "75-79", "80-84", "85+")</f>
        <v>20-24</v>
      </c>
      <c r="D2909" t="s">
        <v>7</v>
      </c>
    </row>
    <row r="2910" spans="1:4">
      <c r="A2910" t="s">
        <v>6</v>
      </c>
      <c r="B2910">
        <v>40</v>
      </c>
      <c r="C2910" t="str">
        <f>CHOOSE(MATCH(B2910, {20,25,30,35,40,45,50,55,60,65,70,75,80,85}, 1), "20-24", "25-29", "30-34", "35-39", "40-44", "45-49", "50-54", "55-59", "60-64", "65-69", "70-74", "75-79", "80-84", "85+")</f>
        <v>40-44</v>
      </c>
      <c r="D2910" t="s">
        <v>8</v>
      </c>
    </row>
    <row r="2911" spans="1:4">
      <c r="A2911" t="s">
        <v>6</v>
      </c>
      <c r="B2911">
        <v>40</v>
      </c>
      <c r="C2911" t="str">
        <f>CHOOSE(MATCH(B2911, {20,25,30,35,40,45,50,55,60,65,70,75,80,85}, 1), "20-24", "25-29", "30-34", "35-39", "40-44", "45-49", "50-54", "55-59", "60-64", "65-69", "70-74", "75-79", "80-84", "85+")</f>
        <v>40-44</v>
      </c>
      <c r="D2911" t="s">
        <v>7</v>
      </c>
    </row>
    <row r="2912" spans="1:4">
      <c r="A2912" t="s">
        <v>6</v>
      </c>
      <c r="B2912">
        <v>44</v>
      </c>
      <c r="C2912" t="str">
        <f>CHOOSE(MATCH(B2912, {20,25,30,35,40,45,50,55,60,65,70,75,80,85}, 1), "20-24", "25-29", "30-34", "35-39", "40-44", "45-49", "50-54", "55-59", "60-64", "65-69", "70-74", "75-79", "80-84", "85+")</f>
        <v>40-44</v>
      </c>
      <c r="D2912" t="s">
        <v>7</v>
      </c>
    </row>
    <row r="2913" spans="1:4">
      <c r="A2913" t="s">
        <v>6</v>
      </c>
      <c r="B2913">
        <v>68</v>
      </c>
      <c r="C2913" t="str">
        <f>CHOOSE(MATCH(B2913, {20,25,30,35,40,45,50,55,60,65,70,75,80,85}, 1), "20-24", "25-29", "30-34", "35-39", "40-44", "45-49", "50-54", "55-59", "60-64", "65-69", "70-74", "75-79", "80-84", "85+")</f>
        <v>65-69</v>
      </c>
      <c r="D2913" t="s">
        <v>7</v>
      </c>
    </row>
    <row r="2914" spans="1:4">
      <c r="A2914" t="s">
        <v>6</v>
      </c>
      <c r="B2914">
        <v>64</v>
      </c>
      <c r="C2914" t="str">
        <f>CHOOSE(MATCH(B2914, {20,25,30,35,40,45,50,55,60,65,70,75,80,85}, 1), "20-24", "25-29", "30-34", "35-39", "40-44", "45-49", "50-54", "55-59", "60-64", "65-69", "70-74", "75-79", "80-84", "85+")</f>
        <v>60-64</v>
      </c>
      <c r="D2914" t="s">
        <v>8</v>
      </c>
    </row>
    <row r="2915" spans="1:4">
      <c r="A2915" t="s">
        <v>6</v>
      </c>
      <c r="B2915">
        <v>47</v>
      </c>
      <c r="C2915" t="str">
        <f>CHOOSE(MATCH(B2915, {20,25,30,35,40,45,50,55,60,65,70,75,80,85}, 1), "20-24", "25-29", "30-34", "35-39", "40-44", "45-49", "50-54", "55-59", "60-64", "65-69", "70-74", "75-79", "80-84", "85+")</f>
        <v>45-49</v>
      </c>
      <c r="D2915" t="s">
        <v>7</v>
      </c>
    </row>
    <row r="2916" spans="1:4">
      <c r="A2916" t="s">
        <v>6</v>
      </c>
      <c r="B2916">
        <v>29</v>
      </c>
      <c r="C2916" t="str">
        <f>CHOOSE(MATCH(B2916, {20,25,30,35,40,45,50,55,60,65,70,75,80,85}, 1), "20-24", "25-29", "30-34", "35-39", "40-44", "45-49", "50-54", "55-59", "60-64", "65-69", "70-74", "75-79", "80-84", "85+")</f>
        <v>25-29</v>
      </c>
      <c r="D2916" t="s">
        <v>7</v>
      </c>
    </row>
    <row r="2917" spans="1:4">
      <c r="A2917" t="s">
        <v>6</v>
      </c>
      <c r="B2917">
        <v>34</v>
      </c>
      <c r="C2917" t="str">
        <f>CHOOSE(MATCH(B2917, {20,25,30,35,40,45,50,55,60,65,70,75,80,85}, 1), "20-24", "25-29", "30-34", "35-39", "40-44", "45-49", "50-54", "55-59", "60-64", "65-69", "70-74", "75-79", "80-84", "85+")</f>
        <v>30-34</v>
      </c>
      <c r="D2917" t="s">
        <v>7</v>
      </c>
    </row>
    <row r="2918" spans="1:4">
      <c r="A2918" t="s">
        <v>6</v>
      </c>
      <c r="B2918">
        <v>55</v>
      </c>
      <c r="C2918" t="str">
        <f>CHOOSE(MATCH(B2918, {20,25,30,35,40,45,50,55,60,65,70,75,80,85}, 1), "20-24", "25-29", "30-34", "35-39", "40-44", "45-49", "50-54", "55-59", "60-64", "65-69", "70-74", "75-79", "80-84", "85+")</f>
        <v>55-59</v>
      </c>
      <c r="D2918" t="s">
        <v>8</v>
      </c>
    </row>
    <row r="2919" spans="1:4">
      <c r="A2919" t="s">
        <v>6</v>
      </c>
      <c r="B2919">
        <v>50</v>
      </c>
      <c r="C2919" t="str">
        <f>CHOOSE(MATCH(B2919, {20,25,30,35,40,45,50,55,60,65,70,75,80,85}, 1), "20-24", "25-29", "30-34", "35-39", "40-44", "45-49", "50-54", "55-59", "60-64", "65-69", "70-74", "75-79", "80-84", "85+")</f>
        <v>50-54</v>
      </c>
      <c r="D2919" t="s">
        <v>7</v>
      </c>
    </row>
    <row r="2920" spans="1:4">
      <c r="A2920" t="s">
        <v>6</v>
      </c>
      <c r="B2920">
        <v>42</v>
      </c>
      <c r="C2920" t="str">
        <f>CHOOSE(MATCH(B2920, {20,25,30,35,40,45,50,55,60,65,70,75,80,85}, 1), "20-24", "25-29", "30-34", "35-39", "40-44", "45-49", "50-54", "55-59", "60-64", "65-69", "70-74", "75-79", "80-84", "85+")</f>
        <v>40-44</v>
      </c>
      <c r="D2920" t="s">
        <v>7</v>
      </c>
    </row>
    <row r="2921" spans="1:4">
      <c r="A2921" t="s">
        <v>6</v>
      </c>
      <c r="B2921">
        <v>26</v>
      </c>
      <c r="C2921" t="str">
        <f>CHOOSE(MATCH(B2921, {20,25,30,35,40,45,50,55,60,65,70,75,80,85}, 1), "20-24", "25-29", "30-34", "35-39", "40-44", "45-49", "50-54", "55-59", "60-64", "65-69", "70-74", "75-79", "80-84", "85+")</f>
        <v>25-29</v>
      </c>
      <c r="D2921" t="s">
        <v>7</v>
      </c>
    </row>
    <row r="2922" spans="1:4">
      <c r="A2922" t="s">
        <v>6</v>
      </c>
      <c r="B2922">
        <v>30</v>
      </c>
      <c r="C2922" t="str">
        <f>CHOOSE(MATCH(B2922, {20,25,30,35,40,45,50,55,60,65,70,75,80,85}, 1), "20-24", "25-29", "30-34", "35-39", "40-44", "45-49", "50-54", "55-59", "60-64", "65-69", "70-74", "75-79", "80-84", "85+")</f>
        <v>30-34</v>
      </c>
      <c r="D2922" t="s">
        <v>7</v>
      </c>
    </row>
    <row r="2923" spans="1:4">
      <c r="A2923" t="s">
        <v>6</v>
      </c>
      <c r="B2923">
        <v>28</v>
      </c>
      <c r="C2923" t="str">
        <f>CHOOSE(MATCH(B2923, {20,25,30,35,40,45,50,55,60,65,70,75,80,85}, 1), "20-24", "25-29", "30-34", "35-39", "40-44", "45-49", "50-54", "55-59", "60-64", "65-69", "70-74", "75-79", "80-84", "85+")</f>
        <v>25-29</v>
      </c>
      <c r="D2923" t="s">
        <v>7</v>
      </c>
    </row>
    <row r="2924" spans="1:4">
      <c r="A2924" t="s">
        <v>6</v>
      </c>
      <c r="B2924">
        <v>49</v>
      </c>
      <c r="C2924" t="str">
        <f>CHOOSE(MATCH(B2924, {20,25,30,35,40,45,50,55,60,65,70,75,80,85}, 1), "20-24", "25-29", "30-34", "35-39", "40-44", "45-49", "50-54", "55-59", "60-64", "65-69", "70-74", "75-79", "80-84", "85+")</f>
        <v>45-49</v>
      </c>
      <c r="D2924" t="s">
        <v>7</v>
      </c>
    </row>
    <row r="2925" spans="1:4">
      <c r="A2925" t="s">
        <v>6</v>
      </c>
      <c r="B2925">
        <v>43</v>
      </c>
      <c r="C2925" t="str">
        <f>CHOOSE(MATCH(B2925, {20,25,30,35,40,45,50,55,60,65,70,75,80,85}, 1), "20-24", "25-29", "30-34", "35-39", "40-44", "45-49", "50-54", "55-59", "60-64", "65-69", "70-74", "75-79", "80-84", "85+")</f>
        <v>40-44</v>
      </c>
      <c r="D2925" t="s">
        <v>7</v>
      </c>
    </row>
    <row r="2926" spans="1:4">
      <c r="A2926" t="s">
        <v>6</v>
      </c>
      <c r="B2926">
        <v>52</v>
      </c>
      <c r="C2926" t="str">
        <f>CHOOSE(MATCH(B2926, {20,25,30,35,40,45,50,55,60,65,70,75,80,85}, 1), "20-24", "25-29", "30-34", "35-39", "40-44", "45-49", "50-54", "55-59", "60-64", "65-69", "70-74", "75-79", "80-84", "85+")</f>
        <v>50-54</v>
      </c>
      <c r="D2926" t="s">
        <v>8</v>
      </c>
    </row>
    <row r="2927" spans="1:4">
      <c r="A2927" t="s">
        <v>6</v>
      </c>
      <c r="B2927">
        <v>35</v>
      </c>
      <c r="C2927" t="str">
        <f>CHOOSE(MATCH(B2927, {20,25,30,35,40,45,50,55,60,65,70,75,80,85}, 1), "20-24", "25-29", "30-34", "35-39", "40-44", "45-49", "50-54", "55-59", "60-64", "65-69", "70-74", "75-79", "80-84", "85+")</f>
        <v>35-39</v>
      </c>
      <c r="D2927" t="s">
        <v>8</v>
      </c>
    </row>
    <row r="2928" spans="1:4">
      <c r="A2928" t="s">
        <v>6</v>
      </c>
      <c r="B2928">
        <v>55</v>
      </c>
      <c r="C2928" t="str">
        <f>CHOOSE(MATCH(B2928, {20,25,30,35,40,45,50,55,60,65,70,75,80,85}, 1), "20-24", "25-29", "30-34", "35-39", "40-44", "45-49", "50-54", "55-59", "60-64", "65-69", "70-74", "75-79", "80-84", "85+")</f>
        <v>55-59</v>
      </c>
      <c r="D2928" t="s">
        <v>7</v>
      </c>
    </row>
    <row r="2929" spans="1:4">
      <c r="A2929" t="s">
        <v>6</v>
      </c>
      <c r="B2929">
        <v>81</v>
      </c>
      <c r="C2929" t="str">
        <f>CHOOSE(MATCH(B2929, {20,25,30,35,40,45,50,55,60,65,70,75,80,85}, 1), "20-24", "25-29", "30-34", "35-39", "40-44", "45-49", "50-54", "55-59", "60-64", "65-69", "70-74", "75-79", "80-84", "85+")</f>
        <v>80-84</v>
      </c>
      <c r="D2929" t="s">
        <v>7</v>
      </c>
    </row>
    <row r="2930" spans="1:4">
      <c r="A2930" t="s">
        <v>6</v>
      </c>
      <c r="B2930">
        <v>77</v>
      </c>
      <c r="C2930" t="str">
        <f>CHOOSE(MATCH(B2930, {20,25,30,35,40,45,50,55,60,65,70,75,80,85}, 1), "20-24", "25-29", "30-34", "35-39", "40-44", "45-49", "50-54", "55-59", "60-64", "65-69", "70-74", "75-79", "80-84", "85+")</f>
        <v>75-79</v>
      </c>
      <c r="D2930" t="s">
        <v>8</v>
      </c>
    </row>
    <row r="2931" spans="1:4">
      <c r="A2931" t="s">
        <v>6</v>
      </c>
      <c r="B2931">
        <v>63</v>
      </c>
      <c r="C2931" t="str">
        <f>CHOOSE(MATCH(B2931, {20,25,30,35,40,45,50,55,60,65,70,75,80,85}, 1), "20-24", "25-29", "30-34", "35-39", "40-44", "45-49", "50-54", "55-59", "60-64", "65-69", "70-74", "75-79", "80-84", "85+")</f>
        <v>60-64</v>
      </c>
      <c r="D2931" t="s">
        <v>7</v>
      </c>
    </row>
    <row r="2932" spans="1:4">
      <c r="A2932" t="s">
        <v>6</v>
      </c>
      <c r="B2932">
        <v>26</v>
      </c>
      <c r="C2932" t="str">
        <f>CHOOSE(MATCH(B2932, {20,25,30,35,40,45,50,55,60,65,70,75,80,85}, 1), "20-24", "25-29", "30-34", "35-39", "40-44", "45-49", "50-54", "55-59", "60-64", "65-69", "70-74", "75-79", "80-84", "85+")</f>
        <v>25-29</v>
      </c>
      <c r="D2932" t="s">
        <v>7</v>
      </c>
    </row>
    <row r="2933" spans="1:4">
      <c r="A2933" t="s">
        <v>6</v>
      </c>
      <c r="B2933">
        <v>41</v>
      </c>
      <c r="C2933" t="str">
        <f>CHOOSE(MATCH(B2933, {20,25,30,35,40,45,50,55,60,65,70,75,80,85}, 1), "20-24", "25-29", "30-34", "35-39", "40-44", "45-49", "50-54", "55-59", "60-64", "65-69", "70-74", "75-79", "80-84", "85+")</f>
        <v>40-44</v>
      </c>
      <c r="D2933" t="s">
        <v>8</v>
      </c>
    </row>
    <row r="2934" spans="1:4">
      <c r="A2934" t="s">
        <v>6</v>
      </c>
      <c r="B2934">
        <v>31</v>
      </c>
      <c r="C2934" t="str">
        <f>CHOOSE(MATCH(B2934, {20,25,30,35,40,45,50,55,60,65,70,75,80,85}, 1), "20-24", "25-29", "30-34", "35-39", "40-44", "45-49", "50-54", "55-59", "60-64", "65-69", "70-74", "75-79", "80-84", "85+")</f>
        <v>30-34</v>
      </c>
      <c r="D2934" t="s">
        <v>7</v>
      </c>
    </row>
    <row r="2935" spans="1:4">
      <c r="A2935" t="s">
        <v>6</v>
      </c>
      <c r="B2935">
        <v>28</v>
      </c>
      <c r="C2935" t="str">
        <f>CHOOSE(MATCH(B2935, {20,25,30,35,40,45,50,55,60,65,70,75,80,85}, 1), "20-24", "25-29", "30-34", "35-39", "40-44", "45-49", "50-54", "55-59", "60-64", "65-69", "70-74", "75-79", "80-84", "85+")</f>
        <v>25-29</v>
      </c>
      <c r="D2935" t="s">
        <v>7</v>
      </c>
    </row>
    <row r="2936" spans="1:4">
      <c r="A2936" t="s">
        <v>6</v>
      </c>
      <c r="B2936">
        <v>53</v>
      </c>
      <c r="C2936" t="str">
        <f>CHOOSE(MATCH(B2936, {20,25,30,35,40,45,50,55,60,65,70,75,80,85}, 1), "20-24", "25-29", "30-34", "35-39", "40-44", "45-49", "50-54", "55-59", "60-64", "65-69", "70-74", "75-79", "80-84", "85+")</f>
        <v>50-54</v>
      </c>
      <c r="D2936" t="s">
        <v>8</v>
      </c>
    </row>
    <row r="2937" spans="1:4">
      <c r="A2937" t="s">
        <v>6</v>
      </c>
      <c r="B2937">
        <v>42</v>
      </c>
      <c r="C2937" t="str">
        <f>CHOOSE(MATCH(B2937, {20,25,30,35,40,45,50,55,60,65,70,75,80,85}, 1), "20-24", "25-29", "30-34", "35-39", "40-44", "45-49", "50-54", "55-59", "60-64", "65-69", "70-74", "75-79", "80-84", "85+")</f>
        <v>40-44</v>
      </c>
      <c r="D2937" t="s">
        <v>7</v>
      </c>
    </row>
    <row r="2938" spans="1:4">
      <c r="A2938" t="s">
        <v>6</v>
      </c>
      <c r="B2938">
        <v>54</v>
      </c>
      <c r="C2938" t="str">
        <f>CHOOSE(MATCH(B2938, {20,25,30,35,40,45,50,55,60,65,70,75,80,85}, 1), "20-24", "25-29", "30-34", "35-39", "40-44", "45-49", "50-54", "55-59", "60-64", "65-69", "70-74", "75-79", "80-84", "85+")</f>
        <v>50-54</v>
      </c>
      <c r="D2938" t="s">
        <v>7</v>
      </c>
    </row>
    <row r="2939" spans="1:4">
      <c r="A2939" t="s">
        <v>6</v>
      </c>
      <c r="B2939">
        <v>26</v>
      </c>
      <c r="C2939" t="str">
        <f>CHOOSE(MATCH(B2939, {20,25,30,35,40,45,50,55,60,65,70,75,80,85}, 1), "20-24", "25-29", "30-34", "35-39", "40-44", "45-49", "50-54", "55-59", "60-64", "65-69", "70-74", "75-79", "80-84", "85+")</f>
        <v>25-29</v>
      </c>
      <c r="D2939" t="s">
        <v>7</v>
      </c>
    </row>
    <row r="2940" spans="1:4">
      <c r="A2940" t="s">
        <v>6</v>
      </c>
      <c r="B2940">
        <v>28</v>
      </c>
      <c r="C2940" t="str">
        <f>CHOOSE(MATCH(B2940, {20,25,30,35,40,45,50,55,60,65,70,75,80,85}, 1), "20-24", "25-29", "30-34", "35-39", "40-44", "45-49", "50-54", "55-59", "60-64", "65-69", "70-74", "75-79", "80-84", "85+")</f>
        <v>25-29</v>
      </c>
      <c r="D2940" t="s">
        <v>7</v>
      </c>
    </row>
    <row r="2941" spans="1:4">
      <c r="A2941" t="s">
        <v>6</v>
      </c>
      <c r="B2941">
        <v>68</v>
      </c>
      <c r="C2941" t="str">
        <f>CHOOSE(MATCH(B2941, {20,25,30,35,40,45,50,55,60,65,70,75,80,85}, 1), "20-24", "25-29", "30-34", "35-39", "40-44", "45-49", "50-54", "55-59", "60-64", "65-69", "70-74", "75-79", "80-84", "85+")</f>
        <v>65-69</v>
      </c>
      <c r="D2941" t="s">
        <v>7</v>
      </c>
    </row>
    <row r="2942" spans="1:4">
      <c r="A2942" t="s">
        <v>6</v>
      </c>
      <c r="B2942">
        <v>70</v>
      </c>
      <c r="C2942" t="str">
        <f>CHOOSE(MATCH(B2942, {20,25,30,35,40,45,50,55,60,65,70,75,80,85}, 1), "20-24", "25-29", "30-34", "35-39", "40-44", "45-49", "50-54", "55-59", "60-64", "65-69", "70-74", "75-79", "80-84", "85+")</f>
        <v>70-74</v>
      </c>
      <c r="D2942" t="s">
        <v>7</v>
      </c>
    </row>
    <row r="2943" spans="1:4">
      <c r="A2943" t="s">
        <v>6</v>
      </c>
      <c r="B2943">
        <v>41</v>
      </c>
      <c r="C2943" t="str">
        <f>CHOOSE(MATCH(B2943, {20,25,30,35,40,45,50,55,60,65,70,75,80,85}, 1), "20-24", "25-29", "30-34", "35-39", "40-44", "45-49", "50-54", "55-59", "60-64", "65-69", "70-74", "75-79", "80-84", "85+")</f>
        <v>40-44</v>
      </c>
      <c r="D2943" t="s">
        <v>7</v>
      </c>
    </row>
    <row r="2944" spans="1:4">
      <c r="A2944" t="s">
        <v>6</v>
      </c>
      <c r="B2944">
        <v>51</v>
      </c>
      <c r="C2944" t="str">
        <f>CHOOSE(MATCH(B2944, {20,25,30,35,40,45,50,55,60,65,70,75,80,85}, 1), "20-24", "25-29", "30-34", "35-39", "40-44", "45-49", "50-54", "55-59", "60-64", "65-69", "70-74", "75-79", "80-84", "85+")</f>
        <v>50-54</v>
      </c>
      <c r="D2944" t="s">
        <v>8</v>
      </c>
    </row>
    <row r="2945" spans="1:4">
      <c r="A2945" t="s">
        <v>6</v>
      </c>
      <c r="B2945">
        <v>66</v>
      </c>
      <c r="C2945" t="str">
        <f>CHOOSE(MATCH(B2945, {20,25,30,35,40,45,50,55,60,65,70,75,80,85}, 1), "20-24", "25-29", "30-34", "35-39", "40-44", "45-49", "50-54", "55-59", "60-64", "65-69", "70-74", "75-79", "80-84", "85+")</f>
        <v>65-69</v>
      </c>
      <c r="D2945" t="s">
        <v>7</v>
      </c>
    </row>
    <row r="2946" spans="1:4">
      <c r="A2946" t="s">
        <v>6</v>
      </c>
      <c r="B2946">
        <v>69</v>
      </c>
      <c r="C2946" t="str">
        <f>CHOOSE(MATCH(B2946, {20,25,30,35,40,45,50,55,60,65,70,75,80,85}, 1), "20-24", "25-29", "30-34", "35-39", "40-44", "45-49", "50-54", "55-59", "60-64", "65-69", "70-74", "75-79", "80-84", "85+")</f>
        <v>65-69</v>
      </c>
      <c r="D2946" t="s">
        <v>7</v>
      </c>
    </row>
    <row r="2947" spans="1:4">
      <c r="A2947" t="s">
        <v>6</v>
      </c>
      <c r="B2947">
        <v>48</v>
      </c>
      <c r="C2947" t="str">
        <f>CHOOSE(MATCH(B2947, {20,25,30,35,40,45,50,55,60,65,70,75,80,85}, 1), "20-24", "25-29", "30-34", "35-39", "40-44", "45-49", "50-54", "55-59", "60-64", "65-69", "70-74", "75-79", "80-84", "85+")</f>
        <v>45-49</v>
      </c>
      <c r="D2947" t="s">
        <v>8</v>
      </c>
    </row>
    <row r="2948" spans="1:4">
      <c r="A2948" t="s">
        <v>6</v>
      </c>
      <c r="B2948">
        <v>64</v>
      </c>
      <c r="C2948" t="str">
        <f>CHOOSE(MATCH(B2948, {20,25,30,35,40,45,50,55,60,65,70,75,80,85}, 1), "20-24", "25-29", "30-34", "35-39", "40-44", "45-49", "50-54", "55-59", "60-64", "65-69", "70-74", "75-79", "80-84", "85+")</f>
        <v>60-64</v>
      </c>
      <c r="D2948" t="s">
        <v>8</v>
      </c>
    </row>
    <row r="2949" spans="1:4">
      <c r="A2949" t="s">
        <v>6</v>
      </c>
      <c r="B2949">
        <v>38</v>
      </c>
      <c r="C2949" t="str">
        <f>CHOOSE(MATCH(B2949, {20,25,30,35,40,45,50,55,60,65,70,75,80,85}, 1), "20-24", "25-29", "30-34", "35-39", "40-44", "45-49", "50-54", "55-59", "60-64", "65-69", "70-74", "75-79", "80-84", "85+")</f>
        <v>35-39</v>
      </c>
      <c r="D2949" t="s">
        <v>7</v>
      </c>
    </row>
    <row r="2950" spans="1:4">
      <c r="A2950" t="s">
        <v>6</v>
      </c>
      <c r="B2950">
        <v>50</v>
      </c>
      <c r="C2950" t="str">
        <f>CHOOSE(MATCH(B2950, {20,25,30,35,40,45,50,55,60,65,70,75,80,85}, 1), "20-24", "25-29", "30-34", "35-39", "40-44", "45-49", "50-54", "55-59", "60-64", "65-69", "70-74", "75-79", "80-84", "85+")</f>
        <v>50-54</v>
      </c>
      <c r="D2950" t="s">
        <v>8</v>
      </c>
    </row>
    <row r="2951" spans="1:4">
      <c r="A2951" t="s">
        <v>6</v>
      </c>
      <c r="B2951">
        <v>30</v>
      </c>
      <c r="C2951" t="str">
        <f>CHOOSE(MATCH(B2951, {20,25,30,35,40,45,50,55,60,65,70,75,80,85}, 1), "20-24", "25-29", "30-34", "35-39", "40-44", "45-49", "50-54", "55-59", "60-64", "65-69", "70-74", "75-79", "80-84", "85+")</f>
        <v>30-34</v>
      </c>
      <c r="D2951" t="s">
        <v>7</v>
      </c>
    </row>
    <row r="2952" spans="1:4">
      <c r="A2952" t="s">
        <v>6</v>
      </c>
      <c r="B2952">
        <v>48</v>
      </c>
      <c r="C2952" t="str">
        <f>CHOOSE(MATCH(B2952, {20,25,30,35,40,45,50,55,60,65,70,75,80,85}, 1), "20-24", "25-29", "30-34", "35-39", "40-44", "45-49", "50-54", "55-59", "60-64", "65-69", "70-74", "75-79", "80-84", "85+")</f>
        <v>45-49</v>
      </c>
      <c r="D2952" t="s">
        <v>8</v>
      </c>
    </row>
    <row r="2953" spans="1:4">
      <c r="A2953" t="s">
        <v>6</v>
      </c>
      <c r="B2953">
        <v>25</v>
      </c>
      <c r="C2953" t="str">
        <f>CHOOSE(MATCH(B2953, {20,25,30,35,40,45,50,55,60,65,70,75,80,85}, 1), "20-24", "25-29", "30-34", "35-39", "40-44", "45-49", "50-54", "55-59", "60-64", "65-69", "70-74", "75-79", "80-84", "85+")</f>
        <v>25-29</v>
      </c>
      <c r="D2953" t="s">
        <v>7</v>
      </c>
    </row>
    <row r="2954" spans="1:4">
      <c r="A2954" t="s">
        <v>6</v>
      </c>
      <c r="B2954">
        <v>72</v>
      </c>
      <c r="C2954" t="str">
        <f>CHOOSE(MATCH(B2954, {20,25,30,35,40,45,50,55,60,65,70,75,80,85}, 1), "20-24", "25-29", "30-34", "35-39", "40-44", "45-49", "50-54", "55-59", "60-64", "65-69", "70-74", "75-79", "80-84", "85+")</f>
        <v>70-74</v>
      </c>
      <c r="D2954" t="s">
        <v>7</v>
      </c>
    </row>
    <row r="2955" spans="1:4">
      <c r="A2955" t="s">
        <v>6</v>
      </c>
      <c r="B2955">
        <v>40</v>
      </c>
      <c r="C2955" t="str">
        <f>CHOOSE(MATCH(B2955, {20,25,30,35,40,45,50,55,60,65,70,75,80,85}, 1), "20-24", "25-29", "30-34", "35-39", "40-44", "45-49", "50-54", "55-59", "60-64", "65-69", "70-74", "75-79", "80-84", "85+")</f>
        <v>40-44</v>
      </c>
      <c r="D2955" t="s">
        <v>7</v>
      </c>
    </row>
    <row r="2956" spans="1:4">
      <c r="A2956" t="s">
        <v>6</v>
      </c>
      <c r="B2956">
        <v>30</v>
      </c>
      <c r="C2956" t="str">
        <f>CHOOSE(MATCH(B2956, {20,25,30,35,40,45,50,55,60,65,70,75,80,85}, 1), "20-24", "25-29", "30-34", "35-39", "40-44", "45-49", "50-54", "55-59", "60-64", "65-69", "70-74", "75-79", "80-84", "85+")</f>
        <v>30-34</v>
      </c>
      <c r="D2956" t="s">
        <v>8</v>
      </c>
    </row>
    <row r="2957" spans="1:4">
      <c r="A2957" t="s">
        <v>6</v>
      </c>
      <c r="B2957">
        <v>29</v>
      </c>
      <c r="C2957" t="str">
        <f>CHOOSE(MATCH(B2957, {20,25,30,35,40,45,50,55,60,65,70,75,80,85}, 1), "20-24", "25-29", "30-34", "35-39", "40-44", "45-49", "50-54", "55-59", "60-64", "65-69", "70-74", "75-79", "80-84", "85+")</f>
        <v>25-29</v>
      </c>
      <c r="D2957" t="s">
        <v>8</v>
      </c>
    </row>
    <row r="2958" spans="1:4">
      <c r="A2958" t="s">
        <v>6</v>
      </c>
      <c r="B2958">
        <v>20</v>
      </c>
      <c r="C2958" t="str">
        <f>CHOOSE(MATCH(B2958, {20,25,30,35,40,45,50,55,60,65,70,75,80,85}, 1), "20-24", "25-29", "30-34", "35-39", "40-44", "45-49", "50-54", "55-59", "60-64", "65-69", "70-74", "75-79", "80-84", "85+")</f>
        <v>20-24</v>
      </c>
      <c r="D2958" t="s">
        <v>8</v>
      </c>
    </row>
    <row r="2959" spans="1:4">
      <c r="A2959" t="s">
        <v>6</v>
      </c>
      <c r="B2959">
        <v>61</v>
      </c>
      <c r="C2959" t="str">
        <f>CHOOSE(MATCH(B2959, {20,25,30,35,40,45,50,55,60,65,70,75,80,85}, 1), "20-24", "25-29", "30-34", "35-39", "40-44", "45-49", "50-54", "55-59", "60-64", "65-69", "70-74", "75-79", "80-84", "85+")</f>
        <v>60-64</v>
      </c>
      <c r="D2959" t="s">
        <v>7</v>
      </c>
    </row>
    <row r="2960" spans="1:4">
      <c r="A2960" t="s">
        <v>6</v>
      </c>
      <c r="B2960">
        <v>57</v>
      </c>
      <c r="C2960" t="str">
        <f>CHOOSE(MATCH(B2960, {20,25,30,35,40,45,50,55,60,65,70,75,80,85}, 1), "20-24", "25-29", "30-34", "35-39", "40-44", "45-49", "50-54", "55-59", "60-64", "65-69", "70-74", "75-79", "80-84", "85+")</f>
        <v>55-59</v>
      </c>
      <c r="D2960" t="s">
        <v>8</v>
      </c>
    </row>
    <row r="2961" spans="1:4">
      <c r="A2961" t="s">
        <v>6</v>
      </c>
      <c r="B2961">
        <v>59</v>
      </c>
      <c r="C2961" t="str">
        <f>CHOOSE(MATCH(B2961, {20,25,30,35,40,45,50,55,60,65,70,75,80,85}, 1), "20-24", "25-29", "30-34", "35-39", "40-44", "45-49", "50-54", "55-59", "60-64", "65-69", "70-74", "75-79", "80-84", "85+")</f>
        <v>55-59</v>
      </c>
      <c r="D2961" t="s">
        <v>8</v>
      </c>
    </row>
    <row r="2962" spans="1:4">
      <c r="A2962" t="s">
        <v>6</v>
      </c>
      <c r="B2962">
        <v>33</v>
      </c>
      <c r="C2962" t="str">
        <f>CHOOSE(MATCH(B2962, {20,25,30,35,40,45,50,55,60,65,70,75,80,85}, 1), "20-24", "25-29", "30-34", "35-39", "40-44", "45-49", "50-54", "55-59", "60-64", "65-69", "70-74", "75-79", "80-84", "85+")</f>
        <v>30-34</v>
      </c>
      <c r="D2962" t="s">
        <v>7</v>
      </c>
    </row>
    <row r="2963" spans="1:4">
      <c r="A2963" t="s">
        <v>6</v>
      </c>
      <c r="B2963">
        <v>31</v>
      </c>
      <c r="C2963" t="str">
        <f>CHOOSE(MATCH(B2963, {20,25,30,35,40,45,50,55,60,65,70,75,80,85}, 1), "20-24", "25-29", "30-34", "35-39", "40-44", "45-49", "50-54", "55-59", "60-64", "65-69", "70-74", "75-79", "80-84", "85+")</f>
        <v>30-34</v>
      </c>
      <c r="D2963" t="s">
        <v>7</v>
      </c>
    </row>
    <row r="2964" spans="1:4">
      <c r="A2964" t="s">
        <v>6</v>
      </c>
      <c r="B2964">
        <v>34</v>
      </c>
      <c r="C2964" t="str">
        <f>CHOOSE(MATCH(B2964, {20,25,30,35,40,45,50,55,60,65,70,75,80,85}, 1), "20-24", "25-29", "30-34", "35-39", "40-44", "45-49", "50-54", "55-59", "60-64", "65-69", "70-74", "75-79", "80-84", "85+")</f>
        <v>30-34</v>
      </c>
      <c r="D2964" t="s">
        <v>8</v>
      </c>
    </row>
    <row r="2965" spans="1:4">
      <c r="A2965" t="s">
        <v>6</v>
      </c>
      <c r="B2965">
        <v>46</v>
      </c>
      <c r="C2965" t="str">
        <f>CHOOSE(MATCH(B2965, {20,25,30,35,40,45,50,55,60,65,70,75,80,85}, 1), "20-24", "25-29", "30-34", "35-39", "40-44", "45-49", "50-54", "55-59", "60-64", "65-69", "70-74", "75-79", "80-84", "85+")</f>
        <v>45-49</v>
      </c>
      <c r="D2965" t="s">
        <v>8</v>
      </c>
    </row>
    <row r="2966" spans="1:4">
      <c r="A2966" t="s">
        <v>6</v>
      </c>
      <c r="B2966">
        <v>21</v>
      </c>
      <c r="C2966" t="str">
        <f>CHOOSE(MATCH(B2966, {20,25,30,35,40,45,50,55,60,65,70,75,80,85}, 1), "20-24", "25-29", "30-34", "35-39", "40-44", "45-49", "50-54", "55-59", "60-64", "65-69", "70-74", "75-79", "80-84", "85+")</f>
        <v>20-24</v>
      </c>
      <c r="D2966" t="s">
        <v>7</v>
      </c>
    </row>
    <row r="2967" spans="1:4">
      <c r="A2967" t="s">
        <v>6</v>
      </c>
      <c r="B2967">
        <v>35</v>
      </c>
      <c r="C2967" t="str">
        <f>CHOOSE(MATCH(B2967, {20,25,30,35,40,45,50,55,60,65,70,75,80,85}, 1), "20-24", "25-29", "30-34", "35-39", "40-44", "45-49", "50-54", "55-59", "60-64", "65-69", "70-74", "75-79", "80-84", "85+")</f>
        <v>35-39</v>
      </c>
      <c r="D2967" t="s">
        <v>8</v>
      </c>
    </row>
    <row r="2968" spans="1:4">
      <c r="A2968" t="s">
        <v>6</v>
      </c>
      <c r="B2968">
        <v>29</v>
      </c>
      <c r="C2968" t="str">
        <f>CHOOSE(MATCH(B2968, {20,25,30,35,40,45,50,55,60,65,70,75,80,85}, 1), "20-24", "25-29", "30-34", "35-39", "40-44", "45-49", "50-54", "55-59", "60-64", "65-69", "70-74", "75-79", "80-84", "85+")</f>
        <v>25-29</v>
      </c>
      <c r="D2968" t="s">
        <v>7</v>
      </c>
    </row>
    <row r="2969" spans="1:4">
      <c r="A2969" t="s">
        <v>6</v>
      </c>
      <c r="B2969">
        <v>21</v>
      </c>
      <c r="C2969" t="str">
        <f>CHOOSE(MATCH(B2969, {20,25,30,35,40,45,50,55,60,65,70,75,80,85}, 1), "20-24", "25-29", "30-34", "35-39", "40-44", "45-49", "50-54", "55-59", "60-64", "65-69", "70-74", "75-79", "80-84", "85+")</f>
        <v>20-24</v>
      </c>
      <c r="D2969" t="s">
        <v>7</v>
      </c>
    </row>
    <row r="2970" spans="1:4">
      <c r="A2970" t="s">
        <v>6</v>
      </c>
      <c r="B2970">
        <v>47</v>
      </c>
      <c r="C2970" t="str">
        <f>CHOOSE(MATCH(B2970, {20,25,30,35,40,45,50,55,60,65,70,75,80,85}, 1), "20-24", "25-29", "30-34", "35-39", "40-44", "45-49", "50-54", "55-59", "60-64", "65-69", "70-74", "75-79", "80-84", "85+")</f>
        <v>45-49</v>
      </c>
      <c r="D2970" t="s">
        <v>8</v>
      </c>
    </row>
    <row r="2971" spans="1:4">
      <c r="A2971" t="s">
        <v>6</v>
      </c>
      <c r="B2971">
        <v>23</v>
      </c>
      <c r="C2971" t="str">
        <f>CHOOSE(MATCH(B2971, {20,25,30,35,40,45,50,55,60,65,70,75,80,85}, 1), "20-24", "25-29", "30-34", "35-39", "40-44", "45-49", "50-54", "55-59", "60-64", "65-69", "70-74", "75-79", "80-84", "85+")</f>
        <v>20-24</v>
      </c>
      <c r="D2971" t="s">
        <v>7</v>
      </c>
    </row>
    <row r="2972" spans="1:4">
      <c r="A2972" t="s">
        <v>6</v>
      </c>
      <c r="B2972">
        <v>36</v>
      </c>
      <c r="C2972" t="str">
        <f>CHOOSE(MATCH(B2972, {20,25,30,35,40,45,50,55,60,65,70,75,80,85}, 1), "20-24", "25-29", "30-34", "35-39", "40-44", "45-49", "50-54", "55-59", "60-64", "65-69", "70-74", "75-79", "80-84", "85+")</f>
        <v>35-39</v>
      </c>
      <c r="D2972" t="s">
        <v>7</v>
      </c>
    </row>
    <row r="2973" spans="1:4">
      <c r="A2973" t="s">
        <v>6</v>
      </c>
      <c r="B2973">
        <v>49</v>
      </c>
      <c r="C2973" t="str">
        <f>CHOOSE(MATCH(B2973, {20,25,30,35,40,45,50,55,60,65,70,75,80,85}, 1), "20-24", "25-29", "30-34", "35-39", "40-44", "45-49", "50-54", "55-59", "60-64", "65-69", "70-74", "75-79", "80-84", "85+")</f>
        <v>45-49</v>
      </c>
      <c r="D2973" t="s">
        <v>8</v>
      </c>
    </row>
    <row r="2974" spans="1:4">
      <c r="A2974" t="s">
        <v>6</v>
      </c>
      <c r="B2974">
        <v>27</v>
      </c>
      <c r="C2974" t="str">
        <f>CHOOSE(MATCH(B2974, {20,25,30,35,40,45,50,55,60,65,70,75,80,85}, 1), "20-24", "25-29", "30-34", "35-39", "40-44", "45-49", "50-54", "55-59", "60-64", "65-69", "70-74", "75-79", "80-84", "85+")</f>
        <v>25-29</v>
      </c>
      <c r="D2974" t="s">
        <v>8</v>
      </c>
    </row>
    <row r="2975" spans="1:4">
      <c r="A2975" t="s">
        <v>6</v>
      </c>
      <c r="B2975">
        <v>52</v>
      </c>
      <c r="C2975" t="str">
        <f>CHOOSE(MATCH(B2975, {20,25,30,35,40,45,50,55,60,65,70,75,80,85}, 1), "20-24", "25-29", "30-34", "35-39", "40-44", "45-49", "50-54", "55-59", "60-64", "65-69", "70-74", "75-79", "80-84", "85+")</f>
        <v>50-54</v>
      </c>
      <c r="D2975" t="s">
        <v>7</v>
      </c>
    </row>
    <row r="2976" spans="1:4">
      <c r="A2976" t="s">
        <v>6</v>
      </c>
      <c r="B2976">
        <v>26</v>
      </c>
      <c r="C2976" t="str">
        <f>CHOOSE(MATCH(B2976, {20,25,30,35,40,45,50,55,60,65,70,75,80,85}, 1), "20-24", "25-29", "30-34", "35-39", "40-44", "45-49", "50-54", "55-59", "60-64", "65-69", "70-74", "75-79", "80-84", "85+")</f>
        <v>25-29</v>
      </c>
      <c r="D2976" t="s">
        <v>7</v>
      </c>
    </row>
    <row r="2977" spans="1:4">
      <c r="A2977" t="s">
        <v>6</v>
      </c>
      <c r="B2977">
        <v>33</v>
      </c>
      <c r="C2977" t="str">
        <f>CHOOSE(MATCH(B2977, {20,25,30,35,40,45,50,55,60,65,70,75,80,85}, 1), "20-24", "25-29", "30-34", "35-39", "40-44", "45-49", "50-54", "55-59", "60-64", "65-69", "70-74", "75-79", "80-84", "85+")</f>
        <v>30-34</v>
      </c>
      <c r="D2977" t="s">
        <v>7</v>
      </c>
    </row>
    <row r="2978" spans="1:4">
      <c r="A2978" t="s">
        <v>6</v>
      </c>
      <c r="B2978">
        <v>33</v>
      </c>
      <c r="C2978" t="str">
        <f>CHOOSE(MATCH(B2978, {20,25,30,35,40,45,50,55,60,65,70,75,80,85}, 1), "20-24", "25-29", "30-34", "35-39", "40-44", "45-49", "50-54", "55-59", "60-64", "65-69", "70-74", "75-79", "80-84", "85+")</f>
        <v>30-34</v>
      </c>
      <c r="D2978" t="s">
        <v>7</v>
      </c>
    </row>
    <row r="2979" spans="1:4">
      <c r="A2979" t="s">
        <v>6</v>
      </c>
      <c r="B2979">
        <v>40</v>
      </c>
      <c r="C2979" t="str">
        <f>CHOOSE(MATCH(B2979, {20,25,30,35,40,45,50,55,60,65,70,75,80,85}, 1), "20-24", "25-29", "30-34", "35-39", "40-44", "45-49", "50-54", "55-59", "60-64", "65-69", "70-74", "75-79", "80-84", "85+")</f>
        <v>40-44</v>
      </c>
      <c r="D2979" t="s">
        <v>8</v>
      </c>
    </row>
    <row r="2980" spans="1:4">
      <c r="A2980" t="s">
        <v>6</v>
      </c>
      <c r="B2980">
        <v>31</v>
      </c>
      <c r="C2980" t="str">
        <f>CHOOSE(MATCH(B2980, {20,25,30,35,40,45,50,55,60,65,70,75,80,85}, 1), "20-24", "25-29", "30-34", "35-39", "40-44", "45-49", "50-54", "55-59", "60-64", "65-69", "70-74", "75-79", "80-84", "85+")</f>
        <v>30-34</v>
      </c>
      <c r="D2980" t="s">
        <v>7</v>
      </c>
    </row>
    <row r="2981" spans="1:4">
      <c r="A2981" t="s">
        <v>6</v>
      </c>
      <c r="B2981">
        <v>30</v>
      </c>
      <c r="C2981" t="str">
        <f>CHOOSE(MATCH(B2981, {20,25,30,35,40,45,50,55,60,65,70,75,80,85}, 1), "20-24", "25-29", "30-34", "35-39", "40-44", "45-49", "50-54", "55-59", "60-64", "65-69", "70-74", "75-79", "80-84", "85+")</f>
        <v>30-34</v>
      </c>
      <c r="D2981" t="s">
        <v>7</v>
      </c>
    </row>
    <row r="2982" spans="1:4">
      <c r="A2982" t="s">
        <v>6</v>
      </c>
      <c r="B2982">
        <v>58</v>
      </c>
      <c r="C2982" t="str">
        <f>CHOOSE(MATCH(B2982, {20,25,30,35,40,45,50,55,60,65,70,75,80,85}, 1), "20-24", "25-29", "30-34", "35-39", "40-44", "45-49", "50-54", "55-59", "60-64", "65-69", "70-74", "75-79", "80-84", "85+")</f>
        <v>55-59</v>
      </c>
      <c r="D2982" t="s">
        <v>7</v>
      </c>
    </row>
    <row r="2983" spans="1:4">
      <c r="A2983" t="s">
        <v>6</v>
      </c>
      <c r="B2983">
        <v>72</v>
      </c>
      <c r="C2983" t="str">
        <f>CHOOSE(MATCH(B2983, {20,25,30,35,40,45,50,55,60,65,70,75,80,85}, 1), "20-24", "25-29", "30-34", "35-39", "40-44", "45-49", "50-54", "55-59", "60-64", "65-69", "70-74", "75-79", "80-84", "85+")</f>
        <v>70-74</v>
      </c>
      <c r="D2983" t="s">
        <v>7</v>
      </c>
    </row>
    <row r="2984" spans="1:4">
      <c r="A2984" t="s">
        <v>6</v>
      </c>
      <c r="B2984">
        <v>21</v>
      </c>
      <c r="C2984" t="str">
        <f>CHOOSE(MATCH(B2984, {20,25,30,35,40,45,50,55,60,65,70,75,80,85}, 1), "20-24", "25-29", "30-34", "35-39", "40-44", "45-49", "50-54", "55-59", "60-64", "65-69", "70-74", "75-79", "80-84", "85+")</f>
        <v>20-24</v>
      </c>
      <c r="D2984" t="s">
        <v>7</v>
      </c>
    </row>
    <row r="2985" spans="1:4">
      <c r="A2985" t="s">
        <v>6</v>
      </c>
      <c r="B2985">
        <v>58</v>
      </c>
      <c r="C2985" t="str">
        <f>CHOOSE(MATCH(B2985, {20,25,30,35,40,45,50,55,60,65,70,75,80,85}, 1), "20-24", "25-29", "30-34", "35-39", "40-44", "45-49", "50-54", "55-59", "60-64", "65-69", "70-74", "75-79", "80-84", "85+")</f>
        <v>55-59</v>
      </c>
      <c r="D2985" t="s">
        <v>7</v>
      </c>
    </row>
    <row r="2986" spans="1:4">
      <c r="A2986" t="s">
        <v>6</v>
      </c>
      <c r="B2986">
        <v>37</v>
      </c>
      <c r="C2986" t="str">
        <f>CHOOSE(MATCH(B2986, {20,25,30,35,40,45,50,55,60,65,70,75,80,85}, 1), "20-24", "25-29", "30-34", "35-39", "40-44", "45-49", "50-54", "55-59", "60-64", "65-69", "70-74", "75-79", "80-84", "85+")</f>
        <v>35-39</v>
      </c>
      <c r="D2986" t="s">
        <v>7</v>
      </c>
    </row>
    <row r="2987" spans="1:4">
      <c r="A2987" t="s">
        <v>6</v>
      </c>
      <c r="B2987">
        <v>31</v>
      </c>
      <c r="C2987" t="str">
        <f>CHOOSE(MATCH(B2987, {20,25,30,35,40,45,50,55,60,65,70,75,80,85}, 1), "20-24", "25-29", "30-34", "35-39", "40-44", "45-49", "50-54", "55-59", "60-64", "65-69", "70-74", "75-79", "80-84", "85+")</f>
        <v>30-34</v>
      </c>
      <c r="D2987" t="s">
        <v>8</v>
      </c>
    </row>
    <row r="2988" spans="1:4">
      <c r="A2988" t="s">
        <v>6</v>
      </c>
      <c r="B2988">
        <v>36</v>
      </c>
      <c r="C2988" t="str">
        <f>CHOOSE(MATCH(B2988, {20,25,30,35,40,45,50,55,60,65,70,75,80,85}, 1), "20-24", "25-29", "30-34", "35-39", "40-44", "45-49", "50-54", "55-59", "60-64", "65-69", "70-74", "75-79", "80-84", "85+")</f>
        <v>35-39</v>
      </c>
      <c r="D2988" t="s">
        <v>8</v>
      </c>
    </row>
    <row r="2989" spans="1:4">
      <c r="A2989" t="s">
        <v>6</v>
      </c>
      <c r="B2989">
        <v>29</v>
      </c>
      <c r="C2989" t="str">
        <f>CHOOSE(MATCH(B2989, {20,25,30,35,40,45,50,55,60,65,70,75,80,85}, 1), "20-24", "25-29", "30-34", "35-39", "40-44", "45-49", "50-54", "55-59", "60-64", "65-69", "70-74", "75-79", "80-84", "85+")</f>
        <v>25-29</v>
      </c>
      <c r="D2989" t="s">
        <v>7</v>
      </c>
    </row>
    <row r="2990" spans="1:4">
      <c r="A2990" t="s">
        <v>6</v>
      </c>
      <c r="B2990">
        <v>59</v>
      </c>
      <c r="C2990" t="str">
        <f>CHOOSE(MATCH(B2990, {20,25,30,35,40,45,50,55,60,65,70,75,80,85}, 1), "20-24", "25-29", "30-34", "35-39", "40-44", "45-49", "50-54", "55-59", "60-64", "65-69", "70-74", "75-79", "80-84", "85+")</f>
        <v>55-59</v>
      </c>
      <c r="D2990" t="s">
        <v>7</v>
      </c>
    </row>
    <row r="2991" spans="1:4">
      <c r="A2991" t="s">
        <v>6</v>
      </c>
      <c r="B2991">
        <v>55</v>
      </c>
      <c r="C2991" t="str">
        <f>CHOOSE(MATCH(B2991, {20,25,30,35,40,45,50,55,60,65,70,75,80,85}, 1), "20-24", "25-29", "30-34", "35-39", "40-44", "45-49", "50-54", "55-59", "60-64", "65-69", "70-74", "75-79", "80-84", "85+")</f>
        <v>55-59</v>
      </c>
      <c r="D2991" t="s">
        <v>7</v>
      </c>
    </row>
    <row r="2992" spans="1:4">
      <c r="A2992" t="s">
        <v>6</v>
      </c>
      <c r="B2992">
        <v>49</v>
      </c>
      <c r="C2992" t="str">
        <f>CHOOSE(MATCH(B2992, {20,25,30,35,40,45,50,55,60,65,70,75,80,85}, 1), "20-24", "25-29", "30-34", "35-39", "40-44", "45-49", "50-54", "55-59", "60-64", "65-69", "70-74", "75-79", "80-84", "85+")</f>
        <v>45-49</v>
      </c>
      <c r="D2992" t="s">
        <v>7</v>
      </c>
    </row>
    <row r="2993" spans="1:4">
      <c r="A2993" t="s">
        <v>6</v>
      </c>
      <c r="B2993">
        <v>53</v>
      </c>
      <c r="C2993" t="str">
        <f>CHOOSE(MATCH(B2993, {20,25,30,35,40,45,50,55,60,65,70,75,80,85}, 1), "20-24", "25-29", "30-34", "35-39", "40-44", "45-49", "50-54", "55-59", "60-64", "65-69", "70-74", "75-79", "80-84", "85+")</f>
        <v>50-54</v>
      </c>
      <c r="D2993" t="s">
        <v>8</v>
      </c>
    </row>
    <row r="2994" spans="1:4">
      <c r="A2994" t="s">
        <v>6</v>
      </c>
      <c r="B2994">
        <v>53</v>
      </c>
      <c r="C2994" t="str">
        <f>CHOOSE(MATCH(B2994, {20,25,30,35,40,45,50,55,60,65,70,75,80,85}, 1), "20-24", "25-29", "30-34", "35-39", "40-44", "45-49", "50-54", "55-59", "60-64", "65-69", "70-74", "75-79", "80-84", "85+")</f>
        <v>50-54</v>
      </c>
      <c r="D2994" t="s">
        <v>7</v>
      </c>
    </row>
    <row r="2995" spans="1:4">
      <c r="A2995" t="s">
        <v>6</v>
      </c>
      <c r="B2995">
        <v>50</v>
      </c>
      <c r="C2995" t="str">
        <f>CHOOSE(MATCH(B2995, {20,25,30,35,40,45,50,55,60,65,70,75,80,85}, 1), "20-24", "25-29", "30-34", "35-39", "40-44", "45-49", "50-54", "55-59", "60-64", "65-69", "70-74", "75-79", "80-84", "85+")</f>
        <v>50-54</v>
      </c>
      <c r="D2995" t="s">
        <v>7</v>
      </c>
    </row>
    <row r="2996" spans="1:4">
      <c r="A2996" t="s">
        <v>6</v>
      </c>
      <c r="B2996">
        <v>49</v>
      </c>
      <c r="C2996" t="str">
        <f>CHOOSE(MATCH(B2996, {20,25,30,35,40,45,50,55,60,65,70,75,80,85}, 1), "20-24", "25-29", "30-34", "35-39", "40-44", "45-49", "50-54", "55-59", "60-64", "65-69", "70-74", "75-79", "80-84", "85+")</f>
        <v>45-49</v>
      </c>
      <c r="D2996" t="s">
        <v>8</v>
      </c>
    </row>
    <row r="2997" spans="1:4">
      <c r="A2997" t="s">
        <v>6</v>
      </c>
      <c r="B2997">
        <v>25</v>
      </c>
      <c r="C2997" t="str">
        <f>CHOOSE(MATCH(B2997, {20,25,30,35,40,45,50,55,60,65,70,75,80,85}, 1), "20-24", "25-29", "30-34", "35-39", "40-44", "45-49", "50-54", "55-59", "60-64", "65-69", "70-74", "75-79", "80-84", "85+")</f>
        <v>25-29</v>
      </c>
      <c r="D2997" t="s">
        <v>8</v>
      </c>
    </row>
    <row r="2998" spans="1:4">
      <c r="A2998" t="s">
        <v>6</v>
      </c>
      <c r="B2998">
        <v>26</v>
      </c>
      <c r="C2998" t="str">
        <f>CHOOSE(MATCH(B2998, {20,25,30,35,40,45,50,55,60,65,70,75,80,85}, 1), "20-24", "25-29", "30-34", "35-39", "40-44", "45-49", "50-54", "55-59", "60-64", "65-69", "70-74", "75-79", "80-84", "85+")</f>
        <v>25-29</v>
      </c>
      <c r="D2998" t="s">
        <v>7</v>
      </c>
    </row>
    <row r="2999" spans="1:4">
      <c r="A2999" t="s">
        <v>6</v>
      </c>
      <c r="B2999">
        <v>45</v>
      </c>
      <c r="C2999" t="str">
        <f>CHOOSE(MATCH(B2999, {20,25,30,35,40,45,50,55,60,65,70,75,80,85}, 1), "20-24", "25-29", "30-34", "35-39", "40-44", "45-49", "50-54", "55-59", "60-64", "65-69", "70-74", "75-79", "80-84", "85+")</f>
        <v>45-49</v>
      </c>
      <c r="D2999" t="s">
        <v>8</v>
      </c>
    </row>
    <row r="3000" spans="1:4">
      <c r="A3000" t="s">
        <v>6</v>
      </c>
      <c r="B3000">
        <v>32</v>
      </c>
      <c r="C3000" t="str">
        <f>CHOOSE(MATCH(B3000, {20,25,30,35,40,45,50,55,60,65,70,75,80,85}, 1), "20-24", "25-29", "30-34", "35-39", "40-44", "45-49", "50-54", "55-59", "60-64", "65-69", "70-74", "75-79", "80-84", "85+")</f>
        <v>30-34</v>
      </c>
      <c r="D3000" t="s">
        <v>7</v>
      </c>
    </row>
    <row r="3001" spans="1:4">
      <c r="A3001" t="s">
        <v>6</v>
      </c>
      <c r="B3001">
        <v>30</v>
      </c>
      <c r="C3001" t="str">
        <f>CHOOSE(MATCH(B3001, {20,25,30,35,40,45,50,55,60,65,70,75,80,85}, 1), "20-24", "25-29", "30-34", "35-39", "40-44", "45-49", "50-54", "55-59", "60-64", "65-69", "70-74", "75-79", "80-84", "85+")</f>
        <v>30-34</v>
      </c>
      <c r="D3001" t="s">
        <v>7</v>
      </c>
    </row>
    <row r="3002" spans="1:4">
      <c r="A3002" t="s">
        <v>6</v>
      </c>
      <c r="B3002">
        <v>45</v>
      </c>
      <c r="C3002" t="str">
        <f>CHOOSE(MATCH(B3002, {20,25,30,35,40,45,50,55,60,65,70,75,80,85}, 1), "20-24", "25-29", "30-34", "35-39", "40-44", "45-49", "50-54", "55-59", "60-64", "65-69", "70-74", "75-79", "80-84", "85+")</f>
        <v>45-49</v>
      </c>
      <c r="D3002" t="s">
        <v>7</v>
      </c>
    </row>
    <row r="3003" spans="1:4">
      <c r="A3003" t="s">
        <v>6</v>
      </c>
      <c r="B3003">
        <v>45</v>
      </c>
      <c r="C3003" t="str">
        <f>CHOOSE(MATCH(B3003, {20,25,30,35,40,45,50,55,60,65,70,75,80,85}, 1), "20-24", "25-29", "30-34", "35-39", "40-44", "45-49", "50-54", "55-59", "60-64", "65-69", "70-74", "75-79", "80-84", "85+")</f>
        <v>45-49</v>
      </c>
      <c r="D3003" t="s">
        <v>7</v>
      </c>
    </row>
    <row r="3004" spans="1:4">
      <c r="A3004" t="s">
        <v>6</v>
      </c>
      <c r="B3004">
        <v>41</v>
      </c>
      <c r="C3004" t="str">
        <f>CHOOSE(MATCH(B3004, {20,25,30,35,40,45,50,55,60,65,70,75,80,85}, 1), "20-24", "25-29", "30-34", "35-39", "40-44", "45-49", "50-54", "55-59", "60-64", "65-69", "70-74", "75-79", "80-84", "85+")</f>
        <v>40-44</v>
      </c>
      <c r="D3004" t="s">
        <v>8</v>
      </c>
    </row>
    <row r="3005" spans="1:4">
      <c r="A3005" t="s">
        <v>6</v>
      </c>
      <c r="B3005">
        <v>37</v>
      </c>
      <c r="C3005" t="str">
        <f>CHOOSE(MATCH(B3005, {20,25,30,35,40,45,50,55,60,65,70,75,80,85}, 1), "20-24", "25-29", "30-34", "35-39", "40-44", "45-49", "50-54", "55-59", "60-64", "65-69", "70-74", "75-79", "80-84", "85+")</f>
        <v>35-39</v>
      </c>
      <c r="D3005" t="s">
        <v>7</v>
      </c>
    </row>
    <row r="3006" spans="1:4">
      <c r="A3006" t="s">
        <v>6</v>
      </c>
      <c r="B3006">
        <v>68</v>
      </c>
      <c r="C3006" t="str">
        <f>CHOOSE(MATCH(B3006, {20,25,30,35,40,45,50,55,60,65,70,75,80,85}, 1), "20-24", "25-29", "30-34", "35-39", "40-44", "45-49", "50-54", "55-59", "60-64", "65-69", "70-74", "75-79", "80-84", "85+")</f>
        <v>65-69</v>
      </c>
      <c r="D3006" t="s">
        <v>7</v>
      </c>
    </row>
    <row r="3007" spans="1:4">
      <c r="A3007" t="s">
        <v>6</v>
      </c>
      <c r="B3007">
        <v>28</v>
      </c>
      <c r="C3007" t="str">
        <f>CHOOSE(MATCH(B3007, {20,25,30,35,40,45,50,55,60,65,70,75,80,85}, 1), "20-24", "25-29", "30-34", "35-39", "40-44", "45-49", "50-54", "55-59", "60-64", "65-69", "70-74", "75-79", "80-84", "85+")</f>
        <v>25-29</v>
      </c>
      <c r="D3007" t="s">
        <v>7</v>
      </c>
    </row>
    <row r="3008" spans="1:4">
      <c r="A3008" t="s">
        <v>6</v>
      </c>
      <c r="B3008">
        <v>33</v>
      </c>
      <c r="C3008" t="str">
        <f>CHOOSE(MATCH(B3008, {20,25,30,35,40,45,50,55,60,65,70,75,80,85}, 1), "20-24", "25-29", "30-34", "35-39", "40-44", "45-49", "50-54", "55-59", "60-64", "65-69", "70-74", "75-79", "80-84", "85+")</f>
        <v>30-34</v>
      </c>
      <c r="D3008" t="s">
        <v>8</v>
      </c>
    </row>
    <row r="3009" spans="1:4">
      <c r="A3009" t="s">
        <v>6</v>
      </c>
      <c r="B3009">
        <v>30</v>
      </c>
      <c r="C3009" t="str">
        <f>CHOOSE(MATCH(B3009, {20,25,30,35,40,45,50,55,60,65,70,75,80,85}, 1), "20-24", "25-29", "30-34", "35-39", "40-44", "45-49", "50-54", "55-59", "60-64", "65-69", "70-74", "75-79", "80-84", "85+")</f>
        <v>30-34</v>
      </c>
      <c r="D3009" t="s">
        <v>7</v>
      </c>
    </row>
    <row r="3010" spans="1:4">
      <c r="A3010" t="s">
        <v>6</v>
      </c>
      <c r="B3010">
        <v>65</v>
      </c>
      <c r="C3010" t="str">
        <f>CHOOSE(MATCH(B3010, {20,25,30,35,40,45,50,55,60,65,70,75,80,85}, 1), "20-24", "25-29", "30-34", "35-39", "40-44", "45-49", "50-54", "55-59", "60-64", "65-69", "70-74", "75-79", "80-84", "85+")</f>
        <v>65-69</v>
      </c>
      <c r="D3010" t="s">
        <v>7</v>
      </c>
    </row>
    <row r="3011" spans="1:4">
      <c r="A3011" t="s">
        <v>6</v>
      </c>
      <c r="B3011">
        <v>36</v>
      </c>
      <c r="C3011" t="str">
        <f>CHOOSE(MATCH(B3011, {20,25,30,35,40,45,50,55,60,65,70,75,80,85}, 1), "20-24", "25-29", "30-34", "35-39", "40-44", "45-49", "50-54", "55-59", "60-64", "65-69", "70-74", "75-79", "80-84", "85+")</f>
        <v>35-39</v>
      </c>
      <c r="D3011" t="s">
        <v>8</v>
      </c>
    </row>
    <row r="3012" spans="1:4">
      <c r="A3012" t="s">
        <v>6</v>
      </c>
      <c r="B3012">
        <v>42</v>
      </c>
      <c r="C3012" t="str">
        <f>CHOOSE(MATCH(B3012, {20,25,30,35,40,45,50,55,60,65,70,75,80,85}, 1), "20-24", "25-29", "30-34", "35-39", "40-44", "45-49", "50-54", "55-59", "60-64", "65-69", "70-74", "75-79", "80-84", "85+")</f>
        <v>40-44</v>
      </c>
      <c r="D3012" t="s">
        <v>7</v>
      </c>
    </row>
    <row r="3013" spans="1:4">
      <c r="A3013" t="s">
        <v>6</v>
      </c>
      <c r="B3013">
        <v>31</v>
      </c>
      <c r="C3013" t="str">
        <f>CHOOSE(MATCH(B3013, {20,25,30,35,40,45,50,55,60,65,70,75,80,85}, 1), "20-24", "25-29", "30-34", "35-39", "40-44", "45-49", "50-54", "55-59", "60-64", "65-69", "70-74", "75-79", "80-84", "85+")</f>
        <v>30-34</v>
      </c>
      <c r="D3013" t="s">
        <v>7</v>
      </c>
    </row>
    <row r="3014" spans="1:4">
      <c r="A3014" t="s">
        <v>6</v>
      </c>
      <c r="B3014">
        <v>53</v>
      </c>
      <c r="C3014" t="str">
        <f>CHOOSE(MATCH(B3014, {20,25,30,35,40,45,50,55,60,65,70,75,80,85}, 1), "20-24", "25-29", "30-34", "35-39", "40-44", "45-49", "50-54", "55-59", "60-64", "65-69", "70-74", "75-79", "80-84", "85+")</f>
        <v>50-54</v>
      </c>
      <c r="D3014" t="s">
        <v>7</v>
      </c>
    </row>
    <row r="3015" spans="1:4">
      <c r="A3015" t="s">
        <v>6</v>
      </c>
      <c r="B3015">
        <v>43</v>
      </c>
      <c r="C3015" t="str">
        <f>CHOOSE(MATCH(B3015, {20,25,30,35,40,45,50,55,60,65,70,75,80,85}, 1), "20-24", "25-29", "30-34", "35-39", "40-44", "45-49", "50-54", "55-59", "60-64", "65-69", "70-74", "75-79", "80-84", "85+")</f>
        <v>40-44</v>
      </c>
      <c r="D3015" t="s">
        <v>8</v>
      </c>
    </row>
    <row r="3016" spans="1:4">
      <c r="A3016" t="s">
        <v>6</v>
      </c>
      <c r="B3016">
        <v>37</v>
      </c>
      <c r="C3016" t="str">
        <f>CHOOSE(MATCH(B3016, {20,25,30,35,40,45,50,55,60,65,70,75,80,85}, 1), "20-24", "25-29", "30-34", "35-39", "40-44", "45-49", "50-54", "55-59", "60-64", "65-69", "70-74", "75-79", "80-84", "85+")</f>
        <v>35-39</v>
      </c>
      <c r="D3016" t="s">
        <v>7</v>
      </c>
    </row>
    <row r="3017" spans="1:4">
      <c r="A3017" t="s">
        <v>6</v>
      </c>
      <c r="B3017">
        <v>58</v>
      </c>
      <c r="C3017" t="str">
        <f>CHOOSE(MATCH(B3017, {20,25,30,35,40,45,50,55,60,65,70,75,80,85}, 1), "20-24", "25-29", "30-34", "35-39", "40-44", "45-49", "50-54", "55-59", "60-64", "65-69", "70-74", "75-79", "80-84", "85+")</f>
        <v>55-59</v>
      </c>
      <c r="D3017" t="s">
        <v>7</v>
      </c>
    </row>
    <row r="3018" spans="1:4">
      <c r="A3018" t="s">
        <v>6</v>
      </c>
      <c r="B3018">
        <v>47</v>
      </c>
      <c r="C3018" t="str">
        <f>CHOOSE(MATCH(B3018, {20,25,30,35,40,45,50,55,60,65,70,75,80,85}, 1), "20-24", "25-29", "30-34", "35-39", "40-44", "45-49", "50-54", "55-59", "60-64", "65-69", "70-74", "75-79", "80-84", "85+")</f>
        <v>45-49</v>
      </c>
      <c r="D3018" t="s">
        <v>8</v>
      </c>
    </row>
    <row r="3019" spans="1:4">
      <c r="A3019" t="s">
        <v>6</v>
      </c>
      <c r="B3019">
        <v>49</v>
      </c>
      <c r="C3019" t="str">
        <f>CHOOSE(MATCH(B3019, {20,25,30,35,40,45,50,55,60,65,70,75,80,85}, 1), "20-24", "25-29", "30-34", "35-39", "40-44", "45-49", "50-54", "55-59", "60-64", "65-69", "70-74", "75-79", "80-84", "85+")</f>
        <v>45-49</v>
      </c>
      <c r="D3019" t="s">
        <v>8</v>
      </c>
    </row>
    <row r="3020" spans="1:4">
      <c r="A3020" t="s">
        <v>6</v>
      </c>
      <c r="B3020">
        <v>36</v>
      </c>
      <c r="C3020" t="str">
        <f>CHOOSE(MATCH(B3020, {20,25,30,35,40,45,50,55,60,65,70,75,80,85}, 1), "20-24", "25-29", "30-34", "35-39", "40-44", "45-49", "50-54", "55-59", "60-64", "65-69", "70-74", "75-79", "80-84", "85+")</f>
        <v>35-39</v>
      </c>
      <c r="D3020" t="s">
        <v>7</v>
      </c>
    </row>
    <row r="3021" spans="1:4">
      <c r="A3021" t="s">
        <v>6</v>
      </c>
      <c r="B3021">
        <v>38</v>
      </c>
      <c r="C3021" t="str">
        <f>CHOOSE(MATCH(B3021, {20,25,30,35,40,45,50,55,60,65,70,75,80,85}, 1), "20-24", "25-29", "30-34", "35-39", "40-44", "45-49", "50-54", "55-59", "60-64", "65-69", "70-74", "75-79", "80-84", "85+")</f>
        <v>35-39</v>
      </c>
      <c r="D3021" t="s">
        <v>7</v>
      </c>
    </row>
    <row r="3022" spans="1:4">
      <c r="A3022" t="s">
        <v>6</v>
      </c>
      <c r="B3022">
        <v>32</v>
      </c>
      <c r="C3022" t="str">
        <f>CHOOSE(MATCH(B3022, {20,25,30,35,40,45,50,55,60,65,70,75,80,85}, 1), "20-24", "25-29", "30-34", "35-39", "40-44", "45-49", "50-54", "55-59", "60-64", "65-69", "70-74", "75-79", "80-84", "85+")</f>
        <v>30-34</v>
      </c>
      <c r="D3022" t="s">
        <v>7</v>
      </c>
    </row>
    <row r="3023" spans="1:4">
      <c r="A3023" t="s">
        <v>6</v>
      </c>
      <c r="B3023">
        <v>59</v>
      </c>
      <c r="C3023" t="str">
        <f>CHOOSE(MATCH(B3023, {20,25,30,35,40,45,50,55,60,65,70,75,80,85}, 1), "20-24", "25-29", "30-34", "35-39", "40-44", "45-49", "50-54", "55-59", "60-64", "65-69", "70-74", "75-79", "80-84", "85+")</f>
        <v>55-59</v>
      </c>
      <c r="D3023" t="s">
        <v>8</v>
      </c>
    </row>
    <row r="3024" spans="1:4">
      <c r="A3024" t="s">
        <v>6</v>
      </c>
      <c r="B3024">
        <v>63</v>
      </c>
      <c r="C3024" t="str">
        <f>CHOOSE(MATCH(B3024, {20,25,30,35,40,45,50,55,60,65,70,75,80,85}, 1), "20-24", "25-29", "30-34", "35-39", "40-44", "45-49", "50-54", "55-59", "60-64", "65-69", "70-74", "75-79", "80-84", "85+")</f>
        <v>60-64</v>
      </c>
      <c r="D3024" t="s">
        <v>7</v>
      </c>
    </row>
    <row r="3025" spans="1:4">
      <c r="A3025" t="s">
        <v>6</v>
      </c>
      <c r="B3025">
        <v>37</v>
      </c>
      <c r="C3025" t="str">
        <f>CHOOSE(MATCH(B3025, {20,25,30,35,40,45,50,55,60,65,70,75,80,85}, 1), "20-24", "25-29", "30-34", "35-39", "40-44", "45-49", "50-54", "55-59", "60-64", "65-69", "70-74", "75-79", "80-84", "85+")</f>
        <v>35-39</v>
      </c>
      <c r="D3025" t="s">
        <v>8</v>
      </c>
    </row>
    <row r="3026" spans="1:4">
      <c r="A3026" t="s">
        <v>6</v>
      </c>
      <c r="B3026">
        <v>92</v>
      </c>
      <c r="C3026" t="str">
        <f>CHOOSE(MATCH(B3026, {20,25,30,35,40,45,50,55,60,65,70,75,80,85}, 1), "20-24", "25-29", "30-34", "35-39", "40-44", "45-49", "50-54", "55-59", "60-64", "65-69", "70-74", "75-79", "80-84", "85+")</f>
        <v>85+</v>
      </c>
      <c r="D3026" t="s">
        <v>7</v>
      </c>
    </row>
    <row r="3027" spans="1:4">
      <c r="A3027" t="s">
        <v>6</v>
      </c>
      <c r="B3027">
        <v>70</v>
      </c>
      <c r="C3027" t="str">
        <f>CHOOSE(MATCH(B3027, {20,25,30,35,40,45,50,55,60,65,70,75,80,85}, 1), "20-24", "25-29", "30-34", "35-39", "40-44", "45-49", "50-54", "55-59", "60-64", "65-69", "70-74", "75-79", "80-84", "85+")</f>
        <v>70-74</v>
      </c>
      <c r="D3027" t="s">
        <v>8</v>
      </c>
    </row>
    <row r="3028" spans="1:4">
      <c r="A3028" t="s">
        <v>6</v>
      </c>
      <c r="B3028">
        <v>30</v>
      </c>
      <c r="C3028" t="str">
        <f>CHOOSE(MATCH(B3028, {20,25,30,35,40,45,50,55,60,65,70,75,80,85}, 1), "20-24", "25-29", "30-34", "35-39", "40-44", "45-49", "50-54", "55-59", "60-64", "65-69", "70-74", "75-79", "80-84", "85+")</f>
        <v>30-34</v>
      </c>
      <c r="D3028" t="s">
        <v>8</v>
      </c>
    </row>
    <row r="3029" spans="1:4">
      <c r="A3029" t="s">
        <v>6</v>
      </c>
      <c r="B3029">
        <v>30</v>
      </c>
      <c r="C3029" t="str">
        <f>CHOOSE(MATCH(B3029, {20,25,30,35,40,45,50,55,60,65,70,75,80,85}, 1), "20-24", "25-29", "30-34", "35-39", "40-44", "45-49", "50-54", "55-59", "60-64", "65-69", "70-74", "75-79", "80-84", "85+")</f>
        <v>30-34</v>
      </c>
      <c r="D3029" t="s">
        <v>7</v>
      </c>
    </row>
    <row r="3030" spans="1:4">
      <c r="A3030" t="s">
        <v>6</v>
      </c>
      <c r="B3030">
        <v>47</v>
      </c>
      <c r="C3030" t="str">
        <f>CHOOSE(MATCH(B3030, {20,25,30,35,40,45,50,55,60,65,70,75,80,85}, 1), "20-24", "25-29", "30-34", "35-39", "40-44", "45-49", "50-54", "55-59", "60-64", "65-69", "70-74", "75-79", "80-84", "85+")</f>
        <v>45-49</v>
      </c>
      <c r="D3030" t="s">
        <v>8</v>
      </c>
    </row>
    <row r="3031" spans="1:4">
      <c r="A3031" t="s">
        <v>6</v>
      </c>
      <c r="B3031">
        <v>37</v>
      </c>
      <c r="C3031" t="str">
        <f>CHOOSE(MATCH(B3031, {20,25,30,35,40,45,50,55,60,65,70,75,80,85}, 1), "20-24", "25-29", "30-34", "35-39", "40-44", "45-49", "50-54", "55-59", "60-64", "65-69", "70-74", "75-79", "80-84", "85+")</f>
        <v>35-39</v>
      </c>
      <c r="D3031" t="s">
        <v>8</v>
      </c>
    </row>
    <row r="3032" spans="1:4">
      <c r="A3032" t="s">
        <v>6</v>
      </c>
      <c r="B3032">
        <v>26</v>
      </c>
      <c r="C3032" t="str">
        <f>CHOOSE(MATCH(B3032, {20,25,30,35,40,45,50,55,60,65,70,75,80,85}, 1), "20-24", "25-29", "30-34", "35-39", "40-44", "45-49", "50-54", "55-59", "60-64", "65-69", "70-74", "75-79", "80-84", "85+")</f>
        <v>25-29</v>
      </c>
      <c r="D3032" t="s">
        <v>7</v>
      </c>
    </row>
    <row r="3033" spans="1:4">
      <c r="A3033" t="s">
        <v>6</v>
      </c>
      <c r="B3033">
        <v>28</v>
      </c>
      <c r="C3033" t="str">
        <f>CHOOSE(MATCH(B3033, {20,25,30,35,40,45,50,55,60,65,70,75,80,85}, 1), "20-24", "25-29", "30-34", "35-39", "40-44", "45-49", "50-54", "55-59", "60-64", "65-69", "70-74", "75-79", "80-84", "85+")</f>
        <v>25-29</v>
      </c>
      <c r="D3033" t="s">
        <v>7</v>
      </c>
    </row>
    <row r="3034" spans="1:4">
      <c r="A3034" t="s">
        <v>6</v>
      </c>
      <c r="B3034">
        <v>40</v>
      </c>
      <c r="C3034" t="str">
        <f>CHOOSE(MATCH(B3034, {20,25,30,35,40,45,50,55,60,65,70,75,80,85}, 1), "20-24", "25-29", "30-34", "35-39", "40-44", "45-49", "50-54", "55-59", "60-64", "65-69", "70-74", "75-79", "80-84", "85+")</f>
        <v>40-44</v>
      </c>
      <c r="D3034" t="s">
        <v>8</v>
      </c>
    </row>
    <row r="3035" spans="1:4">
      <c r="A3035" t="s">
        <v>6</v>
      </c>
      <c r="B3035">
        <v>43</v>
      </c>
      <c r="C3035" t="str">
        <f>CHOOSE(MATCH(B3035, {20,25,30,35,40,45,50,55,60,65,70,75,80,85}, 1), "20-24", "25-29", "30-34", "35-39", "40-44", "45-49", "50-54", "55-59", "60-64", "65-69", "70-74", "75-79", "80-84", "85+")</f>
        <v>40-44</v>
      </c>
      <c r="D3035" t="s">
        <v>8</v>
      </c>
    </row>
    <row r="3036" spans="1:4">
      <c r="A3036" t="s">
        <v>6</v>
      </c>
      <c r="B3036">
        <v>55</v>
      </c>
      <c r="C3036" t="str">
        <f>CHOOSE(MATCH(B3036, {20,25,30,35,40,45,50,55,60,65,70,75,80,85}, 1), "20-24", "25-29", "30-34", "35-39", "40-44", "45-49", "50-54", "55-59", "60-64", "65-69", "70-74", "75-79", "80-84", "85+")</f>
        <v>55-59</v>
      </c>
      <c r="D3036" t="s">
        <v>7</v>
      </c>
    </row>
    <row r="3037" spans="1:4">
      <c r="A3037" t="s">
        <v>6</v>
      </c>
      <c r="B3037">
        <v>53</v>
      </c>
      <c r="C3037" t="str">
        <f>CHOOSE(MATCH(B3037, {20,25,30,35,40,45,50,55,60,65,70,75,80,85}, 1), "20-24", "25-29", "30-34", "35-39", "40-44", "45-49", "50-54", "55-59", "60-64", "65-69", "70-74", "75-79", "80-84", "85+")</f>
        <v>50-54</v>
      </c>
      <c r="D3037" t="s">
        <v>8</v>
      </c>
    </row>
    <row r="3038" spans="1:4">
      <c r="A3038" t="s">
        <v>6</v>
      </c>
      <c r="B3038">
        <v>40</v>
      </c>
      <c r="C3038" t="str">
        <f>CHOOSE(MATCH(B3038, {20,25,30,35,40,45,50,55,60,65,70,75,80,85}, 1), "20-24", "25-29", "30-34", "35-39", "40-44", "45-49", "50-54", "55-59", "60-64", "65-69", "70-74", "75-79", "80-84", "85+")</f>
        <v>40-44</v>
      </c>
      <c r="D3038" t="s">
        <v>7</v>
      </c>
    </row>
    <row r="3039" spans="1:4">
      <c r="A3039" t="s">
        <v>6</v>
      </c>
      <c r="B3039">
        <v>34</v>
      </c>
      <c r="C3039" t="str">
        <f>CHOOSE(MATCH(B3039, {20,25,30,35,40,45,50,55,60,65,70,75,80,85}, 1), "20-24", "25-29", "30-34", "35-39", "40-44", "45-49", "50-54", "55-59", "60-64", "65-69", "70-74", "75-79", "80-84", "85+")</f>
        <v>30-34</v>
      </c>
      <c r="D3039" t="s">
        <v>8</v>
      </c>
    </row>
    <row r="3040" spans="1:4">
      <c r="A3040" t="s">
        <v>6</v>
      </c>
      <c r="B3040">
        <v>82</v>
      </c>
      <c r="C3040" t="str">
        <f>CHOOSE(MATCH(B3040, {20,25,30,35,40,45,50,55,60,65,70,75,80,85}, 1), "20-24", "25-29", "30-34", "35-39", "40-44", "45-49", "50-54", "55-59", "60-64", "65-69", "70-74", "75-79", "80-84", "85+")</f>
        <v>80-84</v>
      </c>
      <c r="D3040" t="s">
        <v>8</v>
      </c>
    </row>
    <row r="3041" spans="1:4">
      <c r="A3041" t="s">
        <v>6</v>
      </c>
      <c r="B3041">
        <v>41</v>
      </c>
      <c r="C3041" t="str">
        <f>CHOOSE(MATCH(B3041, {20,25,30,35,40,45,50,55,60,65,70,75,80,85}, 1), "20-24", "25-29", "30-34", "35-39", "40-44", "45-49", "50-54", "55-59", "60-64", "65-69", "70-74", "75-79", "80-84", "85+")</f>
        <v>40-44</v>
      </c>
      <c r="D3041" t="s">
        <v>7</v>
      </c>
    </row>
    <row r="3042" spans="1:4">
      <c r="A3042" t="s">
        <v>6</v>
      </c>
      <c r="B3042">
        <v>64</v>
      </c>
      <c r="C3042" t="str">
        <f>CHOOSE(MATCH(B3042, {20,25,30,35,40,45,50,55,60,65,70,75,80,85}, 1), "20-24", "25-29", "30-34", "35-39", "40-44", "45-49", "50-54", "55-59", "60-64", "65-69", "70-74", "75-79", "80-84", "85+")</f>
        <v>60-64</v>
      </c>
      <c r="D3042" t="s">
        <v>8</v>
      </c>
    </row>
    <row r="3043" spans="1:4">
      <c r="A3043" t="s">
        <v>6</v>
      </c>
      <c r="B3043">
        <v>73</v>
      </c>
      <c r="C3043" t="str">
        <f>CHOOSE(MATCH(B3043, {20,25,30,35,40,45,50,55,60,65,70,75,80,85}, 1), "20-24", "25-29", "30-34", "35-39", "40-44", "45-49", "50-54", "55-59", "60-64", "65-69", "70-74", "75-79", "80-84", "85+")</f>
        <v>70-74</v>
      </c>
      <c r="D3043" t="s">
        <v>7</v>
      </c>
    </row>
    <row r="3044" spans="1:4">
      <c r="A3044" t="s">
        <v>6</v>
      </c>
      <c r="B3044">
        <v>22</v>
      </c>
      <c r="C3044" t="str">
        <f>CHOOSE(MATCH(B3044, {20,25,30,35,40,45,50,55,60,65,70,75,80,85}, 1), "20-24", "25-29", "30-34", "35-39", "40-44", "45-49", "50-54", "55-59", "60-64", "65-69", "70-74", "75-79", "80-84", "85+")</f>
        <v>20-24</v>
      </c>
      <c r="D3044" t="s">
        <v>8</v>
      </c>
    </row>
    <row r="3045" spans="1:4">
      <c r="A3045" t="s">
        <v>6</v>
      </c>
      <c r="B3045">
        <v>80</v>
      </c>
      <c r="C3045" t="str">
        <f>CHOOSE(MATCH(B3045, {20,25,30,35,40,45,50,55,60,65,70,75,80,85}, 1), "20-24", "25-29", "30-34", "35-39", "40-44", "45-49", "50-54", "55-59", "60-64", "65-69", "70-74", "75-79", "80-84", "85+")</f>
        <v>80-84</v>
      </c>
      <c r="D3045" t="s">
        <v>7</v>
      </c>
    </row>
    <row r="3046" spans="1:4">
      <c r="A3046" t="s">
        <v>6</v>
      </c>
      <c r="B3046">
        <v>45</v>
      </c>
      <c r="C3046" t="str">
        <f>CHOOSE(MATCH(B3046, {20,25,30,35,40,45,50,55,60,65,70,75,80,85}, 1), "20-24", "25-29", "30-34", "35-39", "40-44", "45-49", "50-54", "55-59", "60-64", "65-69", "70-74", "75-79", "80-84", "85+")</f>
        <v>45-49</v>
      </c>
      <c r="D3046" t="s">
        <v>8</v>
      </c>
    </row>
    <row r="3047" spans="1:4">
      <c r="A3047" t="s">
        <v>6</v>
      </c>
      <c r="B3047">
        <v>63</v>
      </c>
      <c r="C3047" t="str">
        <f>CHOOSE(MATCH(B3047, {20,25,30,35,40,45,50,55,60,65,70,75,80,85}, 1), "20-24", "25-29", "30-34", "35-39", "40-44", "45-49", "50-54", "55-59", "60-64", "65-69", "70-74", "75-79", "80-84", "85+")</f>
        <v>60-64</v>
      </c>
      <c r="D3047" t="s">
        <v>8</v>
      </c>
    </row>
    <row r="3048" spans="1:4">
      <c r="A3048" t="s">
        <v>6</v>
      </c>
      <c r="B3048">
        <v>55</v>
      </c>
      <c r="C3048" t="str">
        <f>CHOOSE(MATCH(B3048, {20,25,30,35,40,45,50,55,60,65,70,75,80,85}, 1), "20-24", "25-29", "30-34", "35-39", "40-44", "45-49", "50-54", "55-59", "60-64", "65-69", "70-74", "75-79", "80-84", "85+")</f>
        <v>55-59</v>
      </c>
      <c r="D3048" t="s">
        <v>7</v>
      </c>
    </row>
    <row r="3049" spans="1:4">
      <c r="A3049" t="s">
        <v>6</v>
      </c>
      <c r="B3049">
        <v>34</v>
      </c>
      <c r="C3049" t="str">
        <f>CHOOSE(MATCH(B3049, {20,25,30,35,40,45,50,55,60,65,70,75,80,85}, 1), "20-24", "25-29", "30-34", "35-39", "40-44", "45-49", "50-54", "55-59", "60-64", "65-69", "70-74", "75-79", "80-84", "85+")</f>
        <v>30-34</v>
      </c>
      <c r="D3049" t="s">
        <v>8</v>
      </c>
    </row>
    <row r="3050" spans="1:4">
      <c r="A3050" t="s">
        <v>6</v>
      </c>
      <c r="B3050">
        <v>27</v>
      </c>
      <c r="C3050" t="str">
        <f>CHOOSE(MATCH(B3050, {20,25,30,35,40,45,50,55,60,65,70,75,80,85}, 1), "20-24", "25-29", "30-34", "35-39", "40-44", "45-49", "50-54", "55-59", "60-64", "65-69", "70-74", "75-79", "80-84", "85+")</f>
        <v>25-29</v>
      </c>
      <c r="D3050" t="s">
        <v>7</v>
      </c>
    </row>
    <row r="3051" spans="1:4">
      <c r="A3051" t="s">
        <v>6</v>
      </c>
      <c r="B3051">
        <v>31</v>
      </c>
      <c r="C3051" t="str">
        <f>CHOOSE(MATCH(B3051, {20,25,30,35,40,45,50,55,60,65,70,75,80,85}, 1), "20-24", "25-29", "30-34", "35-39", "40-44", "45-49", "50-54", "55-59", "60-64", "65-69", "70-74", "75-79", "80-84", "85+")</f>
        <v>30-34</v>
      </c>
      <c r="D3051" t="s">
        <v>7</v>
      </c>
    </row>
    <row r="3052" spans="1:4">
      <c r="A3052" t="s">
        <v>6</v>
      </c>
      <c r="B3052">
        <v>25</v>
      </c>
      <c r="C3052" t="str">
        <f>CHOOSE(MATCH(B3052, {20,25,30,35,40,45,50,55,60,65,70,75,80,85}, 1), "20-24", "25-29", "30-34", "35-39", "40-44", "45-49", "50-54", "55-59", "60-64", "65-69", "70-74", "75-79", "80-84", "85+")</f>
        <v>25-29</v>
      </c>
      <c r="D3052" t="s">
        <v>8</v>
      </c>
    </row>
    <row r="3053" spans="1:4">
      <c r="A3053" t="s">
        <v>6</v>
      </c>
      <c r="B3053">
        <v>28</v>
      </c>
      <c r="C3053" t="str">
        <f>CHOOSE(MATCH(B3053, {20,25,30,35,40,45,50,55,60,65,70,75,80,85}, 1), "20-24", "25-29", "30-34", "35-39", "40-44", "45-49", "50-54", "55-59", "60-64", "65-69", "70-74", "75-79", "80-84", "85+")</f>
        <v>25-29</v>
      </c>
      <c r="D3053" t="s">
        <v>8</v>
      </c>
    </row>
    <row r="3054" spans="1:4">
      <c r="A3054" t="s">
        <v>6</v>
      </c>
      <c r="B3054">
        <v>79</v>
      </c>
      <c r="C3054" t="str">
        <f>CHOOSE(MATCH(B3054, {20,25,30,35,40,45,50,55,60,65,70,75,80,85}, 1), "20-24", "25-29", "30-34", "35-39", "40-44", "45-49", "50-54", "55-59", "60-64", "65-69", "70-74", "75-79", "80-84", "85+")</f>
        <v>75-79</v>
      </c>
      <c r="D3054" t="s">
        <v>7</v>
      </c>
    </row>
    <row r="3055" spans="1:4">
      <c r="A3055" t="s">
        <v>6</v>
      </c>
      <c r="B3055">
        <v>45</v>
      </c>
      <c r="C3055" t="str">
        <f>CHOOSE(MATCH(B3055, {20,25,30,35,40,45,50,55,60,65,70,75,80,85}, 1), "20-24", "25-29", "30-34", "35-39", "40-44", "45-49", "50-54", "55-59", "60-64", "65-69", "70-74", "75-79", "80-84", "85+")</f>
        <v>45-49</v>
      </c>
      <c r="D3055" t="s">
        <v>8</v>
      </c>
    </row>
    <row r="3056" spans="1:4">
      <c r="A3056" t="s">
        <v>6</v>
      </c>
      <c r="B3056">
        <v>31</v>
      </c>
      <c r="C3056" t="str">
        <f>CHOOSE(MATCH(B3056, {20,25,30,35,40,45,50,55,60,65,70,75,80,85}, 1), "20-24", "25-29", "30-34", "35-39", "40-44", "45-49", "50-54", "55-59", "60-64", "65-69", "70-74", "75-79", "80-84", "85+")</f>
        <v>30-34</v>
      </c>
      <c r="D3056" t="s">
        <v>8</v>
      </c>
    </row>
    <row r="3057" spans="1:4">
      <c r="A3057" t="s">
        <v>6</v>
      </c>
      <c r="B3057">
        <v>56</v>
      </c>
      <c r="C3057" t="str">
        <f>CHOOSE(MATCH(B3057, {20,25,30,35,40,45,50,55,60,65,70,75,80,85}, 1), "20-24", "25-29", "30-34", "35-39", "40-44", "45-49", "50-54", "55-59", "60-64", "65-69", "70-74", "75-79", "80-84", "85+")</f>
        <v>55-59</v>
      </c>
      <c r="D3057" t="s">
        <v>8</v>
      </c>
    </row>
    <row r="3058" spans="1:4">
      <c r="A3058" t="s">
        <v>6</v>
      </c>
      <c r="B3058">
        <v>55</v>
      </c>
      <c r="C3058" t="str">
        <f>CHOOSE(MATCH(B3058, {20,25,30,35,40,45,50,55,60,65,70,75,80,85}, 1), "20-24", "25-29", "30-34", "35-39", "40-44", "45-49", "50-54", "55-59", "60-64", "65-69", "70-74", "75-79", "80-84", "85+")</f>
        <v>55-59</v>
      </c>
      <c r="D3058" t="s">
        <v>8</v>
      </c>
    </row>
    <row r="3059" spans="1:4">
      <c r="A3059" t="s">
        <v>6</v>
      </c>
      <c r="B3059">
        <v>24</v>
      </c>
      <c r="C3059" t="str">
        <f>CHOOSE(MATCH(B3059, {20,25,30,35,40,45,50,55,60,65,70,75,80,85}, 1), "20-24", "25-29", "30-34", "35-39", "40-44", "45-49", "50-54", "55-59", "60-64", "65-69", "70-74", "75-79", "80-84", "85+")</f>
        <v>20-24</v>
      </c>
      <c r="D3059" t="s">
        <v>8</v>
      </c>
    </row>
    <row r="3060" spans="1:4">
      <c r="A3060" t="s">
        <v>6</v>
      </c>
      <c r="B3060">
        <v>38</v>
      </c>
      <c r="C3060" t="str">
        <f>CHOOSE(MATCH(B3060, {20,25,30,35,40,45,50,55,60,65,70,75,80,85}, 1), "20-24", "25-29", "30-34", "35-39", "40-44", "45-49", "50-54", "55-59", "60-64", "65-69", "70-74", "75-79", "80-84", "85+")</f>
        <v>35-39</v>
      </c>
      <c r="D3060" t="s">
        <v>7</v>
      </c>
    </row>
    <row r="3061" spans="1:4">
      <c r="A3061" t="s">
        <v>6</v>
      </c>
      <c r="B3061">
        <v>60</v>
      </c>
      <c r="C3061" t="str">
        <f>CHOOSE(MATCH(B3061, {20,25,30,35,40,45,50,55,60,65,70,75,80,85}, 1), "20-24", "25-29", "30-34", "35-39", "40-44", "45-49", "50-54", "55-59", "60-64", "65-69", "70-74", "75-79", "80-84", "85+")</f>
        <v>60-64</v>
      </c>
      <c r="D3061" t="s">
        <v>7</v>
      </c>
    </row>
    <row r="3062" spans="1:4">
      <c r="A3062" t="s">
        <v>6</v>
      </c>
      <c r="B3062">
        <v>32</v>
      </c>
      <c r="C3062" t="str">
        <f>CHOOSE(MATCH(B3062, {20,25,30,35,40,45,50,55,60,65,70,75,80,85}, 1), "20-24", "25-29", "30-34", "35-39", "40-44", "45-49", "50-54", "55-59", "60-64", "65-69", "70-74", "75-79", "80-84", "85+")</f>
        <v>30-34</v>
      </c>
      <c r="D3062" t="s">
        <v>8</v>
      </c>
    </row>
    <row r="3063" spans="1:4">
      <c r="A3063" t="s">
        <v>6</v>
      </c>
      <c r="B3063">
        <v>27</v>
      </c>
      <c r="C3063" t="str">
        <f>CHOOSE(MATCH(B3063, {20,25,30,35,40,45,50,55,60,65,70,75,80,85}, 1), "20-24", "25-29", "30-34", "35-39", "40-44", "45-49", "50-54", "55-59", "60-64", "65-69", "70-74", "75-79", "80-84", "85+")</f>
        <v>25-29</v>
      </c>
      <c r="D3063" t="s">
        <v>7</v>
      </c>
    </row>
    <row r="3064" spans="1:4">
      <c r="A3064" t="s">
        <v>6</v>
      </c>
      <c r="B3064">
        <v>48</v>
      </c>
      <c r="C3064" t="str">
        <f>CHOOSE(MATCH(B3064, {20,25,30,35,40,45,50,55,60,65,70,75,80,85}, 1), "20-24", "25-29", "30-34", "35-39", "40-44", "45-49", "50-54", "55-59", "60-64", "65-69", "70-74", "75-79", "80-84", "85+")</f>
        <v>45-49</v>
      </c>
      <c r="D3064" t="s">
        <v>7</v>
      </c>
    </row>
    <row r="3065" spans="1:4">
      <c r="A3065" t="s">
        <v>6</v>
      </c>
      <c r="B3065">
        <v>33</v>
      </c>
      <c r="C3065" t="str">
        <f>CHOOSE(MATCH(B3065, {20,25,30,35,40,45,50,55,60,65,70,75,80,85}, 1), "20-24", "25-29", "30-34", "35-39", "40-44", "45-49", "50-54", "55-59", "60-64", "65-69", "70-74", "75-79", "80-84", "85+")</f>
        <v>30-34</v>
      </c>
      <c r="D3065" t="s">
        <v>7</v>
      </c>
    </row>
    <row r="3066" spans="1:4">
      <c r="A3066" t="s">
        <v>6</v>
      </c>
      <c r="B3066">
        <v>39</v>
      </c>
      <c r="C3066" t="str">
        <f>CHOOSE(MATCH(B3066, {20,25,30,35,40,45,50,55,60,65,70,75,80,85}, 1), "20-24", "25-29", "30-34", "35-39", "40-44", "45-49", "50-54", "55-59", "60-64", "65-69", "70-74", "75-79", "80-84", "85+")</f>
        <v>35-39</v>
      </c>
      <c r="D3066" t="s">
        <v>7</v>
      </c>
    </row>
    <row r="3067" spans="1:4">
      <c r="A3067" t="s">
        <v>6</v>
      </c>
      <c r="B3067">
        <v>22</v>
      </c>
      <c r="C3067" t="str">
        <f>CHOOSE(MATCH(B3067, {20,25,30,35,40,45,50,55,60,65,70,75,80,85}, 1), "20-24", "25-29", "30-34", "35-39", "40-44", "45-49", "50-54", "55-59", "60-64", "65-69", "70-74", "75-79", "80-84", "85+")</f>
        <v>20-24</v>
      </c>
      <c r="D3067" t="s">
        <v>7</v>
      </c>
    </row>
    <row r="3068" spans="1:4">
      <c r="A3068" t="s">
        <v>6</v>
      </c>
      <c r="B3068">
        <v>29</v>
      </c>
      <c r="C3068" t="str">
        <f>CHOOSE(MATCH(B3068, {20,25,30,35,40,45,50,55,60,65,70,75,80,85}, 1), "20-24", "25-29", "30-34", "35-39", "40-44", "45-49", "50-54", "55-59", "60-64", "65-69", "70-74", "75-79", "80-84", "85+")</f>
        <v>25-29</v>
      </c>
      <c r="D3068" t="s">
        <v>7</v>
      </c>
    </row>
    <row r="3069" spans="1:4">
      <c r="A3069" t="s">
        <v>6</v>
      </c>
      <c r="B3069">
        <v>33</v>
      </c>
      <c r="C3069" t="str">
        <f>CHOOSE(MATCH(B3069, {20,25,30,35,40,45,50,55,60,65,70,75,80,85}, 1), "20-24", "25-29", "30-34", "35-39", "40-44", "45-49", "50-54", "55-59", "60-64", "65-69", "70-74", "75-79", "80-84", "85+")</f>
        <v>30-34</v>
      </c>
      <c r="D3069" t="s">
        <v>7</v>
      </c>
    </row>
    <row r="3070" spans="1:4">
      <c r="A3070" t="s">
        <v>6</v>
      </c>
      <c r="B3070">
        <v>71</v>
      </c>
      <c r="C3070" t="str">
        <f>CHOOSE(MATCH(B3070, {20,25,30,35,40,45,50,55,60,65,70,75,80,85}, 1), "20-24", "25-29", "30-34", "35-39", "40-44", "45-49", "50-54", "55-59", "60-64", "65-69", "70-74", "75-79", "80-84", "85+")</f>
        <v>70-74</v>
      </c>
      <c r="D3070" t="s">
        <v>7</v>
      </c>
    </row>
    <row r="3071" spans="1:4">
      <c r="A3071" t="s">
        <v>6</v>
      </c>
      <c r="B3071">
        <v>36</v>
      </c>
      <c r="C3071" t="str">
        <f>CHOOSE(MATCH(B3071, {20,25,30,35,40,45,50,55,60,65,70,75,80,85}, 1), "20-24", "25-29", "30-34", "35-39", "40-44", "45-49", "50-54", "55-59", "60-64", "65-69", "70-74", "75-79", "80-84", "85+")</f>
        <v>35-39</v>
      </c>
      <c r="D3071" t="s">
        <v>8</v>
      </c>
    </row>
    <row r="3072" spans="1:4">
      <c r="A3072" t="s">
        <v>6</v>
      </c>
      <c r="B3072">
        <v>29</v>
      </c>
      <c r="C3072" t="str">
        <f>CHOOSE(MATCH(B3072, {20,25,30,35,40,45,50,55,60,65,70,75,80,85}, 1), "20-24", "25-29", "30-34", "35-39", "40-44", "45-49", "50-54", "55-59", "60-64", "65-69", "70-74", "75-79", "80-84", "85+")</f>
        <v>25-29</v>
      </c>
      <c r="D3072" t="s">
        <v>7</v>
      </c>
    </row>
    <row r="3073" spans="1:4">
      <c r="A3073" t="s">
        <v>6</v>
      </c>
      <c r="B3073">
        <v>33</v>
      </c>
      <c r="C3073" t="str">
        <f>CHOOSE(MATCH(B3073, {20,25,30,35,40,45,50,55,60,65,70,75,80,85}, 1), "20-24", "25-29", "30-34", "35-39", "40-44", "45-49", "50-54", "55-59", "60-64", "65-69", "70-74", "75-79", "80-84", "85+")</f>
        <v>30-34</v>
      </c>
      <c r="D3073" t="s">
        <v>7</v>
      </c>
    </row>
    <row r="3074" spans="1:4">
      <c r="A3074" t="s">
        <v>6</v>
      </c>
      <c r="B3074">
        <v>51</v>
      </c>
      <c r="C3074" t="str">
        <f>CHOOSE(MATCH(B3074, {20,25,30,35,40,45,50,55,60,65,70,75,80,85}, 1), "20-24", "25-29", "30-34", "35-39", "40-44", "45-49", "50-54", "55-59", "60-64", "65-69", "70-74", "75-79", "80-84", "85+")</f>
        <v>50-54</v>
      </c>
      <c r="D3074" t="s">
        <v>7</v>
      </c>
    </row>
    <row r="3075" spans="1:4">
      <c r="A3075" t="s">
        <v>6</v>
      </c>
      <c r="B3075">
        <v>61</v>
      </c>
      <c r="C3075" t="str">
        <f>CHOOSE(MATCH(B3075, {20,25,30,35,40,45,50,55,60,65,70,75,80,85}, 1), "20-24", "25-29", "30-34", "35-39", "40-44", "45-49", "50-54", "55-59", "60-64", "65-69", "70-74", "75-79", "80-84", "85+")</f>
        <v>60-64</v>
      </c>
      <c r="D3075" t="s">
        <v>8</v>
      </c>
    </row>
    <row r="3076" spans="1:4">
      <c r="A3076" t="s">
        <v>6</v>
      </c>
      <c r="B3076">
        <v>98</v>
      </c>
      <c r="C3076" t="str">
        <f>CHOOSE(MATCH(B3076, {20,25,30,35,40,45,50,55,60,65,70,75,80,85}, 1), "20-24", "25-29", "30-34", "35-39", "40-44", "45-49", "50-54", "55-59", "60-64", "65-69", "70-74", "75-79", "80-84", "85+")</f>
        <v>85+</v>
      </c>
      <c r="D3076" t="s">
        <v>7</v>
      </c>
    </row>
    <row r="3077" spans="1:4">
      <c r="A3077" t="s">
        <v>6</v>
      </c>
      <c r="B3077">
        <v>36</v>
      </c>
      <c r="C3077" t="str">
        <f>CHOOSE(MATCH(B3077, {20,25,30,35,40,45,50,55,60,65,70,75,80,85}, 1), "20-24", "25-29", "30-34", "35-39", "40-44", "45-49", "50-54", "55-59", "60-64", "65-69", "70-74", "75-79", "80-84", "85+")</f>
        <v>35-39</v>
      </c>
      <c r="D3077" t="s">
        <v>7</v>
      </c>
    </row>
    <row r="3078" spans="1:4">
      <c r="A3078" t="s">
        <v>6</v>
      </c>
      <c r="B3078">
        <v>36</v>
      </c>
      <c r="C3078" t="str">
        <f>CHOOSE(MATCH(B3078, {20,25,30,35,40,45,50,55,60,65,70,75,80,85}, 1), "20-24", "25-29", "30-34", "35-39", "40-44", "45-49", "50-54", "55-59", "60-64", "65-69", "70-74", "75-79", "80-84", "85+")</f>
        <v>35-39</v>
      </c>
      <c r="D3078" t="s">
        <v>7</v>
      </c>
    </row>
    <row r="3079" spans="1:4">
      <c r="A3079" t="s">
        <v>6</v>
      </c>
      <c r="B3079">
        <v>30</v>
      </c>
      <c r="C3079" t="str">
        <f>CHOOSE(MATCH(B3079, {20,25,30,35,40,45,50,55,60,65,70,75,80,85}, 1), "20-24", "25-29", "30-34", "35-39", "40-44", "45-49", "50-54", "55-59", "60-64", "65-69", "70-74", "75-79", "80-84", "85+")</f>
        <v>30-34</v>
      </c>
      <c r="D3079" t="s">
        <v>7</v>
      </c>
    </row>
    <row r="3080" spans="1:4">
      <c r="A3080" t="s">
        <v>6</v>
      </c>
      <c r="B3080">
        <v>26</v>
      </c>
      <c r="C3080" t="str">
        <f>CHOOSE(MATCH(B3080, {20,25,30,35,40,45,50,55,60,65,70,75,80,85}, 1), "20-24", "25-29", "30-34", "35-39", "40-44", "45-49", "50-54", "55-59", "60-64", "65-69", "70-74", "75-79", "80-84", "85+")</f>
        <v>25-29</v>
      </c>
      <c r="D3080" t="s">
        <v>7</v>
      </c>
    </row>
    <row r="3081" spans="1:4">
      <c r="A3081" t="s">
        <v>6</v>
      </c>
      <c r="B3081">
        <v>39</v>
      </c>
      <c r="C3081" t="str">
        <f>CHOOSE(MATCH(B3081, {20,25,30,35,40,45,50,55,60,65,70,75,80,85}, 1), "20-24", "25-29", "30-34", "35-39", "40-44", "45-49", "50-54", "55-59", "60-64", "65-69", "70-74", "75-79", "80-84", "85+")</f>
        <v>35-39</v>
      </c>
      <c r="D3081" t="s">
        <v>8</v>
      </c>
    </row>
    <row r="3082" spans="1:4">
      <c r="A3082" t="s">
        <v>6</v>
      </c>
      <c r="B3082">
        <v>60</v>
      </c>
      <c r="C3082" t="str">
        <f>CHOOSE(MATCH(B3082, {20,25,30,35,40,45,50,55,60,65,70,75,80,85}, 1), "20-24", "25-29", "30-34", "35-39", "40-44", "45-49", "50-54", "55-59", "60-64", "65-69", "70-74", "75-79", "80-84", "85+")</f>
        <v>60-64</v>
      </c>
      <c r="D3082" t="s">
        <v>8</v>
      </c>
    </row>
    <row r="3083" spans="1:4">
      <c r="A3083" t="s">
        <v>6</v>
      </c>
      <c r="B3083">
        <v>75</v>
      </c>
      <c r="C3083" t="str">
        <f>CHOOSE(MATCH(B3083, {20,25,30,35,40,45,50,55,60,65,70,75,80,85}, 1), "20-24", "25-29", "30-34", "35-39", "40-44", "45-49", "50-54", "55-59", "60-64", "65-69", "70-74", "75-79", "80-84", "85+")</f>
        <v>75-79</v>
      </c>
      <c r="D3083" t="s">
        <v>7</v>
      </c>
    </row>
    <row r="3084" spans="1:4">
      <c r="A3084" t="s">
        <v>6</v>
      </c>
      <c r="B3084">
        <v>60</v>
      </c>
      <c r="C3084" t="str">
        <f>CHOOSE(MATCH(B3084, {20,25,30,35,40,45,50,55,60,65,70,75,80,85}, 1), "20-24", "25-29", "30-34", "35-39", "40-44", "45-49", "50-54", "55-59", "60-64", "65-69", "70-74", "75-79", "80-84", "85+")</f>
        <v>60-64</v>
      </c>
      <c r="D3084" t="s">
        <v>8</v>
      </c>
    </row>
    <row r="3085" spans="1:4">
      <c r="A3085" t="s">
        <v>6</v>
      </c>
      <c r="B3085">
        <v>22</v>
      </c>
      <c r="C3085" t="str">
        <f>CHOOSE(MATCH(B3085, {20,25,30,35,40,45,50,55,60,65,70,75,80,85}, 1), "20-24", "25-29", "30-34", "35-39", "40-44", "45-49", "50-54", "55-59", "60-64", "65-69", "70-74", "75-79", "80-84", "85+")</f>
        <v>20-24</v>
      </c>
      <c r="D3085" t="s">
        <v>7</v>
      </c>
    </row>
    <row r="3086" spans="1:4">
      <c r="A3086" t="s">
        <v>6</v>
      </c>
      <c r="B3086">
        <v>25</v>
      </c>
      <c r="C3086" t="str">
        <f>CHOOSE(MATCH(B3086, {20,25,30,35,40,45,50,55,60,65,70,75,80,85}, 1), "20-24", "25-29", "30-34", "35-39", "40-44", "45-49", "50-54", "55-59", "60-64", "65-69", "70-74", "75-79", "80-84", "85+")</f>
        <v>25-29</v>
      </c>
      <c r="D3086" t="s">
        <v>7</v>
      </c>
    </row>
    <row r="3087" spans="1:4">
      <c r="A3087" t="s">
        <v>6</v>
      </c>
      <c r="B3087">
        <v>68</v>
      </c>
      <c r="C3087" t="str">
        <f>CHOOSE(MATCH(B3087, {20,25,30,35,40,45,50,55,60,65,70,75,80,85}, 1), "20-24", "25-29", "30-34", "35-39", "40-44", "45-49", "50-54", "55-59", "60-64", "65-69", "70-74", "75-79", "80-84", "85+")</f>
        <v>65-69</v>
      </c>
      <c r="D3087" t="s">
        <v>7</v>
      </c>
    </row>
    <row r="3088" spans="1:4">
      <c r="A3088" t="s">
        <v>6</v>
      </c>
      <c r="B3088">
        <v>34</v>
      </c>
      <c r="C3088" t="str">
        <f>CHOOSE(MATCH(B3088, {20,25,30,35,40,45,50,55,60,65,70,75,80,85}, 1), "20-24", "25-29", "30-34", "35-39", "40-44", "45-49", "50-54", "55-59", "60-64", "65-69", "70-74", "75-79", "80-84", "85+")</f>
        <v>30-34</v>
      </c>
      <c r="D3088" t="s">
        <v>7</v>
      </c>
    </row>
    <row r="3089" spans="1:4">
      <c r="A3089" t="s">
        <v>6</v>
      </c>
      <c r="B3089">
        <v>26</v>
      </c>
      <c r="C3089" t="str">
        <f>CHOOSE(MATCH(B3089, {20,25,30,35,40,45,50,55,60,65,70,75,80,85}, 1), "20-24", "25-29", "30-34", "35-39", "40-44", "45-49", "50-54", "55-59", "60-64", "65-69", "70-74", "75-79", "80-84", "85+")</f>
        <v>25-29</v>
      </c>
      <c r="D3089" t="s">
        <v>7</v>
      </c>
    </row>
    <row r="3090" spans="1:4">
      <c r="A3090" t="s">
        <v>6</v>
      </c>
      <c r="B3090">
        <v>51</v>
      </c>
      <c r="C3090" t="str">
        <f>CHOOSE(MATCH(B3090, {20,25,30,35,40,45,50,55,60,65,70,75,80,85}, 1), "20-24", "25-29", "30-34", "35-39", "40-44", "45-49", "50-54", "55-59", "60-64", "65-69", "70-74", "75-79", "80-84", "85+")</f>
        <v>50-54</v>
      </c>
      <c r="D3090" t="s">
        <v>8</v>
      </c>
    </row>
    <row r="3091" spans="1:4">
      <c r="A3091" t="s">
        <v>6</v>
      </c>
      <c r="B3091">
        <v>37</v>
      </c>
      <c r="C3091" t="str">
        <f>CHOOSE(MATCH(B3091, {20,25,30,35,40,45,50,55,60,65,70,75,80,85}, 1), "20-24", "25-29", "30-34", "35-39", "40-44", "45-49", "50-54", "55-59", "60-64", "65-69", "70-74", "75-79", "80-84", "85+")</f>
        <v>35-39</v>
      </c>
      <c r="D3091" t="s">
        <v>7</v>
      </c>
    </row>
    <row r="3092" spans="1:4">
      <c r="A3092" t="s">
        <v>6</v>
      </c>
      <c r="B3092">
        <v>34</v>
      </c>
      <c r="C3092" t="str">
        <f>CHOOSE(MATCH(B3092, {20,25,30,35,40,45,50,55,60,65,70,75,80,85}, 1), "20-24", "25-29", "30-34", "35-39", "40-44", "45-49", "50-54", "55-59", "60-64", "65-69", "70-74", "75-79", "80-84", "85+")</f>
        <v>30-34</v>
      </c>
      <c r="D3092" t="s">
        <v>7</v>
      </c>
    </row>
    <row r="3093" spans="1:4">
      <c r="A3093" t="s">
        <v>6</v>
      </c>
      <c r="B3093">
        <v>34</v>
      </c>
      <c r="C3093" t="str">
        <f>CHOOSE(MATCH(B3093, {20,25,30,35,40,45,50,55,60,65,70,75,80,85}, 1), "20-24", "25-29", "30-34", "35-39", "40-44", "45-49", "50-54", "55-59", "60-64", "65-69", "70-74", "75-79", "80-84", "85+")</f>
        <v>30-34</v>
      </c>
      <c r="D3093" t="s">
        <v>8</v>
      </c>
    </row>
    <row r="3094" spans="1:4">
      <c r="A3094" t="s">
        <v>6</v>
      </c>
      <c r="B3094">
        <v>32</v>
      </c>
      <c r="C3094" t="str">
        <f>CHOOSE(MATCH(B3094, {20,25,30,35,40,45,50,55,60,65,70,75,80,85}, 1), "20-24", "25-29", "30-34", "35-39", "40-44", "45-49", "50-54", "55-59", "60-64", "65-69", "70-74", "75-79", "80-84", "85+")</f>
        <v>30-34</v>
      </c>
      <c r="D3094" t="s">
        <v>8</v>
      </c>
    </row>
    <row r="3095" spans="1:4">
      <c r="A3095" t="s">
        <v>6</v>
      </c>
      <c r="B3095">
        <v>37</v>
      </c>
      <c r="C3095" t="str">
        <f>CHOOSE(MATCH(B3095, {20,25,30,35,40,45,50,55,60,65,70,75,80,85}, 1), "20-24", "25-29", "30-34", "35-39", "40-44", "45-49", "50-54", "55-59", "60-64", "65-69", "70-74", "75-79", "80-84", "85+")</f>
        <v>35-39</v>
      </c>
      <c r="D3095" t="s">
        <v>7</v>
      </c>
    </row>
    <row r="3096" spans="1:4">
      <c r="A3096" t="s">
        <v>6</v>
      </c>
      <c r="B3096">
        <v>35</v>
      </c>
      <c r="C3096" t="str">
        <f>CHOOSE(MATCH(B3096, {20,25,30,35,40,45,50,55,60,65,70,75,80,85}, 1), "20-24", "25-29", "30-34", "35-39", "40-44", "45-49", "50-54", "55-59", "60-64", "65-69", "70-74", "75-79", "80-84", "85+")</f>
        <v>35-39</v>
      </c>
      <c r="D3096" t="s">
        <v>8</v>
      </c>
    </row>
    <row r="3097" spans="1:4">
      <c r="A3097" t="s">
        <v>6</v>
      </c>
      <c r="B3097">
        <v>62</v>
      </c>
      <c r="C3097" t="str">
        <f>CHOOSE(MATCH(B3097, {20,25,30,35,40,45,50,55,60,65,70,75,80,85}, 1), "20-24", "25-29", "30-34", "35-39", "40-44", "45-49", "50-54", "55-59", "60-64", "65-69", "70-74", "75-79", "80-84", "85+")</f>
        <v>60-64</v>
      </c>
      <c r="D3097" t="s">
        <v>8</v>
      </c>
    </row>
    <row r="3098" spans="1:4">
      <c r="A3098" t="s">
        <v>6</v>
      </c>
      <c r="B3098">
        <v>59</v>
      </c>
      <c r="C3098" t="str">
        <f>CHOOSE(MATCH(B3098, {20,25,30,35,40,45,50,55,60,65,70,75,80,85}, 1), "20-24", "25-29", "30-34", "35-39", "40-44", "45-49", "50-54", "55-59", "60-64", "65-69", "70-74", "75-79", "80-84", "85+")</f>
        <v>55-59</v>
      </c>
      <c r="D3098" t="s">
        <v>8</v>
      </c>
    </row>
    <row r="3099" spans="1:4">
      <c r="A3099" t="s">
        <v>6</v>
      </c>
      <c r="B3099">
        <v>72</v>
      </c>
      <c r="C3099" t="str">
        <f>CHOOSE(MATCH(B3099, {20,25,30,35,40,45,50,55,60,65,70,75,80,85}, 1), "20-24", "25-29", "30-34", "35-39", "40-44", "45-49", "50-54", "55-59", "60-64", "65-69", "70-74", "75-79", "80-84", "85+")</f>
        <v>70-74</v>
      </c>
      <c r="D3099" t="s">
        <v>7</v>
      </c>
    </row>
    <row r="3100" spans="1:4">
      <c r="A3100" t="s">
        <v>6</v>
      </c>
      <c r="B3100">
        <v>32</v>
      </c>
      <c r="C3100" t="str">
        <f>CHOOSE(MATCH(B3100, {20,25,30,35,40,45,50,55,60,65,70,75,80,85}, 1), "20-24", "25-29", "30-34", "35-39", "40-44", "45-49", "50-54", "55-59", "60-64", "65-69", "70-74", "75-79", "80-84", "85+")</f>
        <v>30-34</v>
      </c>
      <c r="D3100" t="s">
        <v>8</v>
      </c>
    </row>
    <row r="3101" spans="1:4">
      <c r="A3101" t="s">
        <v>6</v>
      </c>
      <c r="B3101">
        <v>64</v>
      </c>
      <c r="C3101" t="str">
        <f>CHOOSE(MATCH(B3101, {20,25,30,35,40,45,50,55,60,65,70,75,80,85}, 1), "20-24", "25-29", "30-34", "35-39", "40-44", "45-49", "50-54", "55-59", "60-64", "65-69", "70-74", "75-79", "80-84", "85+")</f>
        <v>60-64</v>
      </c>
      <c r="D3101" t="s">
        <v>8</v>
      </c>
    </row>
    <row r="3102" spans="1:4">
      <c r="A3102" t="s">
        <v>6</v>
      </c>
      <c r="B3102">
        <v>54</v>
      </c>
      <c r="C3102" t="str">
        <f>CHOOSE(MATCH(B3102, {20,25,30,35,40,45,50,55,60,65,70,75,80,85}, 1), "20-24", "25-29", "30-34", "35-39", "40-44", "45-49", "50-54", "55-59", "60-64", "65-69", "70-74", "75-79", "80-84", "85+")</f>
        <v>50-54</v>
      </c>
      <c r="D3102" t="s">
        <v>8</v>
      </c>
    </row>
    <row r="3103" spans="1:4">
      <c r="A3103" t="s">
        <v>6</v>
      </c>
      <c r="B3103">
        <v>23</v>
      </c>
      <c r="C3103" t="str">
        <f>CHOOSE(MATCH(B3103, {20,25,30,35,40,45,50,55,60,65,70,75,80,85}, 1), "20-24", "25-29", "30-34", "35-39", "40-44", "45-49", "50-54", "55-59", "60-64", "65-69", "70-74", "75-79", "80-84", "85+")</f>
        <v>20-24</v>
      </c>
      <c r="D3103" t="s">
        <v>8</v>
      </c>
    </row>
    <row r="3104" spans="1:4">
      <c r="A3104" t="s">
        <v>6</v>
      </c>
      <c r="B3104">
        <v>42</v>
      </c>
      <c r="C3104" t="str">
        <f>CHOOSE(MATCH(B3104, {20,25,30,35,40,45,50,55,60,65,70,75,80,85}, 1), "20-24", "25-29", "30-34", "35-39", "40-44", "45-49", "50-54", "55-59", "60-64", "65-69", "70-74", "75-79", "80-84", "85+")</f>
        <v>40-44</v>
      </c>
      <c r="D3104" t="s">
        <v>8</v>
      </c>
    </row>
    <row r="3105" spans="1:4">
      <c r="A3105" t="s">
        <v>6</v>
      </c>
      <c r="B3105">
        <v>57</v>
      </c>
      <c r="C3105" t="str">
        <f>CHOOSE(MATCH(B3105, {20,25,30,35,40,45,50,55,60,65,70,75,80,85}, 1), "20-24", "25-29", "30-34", "35-39", "40-44", "45-49", "50-54", "55-59", "60-64", "65-69", "70-74", "75-79", "80-84", "85+")</f>
        <v>55-59</v>
      </c>
      <c r="D3105" t="s">
        <v>7</v>
      </c>
    </row>
    <row r="3106" spans="1:4">
      <c r="A3106" t="s">
        <v>6</v>
      </c>
      <c r="B3106">
        <v>60</v>
      </c>
      <c r="C3106" t="str">
        <f>CHOOSE(MATCH(B3106, {20,25,30,35,40,45,50,55,60,65,70,75,80,85}, 1), "20-24", "25-29", "30-34", "35-39", "40-44", "45-49", "50-54", "55-59", "60-64", "65-69", "70-74", "75-79", "80-84", "85+")</f>
        <v>60-64</v>
      </c>
      <c r="D3106" t="s">
        <v>8</v>
      </c>
    </row>
    <row r="3107" spans="1:4">
      <c r="A3107" t="s">
        <v>6</v>
      </c>
      <c r="B3107">
        <v>44</v>
      </c>
      <c r="C3107" t="str">
        <f>CHOOSE(MATCH(B3107, {20,25,30,35,40,45,50,55,60,65,70,75,80,85}, 1), "20-24", "25-29", "30-34", "35-39", "40-44", "45-49", "50-54", "55-59", "60-64", "65-69", "70-74", "75-79", "80-84", "85+")</f>
        <v>40-44</v>
      </c>
      <c r="D3107" t="s">
        <v>7</v>
      </c>
    </row>
    <row r="3108" spans="1:4">
      <c r="A3108" t="s">
        <v>6</v>
      </c>
      <c r="B3108">
        <v>35</v>
      </c>
      <c r="C3108" t="str">
        <f>CHOOSE(MATCH(B3108, {20,25,30,35,40,45,50,55,60,65,70,75,80,85}, 1), "20-24", "25-29", "30-34", "35-39", "40-44", "45-49", "50-54", "55-59", "60-64", "65-69", "70-74", "75-79", "80-84", "85+")</f>
        <v>35-39</v>
      </c>
      <c r="D3108" t="s">
        <v>8</v>
      </c>
    </row>
    <row r="3109" spans="1:4">
      <c r="A3109" t="s">
        <v>6</v>
      </c>
      <c r="B3109">
        <v>30</v>
      </c>
      <c r="C3109" t="str">
        <f>CHOOSE(MATCH(B3109, {20,25,30,35,40,45,50,55,60,65,70,75,80,85}, 1), "20-24", "25-29", "30-34", "35-39", "40-44", "45-49", "50-54", "55-59", "60-64", "65-69", "70-74", "75-79", "80-84", "85+")</f>
        <v>30-34</v>
      </c>
      <c r="D3109" t="s">
        <v>7</v>
      </c>
    </row>
    <row r="3110" spans="1:4">
      <c r="A3110" t="s">
        <v>6</v>
      </c>
      <c r="B3110">
        <v>40</v>
      </c>
      <c r="C3110" t="str">
        <f>CHOOSE(MATCH(B3110, {20,25,30,35,40,45,50,55,60,65,70,75,80,85}, 1), "20-24", "25-29", "30-34", "35-39", "40-44", "45-49", "50-54", "55-59", "60-64", "65-69", "70-74", "75-79", "80-84", "85+")</f>
        <v>40-44</v>
      </c>
      <c r="D3110" t="s">
        <v>8</v>
      </c>
    </row>
    <row r="3111" spans="1:4">
      <c r="A3111" t="s">
        <v>6</v>
      </c>
      <c r="B3111">
        <v>38</v>
      </c>
      <c r="C3111" t="str">
        <f>CHOOSE(MATCH(B3111, {20,25,30,35,40,45,50,55,60,65,70,75,80,85}, 1), "20-24", "25-29", "30-34", "35-39", "40-44", "45-49", "50-54", "55-59", "60-64", "65-69", "70-74", "75-79", "80-84", "85+")</f>
        <v>35-39</v>
      </c>
      <c r="D3111" t="s">
        <v>8</v>
      </c>
    </row>
    <row r="3112" spans="1:4">
      <c r="A3112" t="s">
        <v>6</v>
      </c>
      <c r="B3112">
        <v>63</v>
      </c>
      <c r="C3112" t="str">
        <f>CHOOSE(MATCH(B3112, {20,25,30,35,40,45,50,55,60,65,70,75,80,85}, 1), "20-24", "25-29", "30-34", "35-39", "40-44", "45-49", "50-54", "55-59", "60-64", "65-69", "70-74", "75-79", "80-84", "85+")</f>
        <v>60-64</v>
      </c>
      <c r="D3112" t="s">
        <v>8</v>
      </c>
    </row>
    <row r="3113" spans="1:4">
      <c r="A3113" t="s">
        <v>6</v>
      </c>
      <c r="B3113">
        <v>22</v>
      </c>
      <c r="C3113" t="str">
        <f>CHOOSE(MATCH(B3113, {20,25,30,35,40,45,50,55,60,65,70,75,80,85}, 1), "20-24", "25-29", "30-34", "35-39", "40-44", "45-49", "50-54", "55-59", "60-64", "65-69", "70-74", "75-79", "80-84", "85+")</f>
        <v>20-24</v>
      </c>
      <c r="D3113" t="s">
        <v>7</v>
      </c>
    </row>
    <row r="3114" spans="1:4">
      <c r="A3114" t="s">
        <v>6</v>
      </c>
      <c r="B3114">
        <v>21</v>
      </c>
      <c r="C3114" t="str">
        <f>CHOOSE(MATCH(B3114, {20,25,30,35,40,45,50,55,60,65,70,75,80,85}, 1), "20-24", "25-29", "30-34", "35-39", "40-44", "45-49", "50-54", "55-59", "60-64", "65-69", "70-74", "75-79", "80-84", "85+")</f>
        <v>20-24</v>
      </c>
      <c r="D3114" t="s">
        <v>8</v>
      </c>
    </row>
    <row r="3115" spans="1:4">
      <c r="A3115" t="s">
        <v>6</v>
      </c>
      <c r="B3115">
        <v>69</v>
      </c>
      <c r="C3115" t="str">
        <f>CHOOSE(MATCH(B3115, {20,25,30,35,40,45,50,55,60,65,70,75,80,85}, 1), "20-24", "25-29", "30-34", "35-39", "40-44", "45-49", "50-54", "55-59", "60-64", "65-69", "70-74", "75-79", "80-84", "85+")</f>
        <v>65-69</v>
      </c>
      <c r="D3115" t="s">
        <v>7</v>
      </c>
    </row>
    <row r="3116" spans="1:4">
      <c r="A3116" t="s">
        <v>6</v>
      </c>
      <c r="B3116">
        <v>38</v>
      </c>
      <c r="C3116" t="str">
        <f>CHOOSE(MATCH(B3116, {20,25,30,35,40,45,50,55,60,65,70,75,80,85}, 1), "20-24", "25-29", "30-34", "35-39", "40-44", "45-49", "50-54", "55-59", "60-64", "65-69", "70-74", "75-79", "80-84", "85+")</f>
        <v>35-39</v>
      </c>
      <c r="D3116" t="s">
        <v>8</v>
      </c>
    </row>
    <row r="3117" spans="1:4">
      <c r="A3117" t="s">
        <v>6</v>
      </c>
      <c r="B3117">
        <v>51</v>
      </c>
      <c r="C3117" t="str">
        <f>CHOOSE(MATCH(B3117, {20,25,30,35,40,45,50,55,60,65,70,75,80,85}, 1), "20-24", "25-29", "30-34", "35-39", "40-44", "45-49", "50-54", "55-59", "60-64", "65-69", "70-74", "75-79", "80-84", "85+")</f>
        <v>50-54</v>
      </c>
      <c r="D3117" t="s">
        <v>7</v>
      </c>
    </row>
    <row r="3118" spans="1:4">
      <c r="A3118" t="s">
        <v>6</v>
      </c>
      <c r="B3118">
        <v>26</v>
      </c>
      <c r="C3118" t="str">
        <f>CHOOSE(MATCH(B3118, {20,25,30,35,40,45,50,55,60,65,70,75,80,85}, 1), "20-24", "25-29", "30-34", "35-39", "40-44", "45-49", "50-54", "55-59", "60-64", "65-69", "70-74", "75-79", "80-84", "85+")</f>
        <v>25-29</v>
      </c>
      <c r="D3118" t="s">
        <v>7</v>
      </c>
    </row>
    <row r="3119" spans="1:4">
      <c r="A3119" t="s">
        <v>6</v>
      </c>
      <c r="B3119">
        <v>34</v>
      </c>
      <c r="C3119" t="str">
        <f>CHOOSE(MATCH(B3119, {20,25,30,35,40,45,50,55,60,65,70,75,80,85}, 1), "20-24", "25-29", "30-34", "35-39", "40-44", "45-49", "50-54", "55-59", "60-64", "65-69", "70-74", "75-79", "80-84", "85+")</f>
        <v>30-34</v>
      </c>
      <c r="D3119" t="s">
        <v>8</v>
      </c>
    </row>
    <row r="3120" spans="1:4">
      <c r="A3120" t="s">
        <v>6</v>
      </c>
      <c r="B3120">
        <v>24</v>
      </c>
      <c r="C3120" t="str">
        <f>CHOOSE(MATCH(B3120, {20,25,30,35,40,45,50,55,60,65,70,75,80,85}, 1), "20-24", "25-29", "30-34", "35-39", "40-44", "45-49", "50-54", "55-59", "60-64", "65-69", "70-74", "75-79", "80-84", "85+")</f>
        <v>20-24</v>
      </c>
      <c r="D3120" t="s">
        <v>8</v>
      </c>
    </row>
    <row r="3121" spans="1:4">
      <c r="A3121" t="s">
        <v>6</v>
      </c>
      <c r="B3121">
        <v>41</v>
      </c>
      <c r="C3121" t="str">
        <f>CHOOSE(MATCH(B3121, {20,25,30,35,40,45,50,55,60,65,70,75,80,85}, 1), "20-24", "25-29", "30-34", "35-39", "40-44", "45-49", "50-54", "55-59", "60-64", "65-69", "70-74", "75-79", "80-84", "85+")</f>
        <v>40-44</v>
      </c>
      <c r="D3121" t="s">
        <v>7</v>
      </c>
    </row>
    <row r="3122" spans="1:4">
      <c r="A3122" t="s">
        <v>6</v>
      </c>
      <c r="B3122">
        <v>48</v>
      </c>
      <c r="C3122" t="str">
        <f>CHOOSE(MATCH(B3122, {20,25,30,35,40,45,50,55,60,65,70,75,80,85}, 1), "20-24", "25-29", "30-34", "35-39", "40-44", "45-49", "50-54", "55-59", "60-64", "65-69", "70-74", "75-79", "80-84", "85+")</f>
        <v>45-49</v>
      </c>
      <c r="D3122" t="s">
        <v>7</v>
      </c>
    </row>
    <row r="3123" spans="1:4">
      <c r="A3123" t="s">
        <v>6</v>
      </c>
      <c r="B3123">
        <v>57</v>
      </c>
      <c r="C3123" t="str">
        <f>CHOOSE(MATCH(B3123, {20,25,30,35,40,45,50,55,60,65,70,75,80,85}, 1), "20-24", "25-29", "30-34", "35-39", "40-44", "45-49", "50-54", "55-59", "60-64", "65-69", "70-74", "75-79", "80-84", "85+")</f>
        <v>55-59</v>
      </c>
      <c r="D3123" t="s">
        <v>8</v>
      </c>
    </row>
    <row r="3124" spans="1:4">
      <c r="A3124" t="s">
        <v>6</v>
      </c>
      <c r="B3124">
        <v>43</v>
      </c>
      <c r="C3124" t="str">
        <f>CHOOSE(MATCH(B3124, {20,25,30,35,40,45,50,55,60,65,70,75,80,85}, 1), "20-24", "25-29", "30-34", "35-39", "40-44", "45-49", "50-54", "55-59", "60-64", "65-69", "70-74", "75-79", "80-84", "85+")</f>
        <v>40-44</v>
      </c>
      <c r="D3124" t="s">
        <v>8</v>
      </c>
    </row>
    <row r="3125" spans="1:4">
      <c r="A3125" t="s">
        <v>6</v>
      </c>
      <c r="B3125">
        <v>24</v>
      </c>
      <c r="C3125" t="str">
        <f>CHOOSE(MATCH(B3125, {20,25,30,35,40,45,50,55,60,65,70,75,80,85}, 1), "20-24", "25-29", "30-34", "35-39", "40-44", "45-49", "50-54", "55-59", "60-64", "65-69", "70-74", "75-79", "80-84", "85+")</f>
        <v>20-24</v>
      </c>
      <c r="D3125" t="s">
        <v>7</v>
      </c>
    </row>
    <row r="3126" spans="1:4">
      <c r="A3126" t="s">
        <v>6</v>
      </c>
      <c r="B3126">
        <v>36</v>
      </c>
      <c r="C3126" t="str">
        <f>CHOOSE(MATCH(B3126, {20,25,30,35,40,45,50,55,60,65,70,75,80,85}, 1), "20-24", "25-29", "30-34", "35-39", "40-44", "45-49", "50-54", "55-59", "60-64", "65-69", "70-74", "75-79", "80-84", "85+")</f>
        <v>35-39</v>
      </c>
      <c r="D3126" t="s">
        <v>7</v>
      </c>
    </row>
    <row r="3127" spans="1:4">
      <c r="A3127" t="s">
        <v>6</v>
      </c>
      <c r="B3127">
        <v>41</v>
      </c>
      <c r="C3127" t="str">
        <f>CHOOSE(MATCH(B3127, {20,25,30,35,40,45,50,55,60,65,70,75,80,85}, 1), "20-24", "25-29", "30-34", "35-39", "40-44", "45-49", "50-54", "55-59", "60-64", "65-69", "70-74", "75-79", "80-84", "85+")</f>
        <v>40-44</v>
      </c>
      <c r="D3127" t="s">
        <v>7</v>
      </c>
    </row>
    <row r="3128" spans="1:4">
      <c r="A3128" t="s">
        <v>6</v>
      </c>
      <c r="B3128">
        <v>48</v>
      </c>
      <c r="C3128" t="str">
        <f>CHOOSE(MATCH(B3128, {20,25,30,35,40,45,50,55,60,65,70,75,80,85}, 1), "20-24", "25-29", "30-34", "35-39", "40-44", "45-49", "50-54", "55-59", "60-64", "65-69", "70-74", "75-79", "80-84", "85+")</f>
        <v>45-49</v>
      </c>
      <c r="D3128" t="s">
        <v>7</v>
      </c>
    </row>
    <row r="3129" spans="1:4">
      <c r="A3129" t="s">
        <v>6</v>
      </c>
      <c r="B3129">
        <v>27</v>
      </c>
      <c r="C3129" t="str">
        <f>CHOOSE(MATCH(B3129, {20,25,30,35,40,45,50,55,60,65,70,75,80,85}, 1), "20-24", "25-29", "30-34", "35-39", "40-44", "45-49", "50-54", "55-59", "60-64", "65-69", "70-74", "75-79", "80-84", "85+")</f>
        <v>25-29</v>
      </c>
      <c r="D3129" t="s">
        <v>7</v>
      </c>
    </row>
    <row r="3130" spans="1:4">
      <c r="A3130" t="s">
        <v>6</v>
      </c>
      <c r="B3130">
        <v>24</v>
      </c>
      <c r="C3130" t="str">
        <f>CHOOSE(MATCH(B3130, {20,25,30,35,40,45,50,55,60,65,70,75,80,85}, 1), "20-24", "25-29", "30-34", "35-39", "40-44", "45-49", "50-54", "55-59", "60-64", "65-69", "70-74", "75-79", "80-84", "85+")</f>
        <v>20-24</v>
      </c>
      <c r="D3130" t="s">
        <v>7</v>
      </c>
    </row>
    <row r="3131" spans="1:4">
      <c r="A3131" t="s">
        <v>6</v>
      </c>
      <c r="B3131">
        <v>61</v>
      </c>
      <c r="C3131" t="str">
        <f>CHOOSE(MATCH(B3131, {20,25,30,35,40,45,50,55,60,65,70,75,80,85}, 1), "20-24", "25-29", "30-34", "35-39", "40-44", "45-49", "50-54", "55-59", "60-64", "65-69", "70-74", "75-79", "80-84", "85+")</f>
        <v>60-64</v>
      </c>
      <c r="D3131" t="s">
        <v>8</v>
      </c>
    </row>
    <row r="3132" spans="1:4">
      <c r="A3132" t="s">
        <v>6</v>
      </c>
      <c r="B3132">
        <v>87</v>
      </c>
      <c r="C3132" t="str">
        <f>CHOOSE(MATCH(B3132, {20,25,30,35,40,45,50,55,60,65,70,75,80,85}, 1), "20-24", "25-29", "30-34", "35-39", "40-44", "45-49", "50-54", "55-59", "60-64", "65-69", "70-74", "75-79", "80-84", "85+")</f>
        <v>85+</v>
      </c>
      <c r="D3132" t="s">
        <v>7</v>
      </c>
    </row>
    <row r="3133" spans="1:4">
      <c r="A3133" t="s">
        <v>6</v>
      </c>
      <c r="B3133">
        <v>30</v>
      </c>
      <c r="C3133" t="str">
        <f>CHOOSE(MATCH(B3133, {20,25,30,35,40,45,50,55,60,65,70,75,80,85}, 1), "20-24", "25-29", "30-34", "35-39", "40-44", "45-49", "50-54", "55-59", "60-64", "65-69", "70-74", "75-79", "80-84", "85+")</f>
        <v>30-34</v>
      </c>
      <c r="D3133" t="s">
        <v>7</v>
      </c>
    </row>
    <row r="3134" spans="1:4">
      <c r="A3134" t="s">
        <v>6</v>
      </c>
      <c r="B3134">
        <v>68</v>
      </c>
      <c r="C3134" t="str">
        <f>CHOOSE(MATCH(B3134, {20,25,30,35,40,45,50,55,60,65,70,75,80,85}, 1), "20-24", "25-29", "30-34", "35-39", "40-44", "45-49", "50-54", "55-59", "60-64", "65-69", "70-74", "75-79", "80-84", "85+")</f>
        <v>65-69</v>
      </c>
      <c r="D3134" t="s">
        <v>7</v>
      </c>
    </row>
    <row r="3135" spans="1:4">
      <c r="A3135" t="s">
        <v>6</v>
      </c>
      <c r="B3135">
        <v>59</v>
      </c>
      <c r="C3135" t="str">
        <f>CHOOSE(MATCH(B3135, {20,25,30,35,40,45,50,55,60,65,70,75,80,85}, 1), "20-24", "25-29", "30-34", "35-39", "40-44", "45-49", "50-54", "55-59", "60-64", "65-69", "70-74", "75-79", "80-84", "85+")</f>
        <v>55-59</v>
      </c>
      <c r="D3135" t="s">
        <v>7</v>
      </c>
    </row>
    <row r="3136" spans="1:4">
      <c r="A3136" t="s">
        <v>6</v>
      </c>
      <c r="B3136">
        <v>30</v>
      </c>
      <c r="C3136" t="str">
        <f>CHOOSE(MATCH(B3136, {20,25,30,35,40,45,50,55,60,65,70,75,80,85}, 1), "20-24", "25-29", "30-34", "35-39", "40-44", "45-49", "50-54", "55-59", "60-64", "65-69", "70-74", "75-79", "80-84", "85+")</f>
        <v>30-34</v>
      </c>
      <c r="D3136" t="s">
        <v>8</v>
      </c>
    </row>
    <row r="3137" spans="1:4">
      <c r="A3137" t="s">
        <v>6</v>
      </c>
      <c r="B3137">
        <v>26</v>
      </c>
      <c r="C3137" t="str">
        <f>CHOOSE(MATCH(B3137, {20,25,30,35,40,45,50,55,60,65,70,75,80,85}, 1), "20-24", "25-29", "30-34", "35-39", "40-44", "45-49", "50-54", "55-59", "60-64", "65-69", "70-74", "75-79", "80-84", "85+")</f>
        <v>25-29</v>
      </c>
      <c r="D3137" t="s">
        <v>8</v>
      </c>
    </row>
    <row r="3138" spans="1:4">
      <c r="A3138" t="s">
        <v>6</v>
      </c>
      <c r="B3138">
        <v>45</v>
      </c>
      <c r="C3138" t="str">
        <f>CHOOSE(MATCH(B3138, {20,25,30,35,40,45,50,55,60,65,70,75,80,85}, 1), "20-24", "25-29", "30-34", "35-39", "40-44", "45-49", "50-54", "55-59", "60-64", "65-69", "70-74", "75-79", "80-84", "85+")</f>
        <v>45-49</v>
      </c>
      <c r="D3138" t="s">
        <v>7</v>
      </c>
    </row>
    <row r="3139" spans="1:4">
      <c r="A3139" t="s">
        <v>6</v>
      </c>
      <c r="B3139">
        <v>59</v>
      </c>
      <c r="C3139" t="str">
        <f>CHOOSE(MATCH(B3139, {20,25,30,35,40,45,50,55,60,65,70,75,80,85}, 1), "20-24", "25-29", "30-34", "35-39", "40-44", "45-49", "50-54", "55-59", "60-64", "65-69", "70-74", "75-79", "80-84", "85+")</f>
        <v>55-59</v>
      </c>
      <c r="D3139" t="s">
        <v>7</v>
      </c>
    </row>
    <row r="3140" spans="1:4">
      <c r="A3140" t="s">
        <v>6</v>
      </c>
      <c r="B3140">
        <v>66</v>
      </c>
      <c r="C3140" t="str">
        <f>CHOOSE(MATCH(B3140, {20,25,30,35,40,45,50,55,60,65,70,75,80,85}, 1), "20-24", "25-29", "30-34", "35-39", "40-44", "45-49", "50-54", "55-59", "60-64", "65-69", "70-74", "75-79", "80-84", "85+")</f>
        <v>65-69</v>
      </c>
      <c r="D3140" t="s">
        <v>8</v>
      </c>
    </row>
    <row r="3141" spans="1:4">
      <c r="A3141" t="s">
        <v>6</v>
      </c>
      <c r="B3141">
        <v>38</v>
      </c>
      <c r="C3141" t="str">
        <f>CHOOSE(MATCH(B3141, {20,25,30,35,40,45,50,55,60,65,70,75,80,85}, 1), "20-24", "25-29", "30-34", "35-39", "40-44", "45-49", "50-54", "55-59", "60-64", "65-69", "70-74", "75-79", "80-84", "85+")</f>
        <v>35-39</v>
      </c>
      <c r="D3141" t="s">
        <v>7</v>
      </c>
    </row>
    <row r="3142" spans="1:4">
      <c r="A3142" t="s">
        <v>6</v>
      </c>
      <c r="B3142">
        <v>81</v>
      </c>
      <c r="C3142" t="str">
        <f>CHOOSE(MATCH(B3142, {20,25,30,35,40,45,50,55,60,65,70,75,80,85}, 1), "20-24", "25-29", "30-34", "35-39", "40-44", "45-49", "50-54", "55-59", "60-64", "65-69", "70-74", "75-79", "80-84", "85+")</f>
        <v>80-84</v>
      </c>
      <c r="D3142" t="s">
        <v>8</v>
      </c>
    </row>
    <row r="3143" spans="1:4">
      <c r="A3143" t="s">
        <v>6</v>
      </c>
      <c r="B3143">
        <v>32</v>
      </c>
      <c r="C3143" t="str">
        <f>CHOOSE(MATCH(B3143, {20,25,30,35,40,45,50,55,60,65,70,75,80,85}, 1), "20-24", "25-29", "30-34", "35-39", "40-44", "45-49", "50-54", "55-59", "60-64", "65-69", "70-74", "75-79", "80-84", "85+")</f>
        <v>30-34</v>
      </c>
      <c r="D3143" t="s">
        <v>7</v>
      </c>
    </row>
    <row r="3144" spans="1:4">
      <c r="A3144" t="s">
        <v>6</v>
      </c>
      <c r="B3144">
        <v>30</v>
      </c>
      <c r="C3144" t="str">
        <f>CHOOSE(MATCH(B3144, {20,25,30,35,40,45,50,55,60,65,70,75,80,85}, 1), "20-24", "25-29", "30-34", "35-39", "40-44", "45-49", "50-54", "55-59", "60-64", "65-69", "70-74", "75-79", "80-84", "85+")</f>
        <v>30-34</v>
      </c>
      <c r="D3144" t="s">
        <v>7</v>
      </c>
    </row>
    <row r="3145" spans="1:4">
      <c r="A3145" t="s">
        <v>6</v>
      </c>
      <c r="B3145">
        <v>37</v>
      </c>
      <c r="C3145" t="str">
        <f>CHOOSE(MATCH(B3145, {20,25,30,35,40,45,50,55,60,65,70,75,80,85}, 1), "20-24", "25-29", "30-34", "35-39", "40-44", "45-49", "50-54", "55-59", "60-64", "65-69", "70-74", "75-79", "80-84", "85+")</f>
        <v>35-39</v>
      </c>
      <c r="D3145" t="s">
        <v>8</v>
      </c>
    </row>
    <row r="3146" spans="1:4">
      <c r="A3146" t="s">
        <v>6</v>
      </c>
      <c r="B3146">
        <v>33</v>
      </c>
      <c r="C3146" t="str">
        <f>CHOOSE(MATCH(B3146, {20,25,30,35,40,45,50,55,60,65,70,75,80,85}, 1), "20-24", "25-29", "30-34", "35-39", "40-44", "45-49", "50-54", "55-59", "60-64", "65-69", "70-74", "75-79", "80-84", "85+")</f>
        <v>30-34</v>
      </c>
      <c r="D3146" t="s">
        <v>8</v>
      </c>
    </row>
    <row r="3147" spans="1:4">
      <c r="A3147" t="s">
        <v>6</v>
      </c>
      <c r="B3147">
        <v>41</v>
      </c>
      <c r="C3147" t="str">
        <f>CHOOSE(MATCH(B3147, {20,25,30,35,40,45,50,55,60,65,70,75,80,85}, 1), "20-24", "25-29", "30-34", "35-39", "40-44", "45-49", "50-54", "55-59", "60-64", "65-69", "70-74", "75-79", "80-84", "85+")</f>
        <v>40-44</v>
      </c>
      <c r="D3147" t="s">
        <v>7</v>
      </c>
    </row>
    <row r="3148" spans="1:4">
      <c r="A3148" t="s">
        <v>6</v>
      </c>
      <c r="B3148">
        <v>30</v>
      </c>
      <c r="C3148" t="str">
        <f>CHOOSE(MATCH(B3148, {20,25,30,35,40,45,50,55,60,65,70,75,80,85}, 1), "20-24", "25-29", "30-34", "35-39", "40-44", "45-49", "50-54", "55-59", "60-64", "65-69", "70-74", "75-79", "80-84", "85+")</f>
        <v>30-34</v>
      </c>
      <c r="D3148" t="s">
        <v>8</v>
      </c>
    </row>
    <row r="3149" spans="1:4">
      <c r="A3149" t="s">
        <v>6</v>
      </c>
      <c r="B3149">
        <v>31</v>
      </c>
      <c r="C3149" t="str">
        <f>CHOOSE(MATCH(B3149, {20,25,30,35,40,45,50,55,60,65,70,75,80,85}, 1), "20-24", "25-29", "30-34", "35-39", "40-44", "45-49", "50-54", "55-59", "60-64", "65-69", "70-74", "75-79", "80-84", "85+")</f>
        <v>30-34</v>
      </c>
      <c r="D3149" t="s">
        <v>7</v>
      </c>
    </row>
    <row r="3150" spans="1:4">
      <c r="A3150" t="s">
        <v>6</v>
      </c>
      <c r="B3150">
        <v>41</v>
      </c>
      <c r="C3150" t="str">
        <f>CHOOSE(MATCH(B3150, {20,25,30,35,40,45,50,55,60,65,70,75,80,85}, 1), "20-24", "25-29", "30-34", "35-39", "40-44", "45-49", "50-54", "55-59", "60-64", "65-69", "70-74", "75-79", "80-84", "85+")</f>
        <v>40-44</v>
      </c>
      <c r="D3150" t="s">
        <v>8</v>
      </c>
    </row>
    <row r="3151" spans="1:4">
      <c r="A3151" t="s">
        <v>6</v>
      </c>
      <c r="B3151">
        <v>34</v>
      </c>
      <c r="C3151" t="str">
        <f>CHOOSE(MATCH(B3151, {20,25,30,35,40,45,50,55,60,65,70,75,80,85}, 1), "20-24", "25-29", "30-34", "35-39", "40-44", "45-49", "50-54", "55-59", "60-64", "65-69", "70-74", "75-79", "80-84", "85+")</f>
        <v>30-34</v>
      </c>
      <c r="D3151" t="s">
        <v>7</v>
      </c>
    </row>
    <row r="3152" spans="1:4">
      <c r="A3152" t="s">
        <v>6</v>
      </c>
      <c r="B3152">
        <v>36</v>
      </c>
      <c r="C3152" t="str">
        <f>CHOOSE(MATCH(B3152, {20,25,30,35,40,45,50,55,60,65,70,75,80,85}, 1), "20-24", "25-29", "30-34", "35-39", "40-44", "45-49", "50-54", "55-59", "60-64", "65-69", "70-74", "75-79", "80-84", "85+")</f>
        <v>35-39</v>
      </c>
      <c r="D3152" t="s">
        <v>7</v>
      </c>
    </row>
    <row r="3153" spans="1:4">
      <c r="A3153" t="s">
        <v>6</v>
      </c>
      <c r="B3153">
        <v>22</v>
      </c>
      <c r="C3153" t="str">
        <f>CHOOSE(MATCH(B3153, {20,25,30,35,40,45,50,55,60,65,70,75,80,85}, 1), "20-24", "25-29", "30-34", "35-39", "40-44", "45-49", "50-54", "55-59", "60-64", "65-69", "70-74", "75-79", "80-84", "85+")</f>
        <v>20-24</v>
      </c>
      <c r="D3153" t="s">
        <v>7</v>
      </c>
    </row>
    <row r="3154" spans="1:4">
      <c r="A3154" t="s">
        <v>6</v>
      </c>
      <c r="B3154">
        <v>32</v>
      </c>
      <c r="C3154" t="str">
        <f>CHOOSE(MATCH(B3154, {20,25,30,35,40,45,50,55,60,65,70,75,80,85}, 1), "20-24", "25-29", "30-34", "35-39", "40-44", "45-49", "50-54", "55-59", "60-64", "65-69", "70-74", "75-79", "80-84", "85+")</f>
        <v>30-34</v>
      </c>
      <c r="D3154" t="s">
        <v>7</v>
      </c>
    </row>
    <row r="3155" spans="1:4">
      <c r="A3155" t="s">
        <v>6</v>
      </c>
      <c r="B3155">
        <v>52</v>
      </c>
      <c r="C3155" t="str">
        <f>CHOOSE(MATCH(B3155, {20,25,30,35,40,45,50,55,60,65,70,75,80,85}, 1), "20-24", "25-29", "30-34", "35-39", "40-44", "45-49", "50-54", "55-59", "60-64", "65-69", "70-74", "75-79", "80-84", "85+")</f>
        <v>50-54</v>
      </c>
      <c r="D3155" t="s">
        <v>7</v>
      </c>
    </row>
    <row r="3156" spans="1:4">
      <c r="A3156" t="s">
        <v>6</v>
      </c>
      <c r="B3156">
        <v>30</v>
      </c>
      <c r="C3156" t="str">
        <f>CHOOSE(MATCH(B3156, {20,25,30,35,40,45,50,55,60,65,70,75,80,85}, 1), "20-24", "25-29", "30-34", "35-39", "40-44", "45-49", "50-54", "55-59", "60-64", "65-69", "70-74", "75-79", "80-84", "85+")</f>
        <v>30-34</v>
      </c>
      <c r="D3156" t="s">
        <v>7</v>
      </c>
    </row>
    <row r="3157" spans="1:4">
      <c r="A3157" t="s">
        <v>6</v>
      </c>
      <c r="B3157">
        <v>37</v>
      </c>
      <c r="C3157" t="str">
        <f>CHOOSE(MATCH(B3157, {20,25,30,35,40,45,50,55,60,65,70,75,80,85}, 1), "20-24", "25-29", "30-34", "35-39", "40-44", "45-49", "50-54", "55-59", "60-64", "65-69", "70-74", "75-79", "80-84", "85+")</f>
        <v>35-39</v>
      </c>
      <c r="D3157" t="s">
        <v>8</v>
      </c>
    </row>
    <row r="3158" spans="1:4">
      <c r="A3158" t="s">
        <v>6</v>
      </c>
      <c r="B3158">
        <v>42</v>
      </c>
      <c r="C3158" t="str">
        <f>CHOOSE(MATCH(B3158, {20,25,30,35,40,45,50,55,60,65,70,75,80,85}, 1), "20-24", "25-29", "30-34", "35-39", "40-44", "45-49", "50-54", "55-59", "60-64", "65-69", "70-74", "75-79", "80-84", "85+")</f>
        <v>40-44</v>
      </c>
      <c r="D3158" t="s">
        <v>8</v>
      </c>
    </row>
    <row r="3159" spans="1:4">
      <c r="A3159" t="s">
        <v>6</v>
      </c>
      <c r="B3159">
        <v>33</v>
      </c>
      <c r="C3159" t="str">
        <f>CHOOSE(MATCH(B3159, {20,25,30,35,40,45,50,55,60,65,70,75,80,85}, 1), "20-24", "25-29", "30-34", "35-39", "40-44", "45-49", "50-54", "55-59", "60-64", "65-69", "70-74", "75-79", "80-84", "85+")</f>
        <v>30-34</v>
      </c>
      <c r="D3159" t="s">
        <v>7</v>
      </c>
    </row>
    <row r="3160" spans="1:4">
      <c r="A3160" t="s">
        <v>6</v>
      </c>
      <c r="B3160">
        <v>34</v>
      </c>
      <c r="C3160" t="str">
        <f>CHOOSE(MATCH(B3160, {20,25,30,35,40,45,50,55,60,65,70,75,80,85}, 1), "20-24", "25-29", "30-34", "35-39", "40-44", "45-49", "50-54", "55-59", "60-64", "65-69", "70-74", "75-79", "80-84", "85+")</f>
        <v>30-34</v>
      </c>
      <c r="D3160" t="s">
        <v>8</v>
      </c>
    </row>
    <row r="3161" spans="1:4">
      <c r="A3161" t="s">
        <v>6</v>
      </c>
      <c r="B3161">
        <v>27</v>
      </c>
      <c r="C3161" t="str">
        <f>CHOOSE(MATCH(B3161, {20,25,30,35,40,45,50,55,60,65,70,75,80,85}, 1), "20-24", "25-29", "30-34", "35-39", "40-44", "45-49", "50-54", "55-59", "60-64", "65-69", "70-74", "75-79", "80-84", "85+")</f>
        <v>25-29</v>
      </c>
      <c r="D3161" t="s">
        <v>7</v>
      </c>
    </row>
    <row r="3162" spans="1:4">
      <c r="A3162" t="s">
        <v>6</v>
      </c>
      <c r="B3162">
        <v>30</v>
      </c>
      <c r="C3162" t="str">
        <f>CHOOSE(MATCH(B3162, {20,25,30,35,40,45,50,55,60,65,70,75,80,85}, 1), "20-24", "25-29", "30-34", "35-39", "40-44", "45-49", "50-54", "55-59", "60-64", "65-69", "70-74", "75-79", "80-84", "85+")</f>
        <v>30-34</v>
      </c>
      <c r="D3162" t="s">
        <v>7</v>
      </c>
    </row>
    <row r="3163" spans="1:4">
      <c r="A3163" t="s">
        <v>6</v>
      </c>
      <c r="B3163">
        <v>28</v>
      </c>
      <c r="C3163" t="str">
        <f>CHOOSE(MATCH(B3163, {20,25,30,35,40,45,50,55,60,65,70,75,80,85}, 1), "20-24", "25-29", "30-34", "35-39", "40-44", "45-49", "50-54", "55-59", "60-64", "65-69", "70-74", "75-79", "80-84", "85+")</f>
        <v>25-29</v>
      </c>
      <c r="D3163" t="s">
        <v>7</v>
      </c>
    </row>
    <row r="3164" spans="1:4">
      <c r="A3164" t="s">
        <v>6</v>
      </c>
      <c r="B3164">
        <v>40</v>
      </c>
      <c r="C3164" t="str">
        <f>CHOOSE(MATCH(B3164, {20,25,30,35,40,45,50,55,60,65,70,75,80,85}, 1), "20-24", "25-29", "30-34", "35-39", "40-44", "45-49", "50-54", "55-59", "60-64", "65-69", "70-74", "75-79", "80-84", "85+")</f>
        <v>40-44</v>
      </c>
      <c r="D3164" t="s">
        <v>7</v>
      </c>
    </row>
    <row r="3165" spans="1:4">
      <c r="A3165" t="s">
        <v>6</v>
      </c>
      <c r="B3165">
        <v>35</v>
      </c>
      <c r="C3165" t="str">
        <f>CHOOSE(MATCH(B3165, {20,25,30,35,40,45,50,55,60,65,70,75,80,85}, 1), "20-24", "25-29", "30-34", "35-39", "40-44", "45-49", "50-54", "55-59", "60-64", "65-69", "70-74", "75-79", "80-84", "85+")</f>
        <v>35-39</v>
      </c>
      <c r="D3165" t="s">
        <v>7</v>
      </c>
    </row>
    <row r="3166" spans="1:4">
      <c r="A3166" t="s">
        <v>6</v>
      </c>
      <c r="B3166">
        <v>34</v>
      </c>
      <c r="C3166" t="str">
        <f>CHOOSE(MATCH(B3166, {20,25,30,35,40,45,50,55,60,65,70,75,80,85}, 1), "20-24", "25-29", "30-34", "35-39", "40-44", "45-49", "50-54", "55-59", "60-64", "65-69", "70-74", "75-79", "80-84", "85+")</f>
        <v>30-34</v>
      </c>
      <c r="D3166" t="s">
        <v>7</v>
      </c>
    </row>
    <row r="3167" spans="1:4">
      <c r="A3167" t="s">
        <v>6</v>
      </c>
      <c r="B3167">
        <v>32</v>
      </c>
      <c r="C3167" t="str">
        <f>CHOOSE(MATCH(B3167, {20,25,30,35,40,45,50,55,60,65,70,75,80,85}, 1), "20-24", "25-29", "30-34", "35-39", "40-44", "45-49", "50-54", "55-59", "60-64", "65-69", "70-74", "75-79", "80-84", "85+")</f>
        <v>30-34</v>
      </c>
      <c r="D3167" t="s">
        <v>7</v>
      </c>
    </row>
    <row r="3168" spans="1:4">
      <c r="A3168" t="s">
        <v>6</v>
      </c>
      <c r="B3168">
        <v>34</v>
      </c>
      <c r="C3168" t="str">
        <f>CHOOSE(MATCH(B3168, {20,25,30,35,40,45,50,55,60,65,70,75,80,85}, 1), "20-24", "25-29", "30-34", "35-39", "40-44", "45-49", "50-54", "55-59", "60-64", "65-69", "70-74", "75-79", "80-84", "85+")</f>
        <v>30-34</v>
      </c>
      <c r="D3168" t="s">
        <v>8</v>
      </c>
    </row>
    <row r="3169" spans="1:4">
      <c r="A3169" t="s">
        <v>6</v>
      </c>
      <c r="B3169">
        <v>27</v>
      </c>
      <c r="C3169" t="str">
        <f>CHOOSE(MATCH(B3169, {20,25,30,35,40,45,50,55,60,65,70,75,80,85}, 1), "20-24", "25-29", "30-34", "35-39", "40-44", "45-49", "50-54", "55-59", "60-64", "65-69", "70-74", "75-79", "80-84", "85+")</f>
        <v>25-29</v>
      </c>
      <c r="D3169" t="s">
        <v>7</v>
      </c>
    </row>
    <row r="3170" spans="1:4">
      <c r="A3170" t="s">
        <v>6</v>
      </c>
      <c r="B3170">
        <v>30</v>
      </c>
      <c r="C3170" t="str">
        <f>CHOOSE(MATCH(B3170, {20,25,30,35,40,45,50,55,60,65,70,75,80,85}, 1), "20-24", "25-29", "30-34", "35-39", "40-44", "45-49", "50-54", "55-59", "60-64", "65-69", "70-74", "75-79", "80-84", "85+")</f>
        <v>30-34</v>
      </c>
      <c r="D3170" t="s">
        <v>7</v>
      </c>
    </row>
    <row r="3171" spans="1:4">
      <c r="A3171" t="s">
        <v>6</v>
      </c>
      <c r="B3171">
        <v>41</v>
      </c>
      <c r="C3171" t="str">
        <f>CHOOSE(MATCH(B3171, {20,25,30,35,40,45,50,55,60,65,70,75,80,85}, 1), "20-24", "25-29", "30-34", "35-39", "40-44", "45-49", "50-54", "55-59", "60-64", "65-69", "70-74", "75-79", "80-84", "85+")</f>
        <v>40-44</v>
      </c>
      <c r="D3171" t="s">
        <v>8</v>
      </c>
    </row>
    <row r="3172" spans="1:4">
      <c r="A3172" t="s">
        <v>6</v>
      </c>
      <c r="B3172">
        <v>24</v>
      </c>
      <c r="C3172" t="str">
        <f>CHOOSE(MATCH(B3172, {20,25,30,35,40,45,50,55,60,65,70,75,80,85}, 1), "20-24", "25-29", "30-34", "35-39", "40-44", "45-49", "50-54", "55-59", "60-64", "65-69", "70-74", "75-79", "80-84", "85+")</f>
        <v>20-24</v>
      </c>
      <c r="D3172" t="s">
        <v>8</v>
      </c>
    </row>
    <row r="3173" spans="1:4">
      <c r="A3173" t="s">
        <v>6</v>
      </c>
      <c r="B3173">
        <v>54</v>
      </c>
      <c r="C3173" t="str">
        <f>CHOOSE(MATCH(B3173, {20,25,30,35,40,45,50,55,60,65,70,75,80,85}, 1), "20-24", "25-29", "30-34", "35-39", "40-44", "45-49", "50-54", "55-59", "60-64", "65-69", "70-74", "75-79", "80-84", "85+")</f>
        <v>50-54</v>
      </c>
      <c r="D3173" t="s">
        <v>7</v>
      </c>
    </row>
    <row r="3174" spans="1:4">
      <c r="A3174" t="s">
        <v>6</v>
      </c>
      <c r="B3174">
        <v>91</v>
      </c>
      <c r="C3174" t="str">
        <f>CHOOSE(MATCH(B3174, {20,25,30,35,40,45,50,55,60,65,70,75,80,85}, 1), "20-24", "25-29", "30-34", "35-39", "40-44", "45-49", "50-54", "55-59", "60-64", "65-69", "70-74", "75-79", "80-84", "85+")</f>
        <v>85+</v>
      </c>
      <c r="D3174" t="s">
        <v>8</v>
      </c>
    </row>
    <row r="3175" spans="1:4">
      <c r="A3175" t="s">
        <v>6</v>
      </c>
      <c r="B3175">
        <v>38</v>
      </c>
      <c r="C3175" t="str">
        <f>CHOOSE(MATCH(B3175, {20,25,30,35,40,45,50,55,60,65,70,75,80,85}, 1), "20-24", "25-29", "30-34", "35-39", "40-44", "45-49", "50-54", "55-59", "60-64", "65-69", "70-74", "75-79", "80-84", "85+")</f>
        <v>35-39</v>
      </c>
      <c r="D3175" t="s">
        <v>7</v>
      </c>
    </row>
    <row r="3176" spans="1:4">
      <c r="A3176" t="s">
        <v>6</v>
      </c>
      <c r="B3176">
        <v>33</v>
      </c>
      <c r="C3176" t="str">
        <f>CHOOSE(MATCH(B3176, {20,25,30,35,40,45,50,55,60,65,70,75,80,85}, 1), "20-24", "25-29", "30-34", "35-39", "40-44", "45-49", "50-54", "55-59", "60-64", "65-69", "70-74", "75-79", "80-84", "85+")</f>
        <v>30-34</v>
      </c>
      <c r="D3176" t="s">
        <v>7</v>
      </c>
    </row>
    <row r="3177" spans="1:4">
      <c r="A3177" t="s">
        <v>6</v>
      </c>
      <c r="B3177">
        <v>47</v>
      </c>
      <c r="C3177" t="str">
        <f>CHOOSE(MATCH(B3177, {20,25,30,35,40,45,50,55,60,65,70,75,80,85}, 1), "20-24", "25-29", "30-34", "35-39", "40-44", "45-49", "50-54", "55-59", "60-64", "65-69", "70-74", "75-79", "80-84", "85+")</f>
        <v>45-49</v>
      </c>
      <c r="D3177" t="s">
        <v>7</v>
      </c>
    </row>
    <row r="3178" spans="1:4">
      <c r="A3178" t="s">
        <v>6</v>
      </c>
      <c r="B3178">
        <v>32</v>
      </c>
      <c r="C3178" t="str">
        <f>CHOOSE(MATCH(B3178, {20,25,30,35,40,45,50,55,60,65,70,75,80,85}, 1), "20-24", "25-29", "30-34", "35-39", "40-44", "45-49", "50-54", "55-59", "60-64", "65-69", "70-74", "75-79", "80-84", "85+")</f>
        <v>30-34</v>
      </c>
      <c r="D3178" t="s">
        <v>7</v>
      </c>
    </row>
    <row r="3179" spans="1:4">
      <c r="A3179" t="s">
        <v>6</v>
      </c>
      <c r="B3179">
        <v>36</v>
      </c>
      <c r="C3179" t="str">
        <f>CHOOSE(MATCH(B3179, {20,25,30,35,40,45,50,55,60,65,70,75,80,85}, 1), "20-24", "25-29", "30-34", "35-39", "40-44", "45-49", "50-54", "55-59", "60-64", "65-69", "70-74", "75-79", "80-84", "85+")</f>
        <v>35-39</v>
      </c>
      <c r="D3179" t="s">
        <v>7</v>
      </c>
    </row>
    <row r="3180" spans="1:4">
      <c r="A3180" t="s">
        <v>6</v>
      </c>
      <c r="B3180">
        <v>36</v>
      </c>
      <c r="C3180" t="str">
        <f>CHOOSE(MATCH(B3180, {20,25,30,35,40,45,50,55,60,65,70,75,80,85}, 1), "20-24", "25-29", "30-34", "35-39", "40-44", "45-49", "50-54", "55-59", "60-64", "65-69", "70-74", "75-79", "80-84", "85+")</f>
        <v>35-39</v>
      </c>
      <c r="D3180" t="s">
        <v>8</v>
      </c>
    </row>
    <row r="3181" spans="1:4">
      <c r="A3181" t="s">
        <v>6</v>
      </c>
      <c r="B3181">
        <v>29</v>
      </c>
      <c r="C3181" t="str">
        <f>CHOOSE(MATCH(B3181, {20,25,30,35,40,45,50,55,60,65,70,75,80,85}, 1), "20-24", "25-29", "30-34", "35-39", "40-44", "45-49", "50-54", "55-59", "60-64", "65-69", "70-74", "75-79", "80-84", "85+")</f>
        <v>25-29</v>
      </c>
      <c r="D3181" t="s">
        <v>7</v>
      </c>
    </row>
    <row r="3182" spans="1:4">
      <c r="A3182" t="s">
        <v>6</v>
      </c>
      <c r="B3182">
        <v>47</v>
      </c>
      <c r="C3182" t="str">
        <f>CHOOSE(MATCH(B3182, {20,25,30,35,40,45,50,55,60,65,70,75,80,85}, 1), "20-24", "25-29", "30-34", "35-39", "40-44", "45-49", "50-54", "55-59", "60-64", "65-69", "70-74", "75-79", "80-84", "85+")</f>
        <v>45-49</v>
      </c>
      <c r="D3182" t="s">
        <v>7</v>
      </c>
    </row>
    <row r="3183" spans="1:4">
      <c r="A3183" t="s">
        <v>6</v>
      </c>
      <c r="B3183">
        <v>43</v>
      </c>
      <c r="C3183" t="str">
        <f>CHOOSE(MATCH(B3183, {20,25,30,35,40,45,50,55,60,65,70,75,80,85}, 1), "20-24", "25-29", "30-34", "35-39", "40-44", "45-49", "50-54", "55-59", "60-64", "65-69", "70-74", "75-79", "80-84", "85+")</f>
        <v>40-44</v>
      </c>
      <c r="D3183" t="s">
        <v>8</v>
      </c>
    </row>
    <row r="3184" spans="1:4">
      <c r="A3184" t="s">
        <v>6</v>
      </c>
      <c r="B3184">
        <v>30</v>
      </c>
      <c r="C3184" t="str">
        <f>CHOOSE(MATCH(B3184, {20,25,30,35,40,45,50,55,60,65,70,75,80,85}, 1), "20-24", "25-29", "30-34", "35-39", "40-44", "45-49", "50-54", "55-59", "60-64", "65-69", "70-74", "75-79", "80-84", "85+")</f>
        <v>30-34</v>
      </c>
      <c r="D3184" t="s">
        <v>8</v>
      </c>
    </row>
    <row r="3185" spans="1:4">
      <c r="A3185" t="s">
        <v>6</v>
      </c>
      <c r="B3185">
        <v>40</v>
      </c>
      <c r="C3185" t="str">
        <f>CHOOSE(MATCH(B3185, {20,25,30,35,40,45,50,55,60,65,70,75,80,85}, 1), "20-24", "25-29", "30-34", "35-39", "40-44", "45-49", "50-54", "55-59", "60-64", "65-69", "70-74", "75-79", "80-84", "85+")</f>
        <v>40-44</v>
      </c>
      <c r="D3185" t="s">
        <v>7</v>
      </c>
    </row>
    <row r="3186" spans="1:4">
      <c r="A3186" t="s">
        <v>6</v>
      </c>
      <c r="B3186">
        <v>23</v>
      </c>
      <c r="C3186" t="str">
        <f>CHOOSE(MATCH(B3186, {20,25,30,35,40,45,50,55,60,65,70,75,80,85}, 1), "20-24", "25-29", "30-34", "35-39", "40-44", "45-49", "50-54", "55-59", "60-64", "65-69", "70-74", "75-79", "80-84", "85+")</f>
        <v>20-24</v>
      </c>
      <c r="D3186" t="s">
        <v>7</v>
      </c>
    </row>
    <row r="3187" spans="1:4">
      <c r="A3187" t="s">
        <v>6</v>
      </c>
      <c r="B3187">
        <v>27</v>
      </c>
      <c r="C3187" t="str">
        <f>CHOOSE(MATCH(B3187, {20,25,30,35,40,45,50,55,60,65,70,75,80,85}, 1), "20-24", "25-29", "30-34", "35-39", "40-44", "45-49", "50-54", "55-59", "60-64", "65-69", "70-74", "75-79", "80-84", "85+")</f>
        <v>25-29</v>
      </c>
      <c r="D3187" t="s">
        <v>7</v>
      </c>
    </row>
    <row r="3188" spans="1:4">
      <c r="A3188" t="s">
        <v>6</v>
      </c>
      <c r="B3188">
        <v>60</v>
      </c>
      <c r="C3188" t="str">
        <f>CHOOSE(MATCH(B3188, {20,25,30,35,40,45,50,55,60,65,70,75,80,85}, 1), "20-24", "25-29", "30-34", "35-39", "40-44", "45-49", "50-54", "55-59", "60-64", "65-69", "70-74", "75-79", "80-84", "85+")</f>
        <v>60-64</v>
      </c>
      <c r="D3188" t="s">
        <v>7</v>
      </c>
    </row>
    <row r="3189" spans="1:4">
      <c r="A3189" t="s">
        <v>6</v>
      </c>
      <c r="B3189">
        <v>27</v>
      </c>
      <c r="C3189" t="str">
        <f>CHOOSE(MATCH(B3189, {20,25,30,35,40,45,50,55,60,65,70,75,80,85}, 1), "20-24", "25-29", "30-34", "35-39", "40-44", "45-49", "50-54", "55-59", "60-64", "65-69", "70-74", "75-79", "80-84", "85+")</f>
        <v>25-29</v>
      </c>
      <c r="D3189" t="s">
        <v>8</v>
      </c>
    </row>
    <row r="3190" spans="1:4">
      <c r="A3190" t="s">
        <v>6</v>
      </c>
      <c r="B3190">
        <v>40</v>
      </c>
      <c r="C3190" t="str">
        <f>CHOOSE(MATCH(B3190, {20,25,30,35,40,45,50,55,60,65,70,75,80,85}, 1), "20-24", "25-29", "30-34", "35-39", "40-44", "45-49", "50-54", "55-59", "60-64", "65-69", "70-74", "75-79", "80-84", "85+")</f>
        <v>40-44</v>
      </c>
      <c r="D3190" t="s">
        <v>7</v>
      </c>
    </row>
    <row r="3191" spans="1:4">
      <c r="A3191" t="s">
        <v>6</v>
      </c>
      <c r="B3191">
        <v>25</v>
      </c>
      <c r="C3191" t="str">
        <f>CHOOSE(MATCH(B3191, {20,25,30,35,40,45,50,55,60,65,70,75,80,85}, 1), "20-24", "25-29", "30-34", "35-39", "40-44", "45-49", "50-54", "55-59", "60-64", "65-69", "70-74", "75-79", "80-84", "85+")</f>
        <v>25-29</v>
      </c>
      <c r="D3191" t="s">
        <v>8</v>
      </c>
    </row>
    <row r="3192" spans="1:4">
      <c r="A3192" t="s">
        <v>6</v>
      </c>
      <c r="B3192">
        <v>45</v>
      </c>
      <c r="C3192" t="str">
        <f>CHOOSE(MATCH(B3192, {20,25,30,35,40,45,50,55,60,65,70,75,80,85}, 1), "20-24", "25-29", "30-34", "35-39", "40-44", "45-49", "50-54", "55-59", "60-64", "65-69", "70-74", "75-79", "80-84", "85+")</f>
        <v>45-49</v>
      </c>
      <c r="D3192" t="s">
        <v>8</v>
      </c>
    </row>
    <row r="3193" spans="1:4">
      <c r="A3193" t="s">
        <v>6</v>
      </c>
      <c r="B3193">
        <v>29</v>
      </c>
      <c r="C3193" t="str">
        <f>CHOOSE(MATCH(B3193, {20,25,30,35,40,45,50,55,60,65,70,75,80,85}, 1), "20-24", "25-29", "30-34", "35-39", "40-44", "45-49", "50-54", "55-59", "60-64", "65-69", "70-74", "75-79", "80-84", "85+")</f>
        <v>25-29</v>
      </c>
      <c r="D3193" t="s">
        <v>7</v>
      </c>
    </row>
    <row r="3194" spans="1:4">
      <c r="A3194" t="s">
        <v>6</v>
      </c>
      <c r="B3194">
        <v>56</v>
      </c>
      <c r="C3194" t="str">
        <f>CHOOSE(MATCH(B3194, {20,25,30,35,40,45,50,55,60,65,70,75,80,85}, 1), "20-24", "25-29", "30-34", "35-39", "40-44", "45-49", "50-54", "55-59", "60-64", "65-69", "70-74", "75-79", "80-84", "85+")</f>
        <v>55-59</v>
      </c>
      <c r="D3194" t="s">
        <v>7</v>
      </c>
    </row>
    <row r="3195" spans="1:4">
      <c r="A3195" t="s">
        <v>6</v>
      </c>
      <c r="B3195">
        <v>36</v>
      </c>
      <c r="C3195" t="str">
        <f>CHOOSE(MATCH(B3195, {20,25,30,35,40,45,50,55,60,65,70,75,80,85}, 1), "20-24", "25-29", "30-34", "35-39", "40-44", "45-49", "50-54", "55-59", "60-64", "65-69", "70-74", "75-79", "80-84", "85+")</f>
        <v>35-39</v>
      </c>
      <c r="D3195" t="s">
        <v>7</v>
      </c>
    </row>
    <row r="3196" spans="1:4">
      <c r="A3196" t="s">
        <v>6</v>
      </c>
      <c r="B3196">
        <v>27</v>
      </c>
      <c r="C3196" t="str">
        <f>CHOOSE(MATCH(B3196, {20,25,30,35,40,45,50,55,60,65,70,75,80,85}, 1), "20-24", "25-29", "30-34", "35-39", "40-44", "45-49", "50-54", "55-59", "60-64", "65-69", "70-74", "75-79", "80-84", "85+")</f>
        <v>25-29</v>
      </c>
      <c r="D3196" t="s">
        <v>7</v>
      </c>
    </row>
    <row r="3197" spans="1:4">
      <c r="A3197" t="s">
        <v>6</v>
      </c>
      <c r="B3197">
        <v>54</v>
      </c>
      <c r="C3197" t="str">
        <f>CHOOSE(MATCH(B3197, {20,25,30,35,40,45,50,55,60,65,70,75,80,85}, 1), "20-24", "25-29", "30-34", "35-39", "40-44", "45-49", "50-54", "55-59", "60-64", "65-69", "70-74", "75-79", "80-84", "85+")</f>
        <v>50-54</v>
      </c>
      <c r="D3197" t="s">
        <v>7</v>
      </c>
    </row>
    <row r="3198" spans="1:4">
      <c r="A3198" t="s">
        <v>6</v>
      </c>
      <c r="B3198">
        <v>75</v>
      </c>
      <c r="C3198" t="str">
        <f>CHOOSE(MATCH(B3198, {20,25,30,35,40,45,50,55,60,65,70,75,80,85}, 1), "20-24", "25-29", "30-34", "35-39", "40-44", "45-49", "50-54", "55-59", "60-64", "65-69", "70-74", "75-79", "80-84", "85+")</f>
        <v>75-79</v>
      </c>
      <c r="D3198" t="s">
        <v>7</v>
      </c>
    </row>
    <row r="3199" spans="1:4">
      <c r="A3199" t="s">
        <v>6</v>
      </c>
      <c r="B3199">
        <v>43</v>
      </c>
      <c r="C3199" t="str">
        <f>CHOOSE(MATCH(B3199, {20,25,30,35,40,45,50,55,60,65,70,75,80,85}, 1), "20-24", "25-29", "30-34", "35-39", "40-44", "45-49", "50-54", "55-59", "60-64", "65-69", "70-74", "75-79", "80-84", "85+")</f>
        <v>40-44</v>
      </c>
      <c r="D3199" t="s">
        <v>7</v>
      </c>
    </row>
    <row r="3200" spans="1:4">
      <c r="A3200" t="s">
        <v>6</v>
      </c>
      <c r="B3200">
        <v>33</v>
      </c>
      <c r="C3200" t="str">
        <f>CHOOSE(MATCH(B3200, {20,25,30,35,40,45,50,55,60,65,70,75,80,85}, 1), "20-24", "25-29", "30-34", "35-39", "40-44", "45-49", "50-54", "55-59", "60-64", "65-69", "70-74", "75-79", "80-84", "85+")</f>
        <v>30-34</v>
      </c>
      <c r="D3200" t="s">
        <v>7</v>
      </c>
    </row>
    <row r="3201" spans="1:4">
      <c r="A3201" t="s">
        <v>6</v>
      </c>
      <c r="B3201">
        <v>29</v>
      </c>
      <c r="C3201" t="str">
        <f>CHOOSE(MATCH(B3201, {20,25,30,35,40,45,50,55,60,65,70,75,80,85}, 1), "20-24", "25-29", "30-34", "35-39", "40-44", "45-49", "50-54", "55-59", "60-64", "65-69", "70-74", "75-79", "80-84", "85+")</f>
        <v>25-29</v>
      </c>
      <c r="D3201" t="s">
        <v>7</v>
      </c>
    </row>
    <row r="3202" spans="1:4">
      <c r="A3202" t="s">
        <v>6</v>
      </c>
      <c r="B3202">
        <v>47</v>
      </c>
      <c r="C3202" t="str">
        <f>CHOOSE(MATCH(B3202, {20,25,30,35,40,45,50,55,60,65,70,75,80,85}, 1), "20-24", "25-29", "30-34", "35-39", "40-44", "45-49", "50-54", "55-59", "60-64", "65-69", "70-74", "75-79", "80-84", "85+")</f>
        <v>45-49</v>
      </c>
      <c r="D3202" t="s">
        <v>7</v>
      </c>
    </row>
    <row r="3203" spans="1:4">
      <c r="A3203" t="s">
        <v>6</v>
      </c>
      <c r="B3203">
        <v>31</v>
      </c>
      <c r="C3203" t="str">
        <f>CHOOSE(MATCH(B3203, {20,25,30,35,40,45,50,55,60,65,70,75,80,85}, 1), "20-24", "25-29", "30-34", "35-39", "40-44", "45-49", "50-54", "55-59", "60-64", "65-69", "70-74", "75-79", "80-84", "85+")</f>
        <v>30-34</v>
      </c>
      <c r="D3203" t="s">
        <v>8</v>
      </c>
    </row>
    <row r="3204" spans="1:4">
      <c r="A3204" t="s">
        <v>6</v>
      </c>
      <c r="B3204">
        <v>37</v>
      </c>
      <c r="C3204" t="str">
        <f>CHOOSE(MATCH(B3204, {20,25,30,35,40,45,50,55,60,65,70,75,80,85}, 1), "20-24", "25-29", "30-34", "35-39", "40-44", "45-49", "50-54", "55-59", "60-64", "65-69", "70-74", "75-79", "80-84", "85+")</f>
        <v>35-39</v>
      </c>
      <c r="D3204" t="s">
        <v>8</v>
      </c>
    </row>
    <row r="3205" spans="1:4">
      <c r="A3205" t="s">
        <v>6</v>
      </c>
      <c r="B3205">
        <v>34</v>
      </c>
      <c r="C3205" t="str">
        <f>CHOOSE(MATCH(B3205, {20,25,30,35,40,45,50,55,60,65,70,75,80,85}, 1), "20-24", "25-29", "30-34", "35-39", "40-44", "45-49", "50-54", "55-59", "60-64", "65-69", "70-74", "75-79", "80-84", "85+")</f>
        <v>30-34</v>
      </c>
      <c r="D3205" t="s">
        <v>7</v>
      </c>
    </row>
    <row r="3206" spans="1:4">
      <c r="A3206" t="s">
        <v>6</v>
      </c>
      <c r="B3206">
        <v>30</v>
      </c>
      <c r="C3206" t="str">
        <f>CHOOSE(MATCH(B3206, {20,25,30,35,40,45,50,55,60,65,70,75,80,85}, 1), "20-24", "25-29", "30-34", "35-39", "40-44", "45-49", "50-54", "55-59", "60-64", "65-69", "70-74", "75-79", "80-84", "85+")</f>
        <v>30-34</v>
      </c>
      <c r="D3206" t="s">
        <v>7</v>
      </c>
    </row>
    <row r="3207" spans="1:4">
      <c r="A3207" t="s">
        <v>6</v>
      </c>
      <c r="B3207">
        <v>45</v>
      </c>
      <c r="C3207" t="str">
        <f>CHOOSE(MATCH(B3207, {20,25,30,35,40,45,50,55,60,65,70,75,80,85}, 1), "20-24", "25-29", "30-34", "35-39", "40-44", "45-49", "50-54", "55-59", "60-64", "65-69", "70-74", "75-79", "80-84", "85+")</f>
        <v>45-49</v>
      </c>
      <c r="D3207" t="s">
        <v>7</v>
      </c>
    </row>
    <row r="3208" spans="1:4">
      <c r="A3208" t="s">
        <v>6</v>
      </c>
      <c r="B3208">
        <v>36</v>
      </c>
      <c r="C3208" t="str">
        <f>CHOOSE(MATCH(B3208, {20,25,30,35,40,45,50,55,60,65,70,75,80,85}, 1), "20-24", "25-29", "30-34", "35-39", "40-44", "45-49", "50-54", "55-59", "60-64", "65-69", "70-74", "75-79", "80-84", "85+")</f>
        <v>35-39</v>
      </c>
      <c r="D3208" t="s">
        <v>7</v>
      </c>
    </row>
    <row r="3209" spans="1:4">
      <c r="A3209" t="s">
        <v>6</v>
      </c>
      <c r="B3209">
        <v>28</v>
      </c>
      <c r="C3209" t="str">
        <f>CHOOSE(MATCH(B3209, {20,25,30,35,40,45,50,55,60,65,70,75,80,85}, 1), "20-24", "25-29", "30-34", "35-39", "40-44", "45-49", "50-54", "55-59", "60-64", "65-69", "70-74", "75-79", "80-84", "85+")</f>
        <v>25-29</v>
      </c>
      <c r="D3209" t="s">
        <v>8</v>
      </c>
    </row>
    <row r="3210" spans="1:4">
      <c r="A3210" t="s">
        <v>6</v>
      </c>
      <c r="B3210">
        <v>52</v>
      </c>
      <c r="C3210" t="str">
        <f>CHOOSE(MATCH(B3210, {20,25,30,35,40,45,50,55,60,65,70,75,80,85}, 1), "20-24", "25-29", "30-34", "35-39", "40-44", "45-49", "50-54", "55-59", "60-64", "65-69", "70-74", "75-79", "80-84", "85+")</f>
        <v>50-54</v>
      </c>
      <c r="D3210" t="s">
        <v>8</v>
      </c>
    </row>
    <row r="3211" spans="1:4">
      <c r="A3211" t="s">
        <v>6</v>
      </c>
      <c r="B3211">
        <v>22</v>
      </c>
      <c r="C3211" t="str">
        <f>CHOOSE(MATCH(B3211, {20,25,30,35,40,45,50,55,60,65,70,75,80,85}, 1), "20-24", "25-29", "30-34", "35-39", "40-44", "45-49", "50-54", "55-59", "60-64", "65-69", "70-74", "75-79", "80-84", "85+")</f>
        <v>20-24</v>
      </c>
      <c r="D3211" t="s">
        <v>7</v>
      </c>
    </row>
    <row r="3212" spans="1:4">
      <c r="A3212" t="s">
        <v>6</v>
      </c>
      <c r="B3212">
        <v>57</v>
      </c>
      <c r="C3212" t="str">
        <f>CHOOSE(MATCH(B3212, {20,25,30,35,40,45,50,55,60,65,70,75,80,85}, 1), "20-24", "25-29", "30-34", "35-39", "40-44", "45-49", "50-54", "55-59", "60-64", "65-69", "70-74", "75-79", "80-84", "85+")</f>
        <v>55-59</v>
      </c>
      <c r="D3212" t="s">
        <v>8</v>
      </c>
    </row>
    <row r="3213" spans="1:4">
      <c r="A3213" t="s">
        <v>6</v>
      </c>
      <c r="B3213">
        <v>32</v>
      </c>
      <c r="C3213" t="str">
        <f>CHOOSE(MATCH(B3213, {20,25,30,35,40,45,50,55,60,65,70,75,80,85}, 1), "20-24", "25-29", "30-34", "35-39", "40-44", "45-49", "50-54", "55-59", "60-64", "65-69", "70-74", "75-79", "80-84", "85+")</f>
        <v>30-34</v>
      </c>
      <c r="D3213" t="s">
        <v>7</v>
      </c>
    </row>
    <row r="3214" spans="1:4">
      <c r="A3214" t="s">
        <v>6</v>
      </c>
      <c r="B3214">
        <v>41</v>
      </c>
      <c r="C3214" t="str">
        <f>CHOOSE(MATCH(B3214, {20,25,30,35,40,45,50,55,60,65,70,75,80,85}, 1), "20-24", "25-29", "30-34", "35-39", "40-44", "45-49", "50-54", "55-59", "60-64", "65-69", "70-74", "75-79", "80-84", "85+")</f>
        <v>40-44</v>
      </c>
      <c r="D3214" t="s">
        <v>7</v>
      </c>
    </row>
    <row r="3215" spans="1:4">
      <c r="A3215" t="s">
        <v>6</v>
      </c>
      <c r="B3215">
        <v>31</v>
      </c>
      <c r="C3215" t="str">
        <f>CHOOSE(MATCH(B3215, {20,25,30,35,40,45,50,55,60,65,70,75,80,85}, 1), "20-24", "25-29", "30-34", "35-39", "40-44", "45-49", "50-54", "55-59", "60-64", "65-69", "70-74", "75-79", "80-84", "85+")</f>
        <v>30-34</v>
      </c>
      <c r="D3215" t="s">
        <v>8</v>
      </c>
    </row>
    <row r="3216" spans="1:4">
      <c r="A3216" t="s">
        <v>6</v>
      </c>
      <c r="B3216">
        <v>35</v>
      </c>
      <c r="C3216" t="str">
        <f>CHOOSE(MATCH(B3216, {20,25,30,35,40,45,50,55,60,65,70,75,80,85}, 1), "20-24", "25-29", "30-34", "35-39", "40-44", "45-49", "50-54", "55-59", "60-64", "65-69", "70-74", "75-79", "80-84", "85+")</f>
        <v>35-39</v>
      </c>
      <c r="D3216" t="s">
        <v>7</v>
      </c>
    </row>
    <row r="3217" spans="1:4">
      <c r="A3217" t="s">
        <v>6</v>
      </c>
      <c r="B3217">
        <v>33</v>
      </c>
      <c r="C3217" t="str">
        <f>CHOOSE(MATCH(B3217, {20,25,30,35,40,45,50,55,60,65,70,75,80,85}, 1), "20-24", "25-29", "30-34", "35-39", "40-44", "45-49", "50-54", "55-59", "60-64", "65-69", "70-74", "75-79", "80-84", "85+")</f>
        <v>30-34</v>
      </c>
      <c r="D3217" t="s">
        <v>8</v>
      </c>
    </row>
    <row r="3218" spans="1:4">
      <c r="A3218" t="s">
        <v>6</v>
      </c>
      <c r="B3218">
        <v>24</v>
      </c>
      <c r="C3218" t="str">
        <f>CHOOSE(MATCH(B3218, {20,25,30,35,40,45,50,55,60,65,70,75,80,85}, 1), "20-24", "25-29", "30-34", "35-39", "40-44", "45-49", "50-54", "55-59", "60-64", "65-69", "70-74", "75-79", "80-84", "85+")</f>
        <v>20-24</v>
      </c>
      <c r="D3218" t="s">
        <v>8</v>
      </c>
    </row>
    <row r="3219" spans="1:4">
      <c r="A3219" t="s">
        <v>6</v>
      </c>
      <c r="B3219">
        <v>72</v>
      </c>
      <c r="C3219" t="str">
        <f>CHOOSE(MATCH(B3219, {20,25,30,35,40,45,50,55,60,65,70,75,80,85}, 1), "20-24", "25-29", "30-34", "35-39", "40-44", "45-49", "50-54", "55-59", "60-64", "65-69", "70-74", "75-79", "80-84", "85+")</f>
        <v>70-74</v>
      </c>
      <c r="D3219" t="s">
        <v>8</v>
      </c>
    </row>
    <row r="3220" spans="1:4">
      <c r="A3220" t="s">
        <v>6</v>
      </c>
      <c r="B3220">
        <v>51</v>
      </c>
      <c r="C3220" t="str">
        <f>CHOOSE(MATCH(B3220, {20,25,30,35,40,45,50,55,60,65,70,75,80,85}, 1), "20-24", "25-29", "30-34", "35-39", "40-44", "45-49", "50-54", "55-59", "60-64", "65-69", "70-74", "75-79", "80-84", "85+")</f>
        <v>50-54</v>
      </c>
      <c r="D3220" t="s">
        <v>8</v>
      </c>
    </row>
    <row r="3221" spans="1:4">
      <c r="A3221" t="s">
        <v>6</v>
      </c>
      <c r="B3221">
        <v>50</v>
      </c>
      <c r="C3221" t="str">
        <f>CHOOSE(MATCH(B3221, {20,25,30,35,40,45,50,55,60,65,70,75,80,85}, 1), "20-24", "25-29", "30-34", "35-39", "40-44", "45-49", "50-54", "55-59", "60-64", "65-69", "70-74", "75-79", "80-84", "85+")</f>
        <v>50-54</v>
      </c>
      <c r="D3221" t="s">
        <v>7</v>
      </c>
    </row>
    <row r="3222" spans="1:4">
      <c r="A3222" t="s">
        <v>6</v>
      </c>
      <c r="B3222">
        <v>33</v>
      </c>
      <c r="C3222" t="str">
        <f>CHOOSE(MATCH(B3222, {20,25,30,35,40,45,50,55,60,65,70,75,80,85}, 1), "20-24", "25-29", "30-34", "35-39", "40-44", "45-49", "50-54", "55-59", "60-64", "65-69", "70-74", "75-79", "80-84", "85+")</f>
        <v>30-34</v>
      </c>
      <c r="D3222" t="s">
        <v>7</v>
      </c>
    </row>
    <row r="3223" spans="1:4">
      <c r="A3223" t="s">
        <v>6</v>
      </c>
      <c r="B3223">
        <v>43</v>
      </c>
      <c r="C3223" t="str">
        <f>CHOOSE(MATCH(B3223, {20,25,30,35,40,45,50,55,60,65,70,75,80,85}, 1), "20-24", "25-29", "30-34", "35-39", "40-44", "45-49", "50-54", "55-59", "60-64", "65-69", "70-74", "75-79", "80-84", "85+")</f>
        <v>40-44</v>
      </c>
      <c r="D3223" t="s">
        <v>8</v>
      </c>
    </row>
    <row r="3224" spans="1:4">
      <c r="A3224" t="s">
        <v>6</v>
      </c>
      <c r="B3224">
        <v>40</v>
      </c>
      <c r="C3224" t="str">
        <f>CHOOSE(MATCH(B3224, {20,25,30,35,40,45,50,55,60,65,70,75,80,85}, 1), "20-24", "25-29", "30-34", "35-39", "40-44", "45-49", "50-54", "55-59", "60-64", "65-69", "70-74", "75-79", "80-84", "85+")</f>
        <v>40-44</v>
      </c>
      <c r="D3224" t="s">
        <v>7</v>
      </c>
    </row>
    <row r="3225" spans="1:4">
      <c r="A3225" t="s">
        <v>6</v>
      </c>
      <c r="B3225">
        <v>30</v>
      </c>
      <c r="C3225" t="str">
        <f>CHOOSE(MATCH(B3225, {20,25,30,35,40,45,50,55,60,65,70,75,80,85}, 1), "20-24", "25-29", "30-34", "35-39", "40-44", "45-49", "50-54", "55-59", "60-64", "65-69", "70-74", "75-79", "80-84", "85+")</f>
        <v>30-34</v>
      </c>
      <c r="D3225" t="s">
        <v>7</v>
      </c>
    </row>
    <row r="3226" spans="1:4">
      <c r="A3226" t="s">
        <v>6</v>
      </c>
      <c r="B3226">
        <v>35</v>
      </c>
      <c r="C3226" t="str">
        <f>CHOOSE(MATCH(B3226, {20,25,30,35,40,45,50,55,60,65,70,75,80,85}, 1), "20-24", "25-29", "30-34", "35-39", "40-44", "45-49", "50-54", "55-59", "60-64", "65-69", "70-74", "75-79", "80-84", "85+")</f>
        <v>35-39</v>
      </c>
      <c r="D3226" t="s">
        <v>7</v>
      </c>
    </row>
    <row r="3227" spans="1:4">
      <c r="A3227" t="s">
        <v>6</v>
      </c>
      <c r="B3227">
        <v>54</v>
      </c>
      <c r="C3227" t="str">
        <f>CHOOSE(MATCH(B3227, {20,25,30,35,40,45,50,55,60,65,70,75,80,85}, 1), "20-24", "25-29", "30-34", "35-39", "40-44", "45-49", "50-54", "55-59", "60-64", "65-69", "70-74", "75-79", "80-84", "85+")</f>
        <v>50-54</v>
      </c>
      <c r="D3227" t="s">
        <v>7</v>
      </c>
    </row>
    <row r="3228" spans="1:4">
      <c r="A3228" t="s">
        <v>6</v>
      </c>
      <c r="B3228">
        <v>50</v>
      </c>
      <c r="C3228" t="str">
        <f>CHOOSE(MATCH(B3228, {20,25,30,35,40,45,50,55,60,65,70,75,80,85}, 1), "20-24", "25-29", "30-34", "35-39", "40-44", "45-49", "50-54", "55-59", "60-64", "65-69", "70-74", "75-79", "80-84", "85+")</f>
        <v>50-54</v>
      </c>
      <c r="D3228" t="s">
        <v>7</v>
      </c>
    </row>
    <row r="3229" spans="1:4">
      <c r="A3229" t="s">
        <v>6</v>
      </c>
      <c r="B3229">
        <v>22</v>
      </c>
      <c r="C3229" t="str">
        <f>CHOOSE(MATCH(B3229, {20,25,30,35,40,45,50,55,60,65,70,75,80,85}, 1), "20-24", "25-29", "30-34", "35-39", "40-44", "45-49", "50-54", "55-59", "60-64", "65-69", "70-74", "75-79", "80-84", "85+")</f>
        <v>20-24</v>
      </c>
      <c r="D3229" t="s">
        <v>8</v>
      </c>
    </row>
    <row r="3230" spans="1:4">
      <c r="A3230" t="s">
        <v>6</v>
      </c>
      <c r="B3230">
        <v>59</v>
      </c>
      <c r="C3230" t="str">
        <f>CHOOSE(MATCH(B3230, {20,25,30,35,40,45,50,55,60,65,70,75,80,85}, 1), "20-24", "25-29", "30-34", "35-39", "40-44", "45-49", "50-54", "55-59", "60-64", "65-69", "70-74", "75-79", "80-84", "85+")</f>
        <v>55-59</v>
      </c>
      <c r="D3230" t="s">
        <v>7</v>
      </c>
    </row>
    <row r="3231" spans="1:4">
      <c r="A3231" t="s">
        <v>6</v>
      </c>
      <c r="B3231">
        <v>46</v>
      </c>
      <c r="C3231" t="str">
        <f>CHOOSE(MATCH(B3231, {20,25,30,35,40,45,50,55,60,65,70,75,80,85}, 1), "20-24", "25-29", "30-34", "35-39", "40-44", "45-49", "50-54", "55-59", "60-64", "65-69", "70-74", "75-79", "80-84", "85+")</f>
        <v>45-49</v>
      </c>
      <c r="D3231" t="s">
        <v>7</v>
      </c>
    </row>
    <row r="3232" spans="1:4">
      <c r="A3232" t="s">
        <v>6</v>
      </c>
      <c r="B3232">
        <v>36</v>
      </c>
      <c r="C3232" t="str">
        <f>CHOOSE(MATCH(B3232, {20,25,30,35,40,45,50,55,60,65,70,75,80,85}, 1), "20-24", "25-29", "30-34", "35-39", "40-44", "45-49", "50-54", "55-59", "60-64", "65-69", "70-74", "75-79", "80-84", "85+")</f>
        <v>35-39</v>
      </c>
      <c r="D3232" t="s">
        <v>7</v>
      </c>
    </row>
    <row r="3233" spans="1:4">
      <c r="A3233" t="s">
        <v>6</v>
      </c>
      <c r="B3233">
        <v>29</v>
      </c>
      <c r="C3233" t="str">
        <f>CHOOSE(MATCH(B3233, {20,25,30,35,40,45,50,55,60,65,70,75,80,85}, 1), "20-24", "25-29", "30-34", "35-39", "40-44", "45-49", "50-54", "55-59", "60-64", "65-69", "70-74", "75-79", "80-84", "85+")</f>
        <v>25-29</v>
      </c>
      <c r="D3233" t="s">
        <v>7</v>
      </c>
    </row>
    <row r="3234" spans="1:4">
      <c r="A3234" t="s">
        <v>6</v>
      </c>
      <c r="B3234">
        <v>29</v>
      </c>
      <c r="C3234" t="str">
        <f>CHOOSE(MATCH(B3234, {20,25,30,35,40,45,50,55,60,65,70,75,80,85}, 1), "20-24", "25-29", "30-34", "35-39", "40-44", "45-49", "50-54", "55-59", "60-64", "65-69", "70-74", "75-79", "80-84", "85+")</f>
        <v>25-29</v>
      </c>
      <c r="D3234" t="s">
        <v>7</v>
      </c>
    </row>
    <row r="3235" spans="1:4">
      <c r="A3235" t="s">
        <v>6</v>
      </c>
      <c r="B3235">
        <v>79</v>
      </c>
      <c r="C3235" t="str">
        <f>CHOOSE(MATCH(B3235, {20,25,30,35,40,45,50,55,60,65,70,75,80,85}, 1), "20-24", "25-29", "30-34", "35-39", "40-44", "45-49", "50-54", "55-59", "60-64", "65-69", "70-74", "75-79", "80-84", "85+")</f>
        <v>75-79</v>
      </c>
      <c r="D3235" t="s">
        <v>7</v>
      </c>
    </row>
    <row r="3236" spans="1:4">
      <c r="A3236" t="s">
        <v>6</v>
      </c>
      <c r="B3236">
        <v>25</v>
      </c>
      <c r="C3236" t="str">
        <f>CHOOSE(MATCH(B3236, {20,25,30,35,40,45,50,55,60,65,70,75,80,85}, 1), "20-24", "25-29", "30-34", "35-39", "40-44", "45-49", "50-54", "55-59", "60-64", "65-69", "70-74", "75-79", "80-84", "85+")</f>
        <v>25-29</v>
      </c>
      <c r="D3236" t="s">
        <v>7</v>
      </c>
    </row>
    <row r="3237" spans="1:4">
      <c r="A3237" t="s">
        <v>6</v>
      </c>
      <c r="B3237">
        <v>29</v>
      </c>
      <c r="C3237" t="str">
        <f>CHOOSE(MATCH(B3237, {20,25,30,35,40,45,50,55,60,65,70,75,80,85}, 1), "20-24", "25-29", "30-34", "35-39", "40-44", "45-49", "50-54", "55-59", "60-64", "65-69", "70-74", "75-79", "80-84", "85+")</f>
        <v>25-29</v>
      </c>
      <c r="D3237" t="s">
        <v>7</v>
      </c>
    </row>
    <row r="3238" spans="1:4">
      <c r="A3238" t="s">
        <v>6</v>
      </c>
      <c r="B3238">
        <v>22</v>
      </c>
      <c r="C3238" t="str">
        <f>CHOOSE(MATCH(B3238, {20,25,30,35,40,45,50,55,60,65,70,75,80,85}, 1), "20-24", "25-29", "30-34", "35-39", "40-44", "45-49", "50-54", "55-59", "60-64", "65-69", "70-74", "75-79", "80-84", "85+")</f>
        <v>20-24</v>
      </c>
      <c r="D3238" t="s">
        <v>7</v>
      </c>
    </row>
    <row r="3239" spans="1:4">
      <c r="A3239" t="s">
        <v>6</v>
      </c>
      <c r="B3239">
        <v>36</v>
      </c>
      <c r="C3239" t="str">
        <f>CHOOSE(MATCH(B3239, {20,25,30,35,40,45,50,55,60,65,70,75,80,85}, 1), "20-24", "25-29", "30-34", "35-39", "40-44", "45-49", "50-54", "55-59", "60-64", "65-69", "70-74", "75-79", "80-84", "85+")</f>
        <v>35-39</v>
      </c>
      <c r="D3239" t="s">
        <v>7</v>
      </c>
    </row>
    <row r="3240" spans="1:4">
      <c r="A3240" t="s">
        <v>6</v>
      </c>
      <c r="B3240">
        <v>69</v>
      </c>
      <c r="C3240" t="str">
        <f>CHOOSE(MATCH(B3240, {20,25,30,35,40,45,50,55,60,65,70,75,80,85}, 1), "20-24", "25-29", "30-34", "35-39", "40-44", "45-49", "50-54", "55-59", "60-64", "65-69", "70-74", "75-79", "80-84", "85+")</f>
        <v>65-69</v>
      </c>
      <c r="D3240" t="s">
        <v>7</v>
      </c>
    </row>
    <row r="3241" spans="1:4">
      <c r="A3241" t="s">
        <v>6</v>
      </c>
      <c r="B3241">
        <v>72</v>
      </c>
      <c r="C3241" t="str">
        <f>CHOOSE(MATCH(B3241, {20,25,30,35,40,45,50,55,60,65,70,75,80,85}, 1), "20-24", "25-29", "30-34", "35-39", "40-44", "45-49", "50-54", "55-59", "60-64", "65-69", "70-74", "75-79", "80-84", "85+")</f>
        <v>70-74</v>
      </c>
      <c r="D3241" t="s">
        <v>7</v>
      </c>
    </row>
    <row r="3242" spans="1:4">
      <c r="A3242" t="s">
        <v>6</v>
      </c>
      <c r="B3242">
        <v>42</v>
      </c>
      <c r="C3242" t="str">
        <f>CHOOSE(MATCH(B3242, {20,25,30,35,40,45,50,55,60,65,70,75,80,85}, 1), "20-24", "25-29", "30-34", "35-39", "40-44", "45-49", "50-54", "55-59", "60-64", "65-69", "70-74", "75-79", "80-84", "85+")</f>
        <v>40-44</v>
      </c>
      <c r="D3242" t="s">
        <v>7</v>
      </c>
    </row>
    <row r="3243" spans="1:4">
      <c r="A3243" t="s">
        <v>6</v>
      </c>
      <c r="B3243">
        <v>31</v>
      </c>
      <c r="C3243" t="str">
        <f>CHOOSE(MATCH(B3243, {20,25,30,35,40,45,50,55,60,65,70,75,80,85}, 1), "20-24", "25-29", "30-34", "35-39", "40-44", "45-49", "50-54", "55-59", "60-64", "65-69", "70-74", "75-79", "80-84", "85+")</f>
        <v>30-34</v>
      </c>
      <c r="D3243" t="s">
        <v>8</v>
      </c>
    </row>
    <row r="3244" spans="1:4">
      <c r="A3244" t="s">
        <v>6</v>
      </c>
      <c r="B3244">
        <v>57</v>
      </c>
      <c r="C3244" t="str">
        <f>CHOOSE(MATCH(B3244, {20,25,30,35,40,45,50,55,60,65,70,75,80,85}, 1), "20-24", "25-29", "30-34", "35-39", "40-44", "45-49", "50-54", "55-59", "60-64", "65-69", "70-74", "75-79", "80-84", "85+")</f>
        <v>55-59</v>
      </c>
      <c r="D3244" t="s">
        <v>7</v>
      </c>
    </row>
    <row r="3245" spans="1:4">
      <c r="A3245" t="s">
        <v>6</v>
      </c>
      <c r="B3245">
        <v>30</v>
      </c>
      <c r="C3245" t="str">
        <f>CHOOSE(MATCH(B3245, {20,25,30,35,40,45,50,55,60,65,70,75,80,85}, 1), "20-24", "25-29", "30-34", "35-39", "40-44", "45-49", "50-54", "55-59", "60-64", "65-69", "70-74", "75-79", "80-84", "85+")</f>
        <v>30-34</v>
      </c>
      <c r="D3245" t="s">
        <v>7</v>
      </c>
    </row>
    <row r="3246" spans="1:4">
      <c r="A3246" t="s">
        <v>6</v>
      </c>
      <c r="B3246">
        <v>56</v>
      </c>
      <c r="C3246" t="str">
        <f>CHOOSE(MATCH(B3246, {20,25,30,35,40,45,50,55,60,65,70,75,80,85}, 1), "20-24", "25-29", "30-34", "35-39", "40-44", "45-49", "50-54", "55-59", "60-64", "65-69", "70-74", "75-79", "80-84", "85+")</f>
        <v>55-59</v>
      </c>
      <c r="D3246" t="s">
        <v>8</v>
      </c>
    </row>
    <row r="3247" spans="1:4">
      <c r="A3247" t="s">
        <v>6</v>
      </c>
      <c r="B3247">
        <v>29</v>
      </c>
      <c r="C3247" t="str">
        <f>CHOOSE(MATCH(B3247, {20,25,30,35,40,45,50,55,60,65,70,75,80,85}, 1), "20-24", "25-29", "30-34", "35-39", "40-44", "45-49", "50-54", "55-59", "60-64", "65-69", "70-74", "75-79", "80-84", "85+")</f>
        <v>25-29</v>
      </c>
      <c r="D3247" t="s">
        <v>8</v>
      </c>
    </row>
    <row r="3248" spans="1:4">
      <c r="A3248" t="s">
        <v>6</v>
      </c>
      <c r="B3248">
        <v>43</v>
      </c>
      <c r="C3248" t="str">
        <f>CHOOSE(MATCH(B3248, {20,25,30,35,40,45,50,55,60,65,70,75,80,85}, 1), "20-24", "25-29", "30-34", "35-39", "40-44", "45-49", "50-54", "55-59", "60-64", "65-69", "70-74", "75-79", "80-84", "85+")</f>
        <v>40-44</v>
      </c>
      <c r="D3248" t="s">
        <v>7</v>
      </c>
    </row>
    <row r="3249" spans="1:4">
      <c r="A3249" t="s">
        <v>6</v>
      </c>
      <c r="B3249">
        <v>31</v>
      </c>
      <c r="C3249" t="str">
        <f>CHOOSE(MATCH(B3249, {20,25,30,35,40,45,50,55,60,65,70,75,80,85}, 1), "20-24", "25-29", "30-34", "35-39", "40-44", "45-49", "50-54", "55-59", "60-64", "65-69", "70-74", "75-79", "80-84", "85+")</f>
        <v>30-34</v>
      </c>
      <c r="D3249" t="s">
        <v>7</v>
      </c>
    </row>
    <row r="3250" spans="1:4">
      <c r="A3250" t="s">
        <v>6</v>
      </c>
      <c r="B3250">
        <v>35</v>
      </c>
      <c r="C3250" t="str">
        <f>CHOOSE(MATCH(B3250, {20,25,30,35,40,45,50,55,60,65,70,75,80,85}, 1), "20-24", "25-29", "30-34", "35-39", "40-44", "45-49", "50-54", "55-59", "60-64", "65-69", "70-74", "75-79", "80-84", "85+")</f>
        <v>35-39</v>
      </c>
      <c r="D3250" t="s">
        <v>8</v>
      </c>
    </row>
    <row r="3251" spans="1:4">
      <c r="A3251" t="s">
        <v>6</v>
      </c>
      <c r="B3251">
        <v>34</v>
      </c>
      <c r="C3251" t="str">
        <f>CHOOSE(MATCH(B3251, {20,25,30,35,40,45,50,55,60,65,70,75,80,85}, 1), "20-24", "25-29", "30-34", "35-39", "40-44", "45-49", "50-54", "55-59", "60-64", "65-69", "70-74", "75-79", "80-84", "85+")</f>
        <v>30-34</v>
      </c>
      <c r="D3251" t="s">
        <v>7</v>
      </c>
    </row>
    <row r="3252" spans="1:4">
      <c r="A3252" t="s">
        <v>6</v>
      </c>
      <c r="B3252">
        <v>25</v>
      </c>
      <c r="C3252" t="str">
        <f>CHOOSE(MATCH(B3252, {20,25,30,35,40,45,50,55,60,65,70,75,80,85}, 1), "20-24", "25-29", "30-34", "35-39", "40-44", "45-49", "50-54", "55-59", "60-64", "65-69", "70-74", "75-79", "80-84", "85+")</f>
        <v>25-29</v>
      </c>
      <c r="D3252" t="s">
        <v>7</v>
      </c>
    </row>
    <row r="3253" spans="1:4">
      <c r="A3253" t="s">
        <v>6</v>
      </c>
      <c r="B3253">
        <v>62</v>
      </c>
      <c r="C3253" t="str">
        <f>CHOOSE(MATCH(B3253, {20,25,30,35,40,45,50,55,60,65,70,75,80,85}, 1), "20-24", "25-29", "30-34", "35-39", "40-44", "45-49", "50-54", "55-59", "60-64", "65-69", "70-74", "75-79", "80-84", "85+")</f>
        <v>60-64</v>
      </c>
      <c r="D3253" t="s">
        <v>8</v>
      </c>
    </row>
    <row r="3254" spans="1:4">
      <c r="A3254" t="s">
        <v>6</v>
      </c>
      <c r="B3254">
        <v>29</v>
      </c>
      <c r="C3254" t="str">
        <f>CHOOSE(MATCH(B3254, {20,25,30,35,40,45,50,55,60,65,70,75,80,85}, 1), "20-24", "25-29", "30-34", "35-39", "40-44", "45-49", "50-54", "55-59", "60-64", "65-69", "70-74", "75-79", "80-84", "85+")</f>
        <v>25-29</v>
      </c>
      <c r="D3254" t="s">
        <v>7</v>
      </c>
    </row>
    <row r="3255" spans="1:4">
      <c r="A3255" t="s">
        <v>6</v>
      </c>
      <c r="B3255">
        <v>57</v>
      </c>
      <c r="C3255" t="str">
        <f>CHOOSE(MATCH(B3255, {20,25,30,35,40,45,50,55,60,65,70,75,80,85}, 1), "20-24", "25-29", "30-34", "35-39", "40-44", "45-49", "50-54", "55-59", "60-64", "65-69", "70-74", "75-79", "80-84", "85+")</f>
        <v>55-59</v>
      </c>
      <c r="D3255" t="s">
        <v>8</v>
      </c>
    </row>
    <row r="3256" spans="1:4">
      <c r="A3256" t="s">
        <v>6</v>
      </c>
      <c r="B3256">
        <v>33</v>
      </c>
      <c r="C3256" t="str">
        <f>CHOOSE(MATCH(B3256, {20,25,30,35,40,45,50,55,60,65,70,75,80,85}, 1), "20-24", "25-29", "30-34", "35-39", "40-44", "45-49", "50-54", "55-59", "60-64", "65-69", "70-74", "75-79", "80-84", "85+")</f>
        <v>30-34</v>
      </c>
      <c r="D3256" t="s">
        <v>8</v>
      </c>
    </row>
    <row r="3257" spans="1:4">
      <c r="A3257" t="s">
        <v>6</v>
      </c>
      <c r="B3257">
        <v>27</v>
      </c>
      <c r="C3257" t="str">
        <f>CHOOSE(MATCH(B3257, {20,25,30,35,40,45,50,55,60,65,70,75,80,85}, 1), "20-24", "25-29", "30-34", "35-39", "40-44", "45-49", "50-54", "55-59", "60-64", "65-69", "70-74", "75-79", "80-84", "85+")</f>
        <v>25-29</v>
      </c>
      <c r="D3257" t="s">
        <v>8</v>
      </c>
    </row>
    <row r="3258" spans="1:4">
      <c r="A3258" t="s">
        <v>6</v>
      </c>
      <c r="B3258">
        <v>55</v>
      </c>
      <c r="C3258" t="str">
        <f>CHOOSE(MATCH(B3258, {20,25,30,35,40,45,50,55,60,65,70,75,80,85}, 1), "20-24", "25-29", "30-34", "35-39", "40-44", "45-49", "50-54", "55-59", "60-64", "65-69", "70-74", "75-79", "80-84", "85+")</f>
        <v>55-59</v>
      </c>
      <c r="D3258" t="s">
        <v>7</v>
      </c>
    </row>
    <row r="3259" spans="1:4">
      <c r="A3259" t="s">
        <v>6</v>
      </c>
      <c r="B3259">
        <v>33</v>
      </c>
      <c r="C3259" t="str">
        <f>CHOOSE(MATCH(B3259, {20,25,30,35,40,45,50,55,60,65,70,75,80,85}, 1), "20-24", "25-29", "30-34", "35-39", "40-44", "45-49", "50-54", "55-59", "60-64", "65-69", "70-74", "75-79", "80-84", "85+")</f>
        <v>30-34</v>
      </c>
      <c r="D3259" t="s">
        <v>7</v>
      </c>
    </row>
    <row r="3260" spans="1:4">
      <c r="A3260" t="s">
        <v>6</v>
      </c>
      <c r="B3260">
        <v>32</v>
      </c>
      <c r="C3260" t="str">
        <f>CHOOSE(MATCH(B3260, {20,25,30,35,40,45,50,55,60,65,70,75,80,85}, 1), "20-24", "25-29", "30-34", "35-39", "40-44", "45-49", "50-54", "55-59", "60-64", "65-69", "70-74", "75-79", "80-84", "85+")</f>
        <v>30-34</v>
      </c>
      <c r="D3260" t="s">
        <v>7</v>
      </c>
    </row>
    <row r="3261" spans="1:4">
      <c r="A3261" t="s">
        <v>6</v>
      </c>
      <c r="B3261">
        <v>42</v>
      </c>
      <c r="C3261" t="str">
        <f>CHOOSE(MATCH(B3261, {20,25,30,35,40,45,50,55,60,65,70,75,80,85}, 1), "20-24", "25-29", "30-34", "35-39", "40-44", "45-49", "50-54", "55-59", "60-64", "65-69", "70-74", "75-79", "80-84", "85+")</f>
        <v>40-44</v>
      </c>
      <c r="D3261" t="s">
        <v>8</v>
      </c>
    </row>
    <row r="3262" spans="1:4">
      <c r="A3262" t="s">
        <v>6</v>
      </c>
      <c r="B3262">
        <v>52</v>
      </c>
      <c r="C3262" t="str">
        <f>CHOOSE(MATCH(B3262, {20,25,30,35,40,45,50,55,60,65,70,75,80,85}, 1), "20-24", "25-29", "30-34", "35-39", "40-44", "45-49", "50-54", "55-59", "60-64", "65-69", "70-74", "75-79", "80-84", "85+")</f>
        <v>50-54</v>
      </c>
      <c r="D3262" t="s">
        <v>8</v>
      </c>
    </row>
    <row r="3263" spans="1:4">
      <c r="A3263" t="s">
        <v>6</v>
      </c>
      <c r="B3263">
        <v>47</v>
      </c>
      <c r="C3263" t="str">
        <f>CHOOSE(MATCH(B3263, {20,25,30,35,40,45,50,55,60,65,70,75,80,85}, 1), "20-24", "25-29", "30-34", "35-39", "40-44", "45-49", "50-54", "55-59", "60-64", "65-69", "70-74", "75-79", "80-84", "85+")</f>
        <v>45-49</v>
      </c>
      <c r="D3263" t="s">
        <v>7</v>
      </c>
    </row>
    <row r="3264" spans="1:4">
      <c r="A3264" t="s">
        <v>6</v>
      </c>
      <c r="B3264">
        <v>32</v>
      </c>
      <c r="C3264" t="str">
        <f>CHOOSE(MATCH(B3264, {20,25,30,35,40,45,50,55,60,65,70,75,80,85}, 1), "20-24", "25-29", "30-34", "35-39", "40-44", "45-49", "50-54", "55-59", "60-64", "65-69", "70-74", "75-79", "80-84", "85+")</f>
        <v>30-34</v>
      </c>
      <c r="D3264" t="s">
        <v>7</v>
      </c>
    </row>
    <row r="3265" spans="1:4">
      <c r="A3265" t="s">
        <v>6</v>
      </c>
      <c r="B3265">
        <v>91</v>
      </c>
      <c r="C3265" t="str">
        <f>CHOOSE(MATCH(B3265, {20,25,30,35,40,45,50,55,60,65,70,75,80,85}, 1), "20-24", "25-29", "30-34", "35-39", "40-44", "45-49", "50-54", "55-59", "60-64", "65-69", "70-74", "75-79", "80-84", "85+")</f>
        <v>85+</v>
      </c>
      <c r="D3265" t="s">
        <v>8</v>
      </c>
    </row>
    <row r="3266" spans="1:4">
      <c r="A3266" t="s">
        <v>6</v>
      </c>
      <c r="B3266">
        <v>36</v>
      </c>
      <c r="C3266" t="str">
        <f>CHOOSE(MATCH(B3266, {20,25,30,35,40,45,50,55,60,65,70,75,80,85}, 1), "20-24", "25-29", "30-34", "35-39", "40-44", "45-49", "50-54", "55-59", "60-64", "65-69", "70-74", "75-79", "80-84", "85+")</f>
        <v>35-39</v>
      </c>
      <c r="D3266" t="s">
        <v>7</v>
      </c>
    </row>
    <row r="3267" spans="1:4">
      <c r="A3267" t="s">
        <v>6</v>
      </c>
      <c r="B3267">
        <v>22</v>
      </c>
      <c r="C3267" t="str">
        <f>CHOOSE(MATCH(B3267, {20,25,30,35,40,45,50,55,60,65,70,75,80,85}, 1), "20-24", "25-29", "30-34", "35-39", "40-44", "45-49", "50-54", "55-59", "60-64", "65-69", "70-74", "75-79", "80-84", "85+")</f>
        <v>20-24</v>
      </c>
      <c r="D3267" t="s">
        <v>8</v>
      </c>
    </row>
    <row r="3268" spans="1:4">
      <c r="A3268" t="s">
        <v>6</v>
      </c>
      <c r="B3268">
        <v>47</v>
      </c>
      <c r="C3268" t="str">
        <f>CHOOSE(MATCH(B3268, {20,25,30,35,40,45,50,55,60,65,70,75,80,85}, 1), "20-24", "25-29", "30-34", "35-39", "40-44", "45-49", "50-54", "55-59", "60-64", "65-69", "70-74", "75-79", "80-84", "85+")</f>
        <v>45-49</v>
      </c>
      <c r="D3268" t="s">
        <v>7</v>
      </c>
    </row>
    <row r="3269" spans="1:4">
      <c r="A3269" t="s">
        <v>6</v>
      </c>
      <c r="B3269">
        <v>78</v>
      </c>
      <c r="C3269" t="str">
        <f>CHOOSE(MATCH(B3269, {20,25,30,35,40,45,50,55,60,65,70,75,80,85}, 1), "20-24", "25-29", "30-34", "35-39", "40-44", "45-49", "50-54", "55-59", "60-64", "65-69", "70-74", "75-79", "80-84", "85+")</f>
        <v>75-79</v>
      </c>
      <c r="D3269" t="s">
        <v>8</v>
      </c>
    </row>
    <row r="3270" spans="1:4">
      <c r="A3270" t="s">
        <v>6</v>
      </c>
      <c r="B3270">
        <v>65</v>
      </c>
      <c r="C3270" t="str">
        <f>CHOOSE(MATCH(B3270, {20,25,30,35,40,45,50,55,60,65,70,75,80,85}, 1), "20-24", "25-29", "30-34", "35-39", "40-44", "45-49", "50-54", "55-59", "60-64", "65-69", "70-74", "75-79", "80-84", "85+")</f>
        <v>65-69</v>
      </c>
      <c r="D3270" t="s">
        <v>7</v>
      </c>
    </row>
    <row r="3271" spans="1:4">
      <c r="A3271" t="s">
        <v>6</v>
      </c>
      <c r="B3271">
        <v>23</v>
      </c>
      <c r="C3271" t="str">
        <f>CHOOSE(MATCH(B3271, {20,25,30,35,40,45,50,55,60,65,70,75,80,85}, 1), "20-24", "25-29", "30-34", "35-39", "40-44", "45-49", "50-54", "55-59", "60-64", "65-69", "70-74", "75-79", "80-84", "85+")</f>
        <v>20-24</v>
      </c>
      <c r="D3271" t="s">
        <v>7</v>
      </c>
    </row>
    <row r="3272" spans="1:4">
      <c r="A3272" t="s">
        <v>6</v>
      </c>
      <c r="B3272">
        <v>73</v>
      </c>
      <c r="C3272" t="str">
        <f>CHOOSE(MATCH(B3272, {20,25,30,35,40,45,50,55,60,65,70,75,80,85}, 1), "20-24", "25-29", "30-34", "35-39", "40-44", "45-49", "50-54", "55-59", "60-64", "65-69", "70-74", "75-79", "80-84", "85+")</f>
        <v>70-74</v>
      </c>
      <c r="D3272" t="s">
        <v>7</v>
      </c>
    </row>
    <row r="3273" spans="1:4">
      <c r="A3273" t="s">
        <v>6</v>
      </c>
      <c r="B3273">
        <v>30</v>
      </c>
      <c r="C3273" t="str">
        <f>CHOOSE(MATCH(B3273, {20,25,30,35,40,45,50,55,60,65,70,75,80,85}, 1), "20-24", "25-29", "30-34", "35-39", "40-44", "45-49", "50-54", "55-59", "60-64", "65-69", "70-74", "75-79", "80-84", "85+")</f>
        <v>30-34</v>
      </c>
      <c r="D3273" t="s">
        <v>7</v>
      </c>
    </row>
    <row r="3274" spans="1:4">
      <c r="A3274" t="s">
        <v>6</v>
      </c>
      <c r="B3274">
        <v>37</v>
      </c>
      <c r="C3274" t="str">
        <f>CHOOSE(MATCH(B3274, {20,25,30,35,40,45,50,55,60,65,70,75,80,85}, 1), "20-24", "25-29", "30-34", "35-39", "40-44", "45-49", "50-54", "55-59", "60-64", "65-69", "70-74", "75-79", "80-84", "85+")</f>
        <v>35-39</v>
      </c>
      <c r="D3274" t="s">
        <v>7</v>
      </c>
    </row>
    <row r="3275" spans="1:4">
      <c r="A3275" t="s">
        <v>6</v>
      </c>
      <c r="B3275">
        <v>37</v>
      </c>
      <c r="C3275" t="str">
        <f>CHOOSE(MATCH(B3275, {20,25,30,35,40,45,50,55,60,65,70,75,80,85}, 1), "20-24", "25-29", "30-34", "35-39", "40-44", "45-49", "50-54", "55-59", "60-64", "65-69", "70-74", "75-79", "80-84", "85+")</f>
        <v>35-39</v>
      </c>
      <c r="D3275" t="s">
        <v>8</v>
      </c>
    </row>
    <row r="3276" spans="1:4">
      <c r="A3276" t="s">
        <v>6</v>
      </c>
      <c r="B3276">
        <v>32</v>
      </c>
      <c r="C3276" t="str">
        <f>CHOOSE(MATCH(B3276, {20,25,30,35,40,45,50,55,60,65,70,75,80,85}, 1), "20-24", "25-29", "30-34", "35-39", "40-44", "45-49", "50-54", "55-59", "60-64", "65-69", "70-74", "75-79", "80-84", "85+")</f>
        <v>30-34</v>
      </c>
      <c r="D3276" t="s">
        <v>7</v>
      </c>
    </row>
    <row r="3277" spans="1:4">
      <c r="A3277" t="s">
        <v>6</v>
      </c>
      <c r="B3277">
        <v>52</v>
      </c>
      <c r="C3277" t="str">
        <f>CHOOSE(MATCH(B3277, {20,25,30,35,40,45,50,55,60,65,70,75,80,85}, 1), "20-24", "25-29", "30-34", "35-39", "40-44", "45-49", "50-54", "55-59", "60-64", "65-69", "70-74", "75-79", "80-84", "85+")</f>
        <v>50-54</v>
      </c>
      <c r="D3277" t="s">
        <v>7</v>
      </c>
    </row>
    <row r="3278" spans="1:4">
      <c r="A3278" t="s">
        <v>6</v>
      </c>
      <c r="B3278">
        <v>62</v>
      </c>
      <c r="C3278" t="str">
        <f>CHOOSE(MATCH(B3278, {20,25,30,35,40,45,50,55,60,65,70,75,80,85}, 1), "20-24", "25-29", "30-34", "35-39", "40-44", "45-49", "50-54", "55-59", "60-64", "65-69", "70-74", "75-79", "80-84", "85+")</f>
        <v>60-64</v>
      </c>
      <c r="D3278" t="s">
        <v>7</v>
      </c>
    </row>
    <row r="3279" spans="1:4">
      <c r="A3279" t="s">
        <v>6</v>
      </c>
      <c r="B3279">
        <v>33</v>
      </c>
      <c r="C3279" t="str">
        <f>CHOOSE(MATCH(B3279, {20,25,30,35,40,45,50,55,60,65,70,75,80,85}, 1), "20-24", "25-29", "30-34", "35-39", "40-44", "45-49", "50-54", "55-59", "60-64", "65-69", "70-74", "75-79", "80-84", "85+")</f>
        <v>30-34</v>
      </c>
      <c r="D3279" t="s">
        <v>7</v>
      </c>
    </row>
    <row r="3280" spans="1:4">
      <c r="A3280" t="s">
        <v>6</v>
      </c>
      <c r="B3280">
        <v>42</v>
      </c>
      <c r="C3280" t="str">
        <f>CHOOSE(MATCH(B3280, {20,25,30,35,40,45,50,55,60,65,70,75,80,85}, 1), "20-24", "25-29", "30-34", "35-39", "40-44", "45-49", "50-54", "55-59", "60-64", "65-69", "70-74", "75-79", "80-84", "85+")</f>
        <v>40-44</v>
      </c>
      <c r="D3280" t="s">
        <v>7</v>
      </c>
    </row>
    <row r="3281" spans="1:4">
      <c r="A3281" t="s">
        <v>6</v>
      </c>
      <c r="B3281">
        <v>38</v>
      </c>
      <c r="C3281" t="str">
        <f>CHOOSE(MATCH(B3281, {20,25,30,35,40,45,50,55,60,65,70,75,80,85}, 1), "20-24", "25-29", "30-34", "35-39", "40-44", "45-49", "50-54", "55-59", "60-64", "65-69", "70-74", "75-79", "80-84", "85+")</f>
        <v>35-39</v>
      </c>
      <c r="D3281" t="s">
        <v>8</v>
      </c>
    </row>
    <row r="3282" spans="1:4">
      <c r="A3282" t="s">
        <v>6</v>
      </c>
      <c r="B3282">
        <v>27</v>
      </c>
      <c r="C3282" t="str">
        <f>CHOOSE(MATCH(B3282, {20,25,30,35,40,45,50,55,60,65,70,75,80,85}, 1), "20-24", "25-29", "30-34", "35-39", "40-44", "45-49", "50-54", "55-59", "60-64", "65-69", "70-74", "75-79", "80-84", "85+")</f>
        <v>25-29</v>
      </c>
      <c r="D3282" t="s">
        <v>7</v>
      </c>
    </row>
    <row r="3283" spans="1:4">
      <c r="A3283" t="s">
        <v>6</v>
      </c>
      <c r="B3283">
        <v>43</v>
      </c>
      <c r="C3283" t="str">
        <f>CHOOSE(MATCH(B3283, {20,25,30,35,40,45,50,55,60,65,70,75,80,85}, 1), "20-24", "25-29", "30-34", "35-39", "40-44", "45-49", "50-54", "55-59", "60-64", "65-69", "70-74", "75-79", "80-84", "85+")</f>
        <v>40-44</v>
      </c>
      <c r="D3283" t="s">
        <v>8</v>
      </c>
    </row>
    <row r="3284" spans="1:4">
      <c r="A3284" t="s">
        <v>6</v>
      </c>
      <c r="B3284">
        <v>33</v>
      </c>
      <c r="C3284" t="str">
        <f>CHOOSE(MATCH(B3284, {20,25,30,35,40,45,50,55,60,65,70,75,80,85}, 1), "20-24", "25-29", "30-34", "35-39", "40-44", "45-49", "50-54", "55-59", "60-64", "65-69", "70-74", "75-79", "80-84", "85+")</f>
        <v>30-34</v>
      </c>
      <c r="D3284" t="s">
        <v>7</v>
      </c>
    </row>
    <row r="3285" spans="1:4">
      <c r="A3285" t="s">
        <v>6</v>
      </c>
      <c r="B3285">
        <v>31</v>
      </c>
      <c r="C3285" t="str">
        <f>CHOOSE(MATCH(B3285, {20,25,30,35,40,45,50,55,60,65,70,75,80,85}, 1), "20-24", "25-29", "30-34", "35-39", "40-44", "45-49", "50-54", "55-59", "60-64", "65-69", "70-74", "75-79", "80-84", "85+")</f>
        <v>30-34</v>
      </c>
      <c r="D3285" t="s">
        <v>8</v>
      </c>
    </row>
    <row r="3286" spans="1:4">
      <c r="A3286" t="s">
        <v>6</v>
      </c>
      <c r="B3286">
        <v>38</v>
      </c>
      <c r="C3286" t="str">
        <f>CHOOSE(MATCH(B3286, {20,25,30,35,40,45,50,55,60,65,70,75,80,85}, 1), "20-24", "25-29", "30-34", "35-39", "40-44", "45-49", "50-54", "55-59", "60-64", "65-69", "70-74", "75-79", "80-84", "85+")</f>
        <v>35-39</v>
      </c>
      <c r="D3286" t="s">
        <v>7</v>
      </c>
    </row>
    <row r="3287" spans="1:4">
      <c r="A3287" t="s">
        <v>6</v>
      </c>
      <c r="B3287">
        <v>21</v>
      </c>
      <c r="C3287" t="str">
        <f>CHOOSE(MATCH(B3287, {20,25,30,35,40,45,50,55,60,65,70,75,80,85}, 1), "20-24", "25-29", "30-34", "35-39", "40-44", "45-49", "50-54", "55-59", "60-64", "65-69", "70-74", "75-79", "80-84", "85+")</f>
        <v>20-24</v>
      </c>
      <c r="D3287" t="s">
        <v>8</v>
      </c>
    </row>
    <row r="3288" spans="1:4">
      <c r="A3288" t="s">
        <v>6</v>
      </c>
      <c r="B3288">
        <v>52</v>
      </c>
      <c r="C3288" t="str">
        <f>CHOOSE(MATCH(B3288, {20,25,30,35,40,45,50,55,60,65,70,75,80,85}, 1), "20-24", "25-29", "30-34", "35-39", "40-44", "45-49", "50-54", "55-59", "60-64", "65-69", "70-74", "75-79", "80-84", "85+")</f>
        <v>50-54</v>
      </c>
      <c r="D3288" t="s">
        <v>8</v>
      </c>
    </row>
    <row r="3289" spans="1:4">
      <c r="A3289" t="s">
        <v>6</v>
      </c>
      <c r="B3289">
        <v>26</v>
      </c>
      <c r="C3289" t="str">
        <f>CHOOSE(MATCH(B3289, {20,25,30,35,40,45,50,55,60,65,70,75,80,85}, 1), "20-24", "25-29", "30-34", "35-39", "40-44", "45-49", "50-54", "55-59", "60-64", "65-69", "70-74", "75-79", "80-84", "85+")</f>
        <v>25-29</v>
      </c>
      <c r="D3289" t="s">
        <v>8</v>
      </c>
    </row>
    <row r="3290" spans="1:4">
      <c r="A3290" t="s">
        <v>6</v>
      </c>
      <c r="B3290">
        <v>34</v>
      </c>
      <c r="C3290" t="str">
        <f>CHOOSE(MATCH(B3290, {20,25,30,35,40,45,50,55,60,65,70,75,80,85}, 1), "20-24", "25-29", "30-34", "35-39", "40-44", "45-49", "50-54", "55-59", "60-64", "65-69", "70-74", "75-79", "80-84", "85+")</f>
        <v>30-34</v>
      </c>
      <c r="D3290" t="s">
        <v>7</v>
      </c>
    </row>
    <row r="3291" spans="1:4">
      <c r="A3291" t="s">
        <v>6</v>
      </c>
      <c r="B3291">
        <v>30</v>
      </c>
      <c r="C3291" t="str">
        <f>CHOOSE(MATCH(B3291, {20,25,30,35,40,45,50,55,60,65,70,75,80,85}, 1), "20-24", "25-29", "30-34", "35-39", "40-44", "45-49", "50-54", "55-59", "60-64", "65-69", "70-74", "75-79", "80-84", "85+")</f>
        <v>30-34</v>
      </c>
      <c r="D3291" t="s">
        <v>8</v>
      </c>
    </row>
    <row r="3292" spans="1:4">
      <c r="A3292" t="s">
        <v>6</v>
      </c>
      <c r="B3292">
        <v>63</v>
      </c>
      <c r="C3292" t="str">
        <f>CHOOSE(MATCH(B3292, {20,25,30,35,40,45,50,55,60,65,70,75,80,85}, 1), "20-24", "25-29", "30-34", "35-39", "40-44", "45-49", "50-54", "55-59", "60-64", "65-69", "70-74", "75-79", "80-84", "85+")</f>
        <v>60-64</v>
      </c>
      <c r="D3292" t="s">
        <v>8</v>
      </c>
    </row>
    <row r="3293" spans="1:4">
      <c r="A3293" t="s">
        <v>6</v>
      </c>
      <c r="B3293">
        <v>40</v>
      </c>
      <c r="C3293" t="str">
        <f>CHOOSE(MATCH(B3293, {20,25,30,35,40,45,50,55,60,65,70,75,80,85}, 1), "20-24", "25-29", "30-34", "35-39", "40-44", "45-49", "50-54", "55-59", "60-64", "65-69", "70-74", "75-79", "80-84", "85+")</f>
        <v>40-44</v>
      </c>
      <c r="D3293" t="s">
        <v>7</v>
      </c>
    </row>
    <row r="3294" spans="1:4">
      <c r="A3294" t="s">
        <v>6</v>
      </c>
      <c r="B3294">
        <v>34</v>
      </c>
      <c r="C3294" t="str">
        <f>CHOOSE(MATCH(B3294, {20,25,30,35,40,45,50,55,60,65,70,75,80,85}, 1), "20-24", "25-29", "30-34", "35-39", "40-44", "45-49", "50-54", "55-59", "60-64", "65-69", "70-74", "75-79", "80-84", "85+")</f>
        <v>30-34</v>
      </c>
      <c r="D3294" t="s">
        <v>7</v>
      </c>
    </row>
    <row r="3295" spans="1:4">
      <c r="A3295" t="s">
        <v>6</v>
      </c>
      <c r="B3295">
        <v>45</v>
      </c>
      <c r="C3295" t="str">
        <f>CHOOSE(MATCH(B3295, {20,25,30,35,40,45,50,55,60,65,70,75,80,85}, 1), "20-24", "25-29", "30-34", "35-39", "40-44", "45-49", "50-54", "55-59", "60-64", "65-69", "70-74", "75-79", "80-84", "85+")</f>
        <v>45-49</v>
      </c>
      <c r="D3295" t="s">
        <v>7</v>
      </c>
    </row>
    <row r="3296" spans="1:4">
      <c r="A3296" t="s">
        <v>6</v>
      </c>
      <c r="B3296">
        <v>57</v>
      </c>
      <c r="C3296" t="str">
        <f>CHOOSE(MATCH(B3296, {20,25,30,35,40,45,50,55,60,65,70,75,80,85}, 1), "20-24", "25-29", "30-34", "35-39", "40-44", "45-49", "50-54", "55-59", "60-64", "65-69", "70-74", "75-79", "80-84", "85+")</f>
        <v>55-59</v>
      </c>
      <c r="D3296" t="s">
        <v>7</v>
      </c>
    </row>
    <row r="3297" spans="1:4">
      <c r="A3297" t="s">
        <v>6</v>
      </c>
      <c r="B3297">
        <v>33</v>
      </c>
      <c r="C3297" t="str">
        <f>CHOOSE(MATCH(B3297, {20,25,30,35,40,45,50,55,60,65,70,75,80,85}, 1), "20-24", "25-29", "30-34", "35-39", "40-44", "45-49", "50-54", "55-59", "60-64", "65-69", "70-74", "75-79", "80-84", "85+")</f>
        <v>30-34</v>
      </c>
      <c r="D3297" t="s">
        <v>8</v>
      </c>
    </row>
    <row r="3298" spans="1:4">
      <c r="A3298" t="s">
        <v>6</v>
      </c>
      <c r="B3298">
        <v>56</v>
      </c>
      <c r="C3298" t="str">
        <f>CHOOSE(MATCH(B3298, {20,25,30,35,40,45,50,55,60,65,70,75,80,85}, 1), "20-24", "25-29", "30-34", "35-39", "40-44", "45-49", "50-54", "55-59", "60-64", "65-69", "70-74", "75-79", "80-84", "85+")</f>
        <v>55-59</v>
      </c>
      <c r="D3298" t="s">
        <v>8</v>
      </c>
    </row>
    <row r="3299" spans="1:4">
      <c r="A3299" t="s">
        <v>6</v>
      </c>
      <c r="B3299">
        <v>43</v>
      </c>
      <c r="C3299" t="str">
        <f>CHOOSE(MATCH(B3299, {20,25,30,35,40,45,50,55,60,65,70,75,80,85}, 1), "20-24", "25-29", "30-34", "35-39", "40-44", "45-49", "50-54", "55-59", "60-64", "65-69", "70-74", "75-79", "80-84", "85+")</f>
        <v>40-44</v>
      </c>
      <c r="D3299" t="s">
        <v>8</v>
      </c>
    </row>
    <row r="3300" spans="1:4">
      <c r="A3300" t="s">
        <v>6</v>
      </c>
      <c r="B3300">
        <v>66</v>
      </c>
      <c r="C3300" t="str">
        <f>CHOOSE(MATCH(B3300, {20,25,30,35,40,45,50,55,60,65,70,75,80,85}, 1), "20-24", "25-29", "30-34", "35-39", "40-44", "45-49", "50-54", "55-59", "60-64", "65-69", "70-74", "75-79", "80-84", "85+")</f>
        <v>65-69</v>
      </c>
      <c r="D3300" t="s">
        <v>8</v>
      </c>
    </row>
    <row r="3301" spans="1:4">
      <c r="A3301" t="s">
        <v>6</v>
      </c>
      <c r="B3301">
        <v>62</v>
      </c>
      <c r="C3301" t="str">
        <f>CHOOSE(MATCH(B3301, {20,25,30,35,40,45,50,55,60,65,70,75,80,85}, 1), "20-24", "25-29", "30-34", "35-39", "40-44", "45-49", "50-54", "55-59", "60-64", "65-69", "70-74", "75-79", "80-84", "85+")</f>
        <v>60-64</v>
      </c>
      <c r="D3301" t="s">
        <v>7</v>
      </c>
    </row>
    <row r="3302" spans="1:4">
      <c r="A3302" t="s">
        <v>6</v>
      </c>
      <c r="B3302">
        <v>70</v>
      </c>
      <c r="C3302" t="str">
        <f>CHOOSE(MATCH(B3302, {20,25,30,35,40,45,50,55,60,65,70,75,80,85}, 1), "20-24", "25-29", "30-34", "35-39", "40-44", "45-49", "50-54", "55-59", "60-64", "65-69", "70-74", "75-79", "80-84", "85+")</f>
        <v>70-74</v>
      </c>
      <c r="D3302" t="s">
        <v>8</v>
      </c>
    </row>
    <row r="3303" spans="1:4">
      <c r="A3303" t="s">
        <v>6</v>
      </c>
      <c r="B3303">
        <v>32</v>
      </c>
      <c r="C3303" t="str">
        <f>CHOOSE(MATCH(B3303, {20,25,30,35,40,45,50,55,60,65,70,75,80,85}, 1), "20-24", "25-29", "30-34", "35-39", "40-44", "45-49", "50-54", "55-59", "60-64", "65-69", "70-74", "75-79", "80-84", "85+")</f>
        <v>30-34</v>
      </c>
      <c r="D3303" t="s">
        <v>7</v>
      </c>
    </row>
    <row r="3304" spans="1:4">
      <c r="A3304" t="s">
        <v>6</v>
      </c>
      <c r="B3304">
        <v>41</v>
      </c>
      <c r="C3304" t="str">
        <f>CHOOSE(MATCH(B3304, {20,25,30,35,40,45,50,55,60,65,70,75,80,85}, 1), "20-24", "25-29", "30-34", "35-39", "40-44", "45-49", "50-54", "55-59", "60-64", "65-69", "70-74", "75-79", "80-84", "85+")</f>
        <v>40-44</v>
      </c>
      <c r="D3304" t="s">
        <v>8</v>
      </c>
    </row>
    <row r="3305" spans="1:4">
      <c r="A3305" t="s">
        <v>6</v>
      </c>
      <c r="B3305">
        <v>28</v>
      </c>
      <c r="C3305" t="str">
        <f>CHOOSE(MATCH(B3305, {20,25,30,35,40,45,50,55,60,65,70,75,80,85}, 1), "20-24", "25-29", "30-34", "35-39", "40-44", "45-49", "50-54", "55-59", "60-64", "65-69", "70-74", "75-79", "80-84", "85+")</f>
        <v>25-29</v>
      </c>
      <c r="D3305" t="s">
        <v>7</v>
      </c>
    </row>
    <row r="3306" spans="1:4">
      <c r="A3306" t="s">
        <v>6</v>
      </c>
      <c r="B3306">
        <v>91</v>
      </c>
      <c r="C3306" t="str">
        <f>CHOOSE(MATCH(B3306, {20,25,30,35,40,45,50,55,60,65,70,75,80,85}, 1), "20-24", "25-29", "30-34", "35-39", "40-44", "45-49", "50-54", "55-59", "60-64", "65-69", "70-74", "75-79", "80-84", "85+")</f>
        <v>85+</v>
      </c>
      <c r="D3306" t="s">
        <v>8</v>
      </c>
    </row>
    <row r="3307" spans="1:4">
      <c r="A3307" t="s">
        <v>6</v>
      </c>
      <c r="B3307">
        <v>43</v>
      </c>
      <c r="C3307" t="str">
        <f>CHOOSE(MATCH(B3307, {20,25,30,35,40,45,50,55,60,65,70,75,80,85}, 1), "20-24", "25-29", "30-34", "35-39", "40-44", "45-49", "50-54", "55-59", "60-64", "65-69", "70-74", "75-79", "80-84", "85+")</f>
        <v>40-44</v>
      </c>
      <c r="D3307" t="s">
        <v>8</v>
      </c>
    </row>
    <row r="3308" spans="1:4">
      <c r="A3308" t="s">
        <v>6</v>
      </c>
      <c r="B3308">
        <v>33</v>
      </c>
      <c r="C3308" t="str">
        <f>CHOOSE(MATCH(B3308, {20,25,30,35,40,45,50,55,60,65,70,75,80,85}, 1), "20-24", "25-29", "30-34", "35-39", "40-44", "45-49", "50-54", "55-59", "60-64", "65-69", "70-74", "75-79", "80-84", "85+")</f>
        <v>30-34</v>
      </c>
      <c r="D3308" t="s">
        <v>8</v>
      </c>
    </row>
    <row r="3309" spans="1:4">
      <c r="A3309" t="s">
        <v>6</v>
      </c>
      <c r="B3309">
        <v>35</v>
      </c>
      <c r="C3309" t="str">
        <f>CHOOSE(MATCH(B3309, {20,25,30,35,40,45,50,55,60,65,70,75,80,85}, 1), "20-24", "25-29", "30-34", "35-39", "40-44", "45-49", "50-54", "55-59", "60-64", "65-69", "70-74", "75-79", "80-84", "85+")</f>
        <v>35-39</v>
      </c>
      <c r="D3309" t="s">
        <v>7</v>
      </c>
    </row>
    <row r="3310" spans="1:4">
      <c r="A3310" t="s">
        <v>6</v>
      </c>
      <c r="B3310">
        <v>30</v>
      </c>
      <c r="C3310" t="str">
        <f>CHOOSE(MATCH(B3310, {20,25,30,35,40,45,50,55,60,65,70,75,80,85}, 1), "20-24", "25-29", "30-34", "35-39", "40-44", "45-49", "50-54", "55-59", "60-64", "65-69", "70-74", "75-79", "80-84", "85+")</f>
        <v>30-34</v>
      </c>
      <c r="D3310" t="s">
        <v>7</v>
      </c>
    </row>
    <row r="3311" spans="1:4">
      <c r="A3311" t="s">
        <v>6</v>
      </c>
      <c r="B3311">
        <v>42</v>
      </c>
      <c r="C3311" t="str">
        <f>CHOOSE(MATCH(B3311, {20,25,30,35,40,45,50,55,60,65,70,75,80,85}, 1), "20-24", "25-29", "30-34", "35-39", "40-44", "45-49", "50-54", "55-59", "60-64", "65-69", "70-74", "75-79", "80-84", "85+")</f>
        <v>40-44</v>
      </c>
      <c r="D3311" t="s">
        <v>8</v>
      </c>
    </row>
    <row r="3312" spans="1:4">
      <c r="A3312" t="s">
        <v>6</v>
      </c>
      <c r="B3312">
        <v>24</v>
      </c>
      <c r="C3312" t="str">
        <f>CHOOSE(MATCH(B3312, {20,25,30,35,40,45,50,55,60,65,70,75,80,85}, 1), "20-24", "25-29", "30-34", "35-39", "40-44", "45-49", "50-54", "55-59", "60-64", "65-69", "70-74", "75-79", "80-84", "85+")</f>
        <v>20-24</v>
      </c>
      <c r="D3312" t="s">
        <v>8</v>
      </c>
    </row>
    <row r="3313" spans="1:4">
      <c r="A3313" t="s">
        <v>6</v>
      </c>
      <c r="B3313">
        <v>41</v>
      </c>
      <c r="C3313" t="str">
        <f>CHOOSE(MATCH(B3313, {20,25,30,35,40,45,50,55,60,65,70,75,80,85}, 1), "20-24", "25-29", "30-34", "35-39", "40-44", "45-49", "50-54", "55-59", "60-64", "65-69", "70-74", "75-79", "80-84", "85+")</f>
        <v>40-44</v>
      </c>
      <c r="D3313" t="s">
        <v>8</v>
      </c>
    </row>
    <row r="3314" spans="1:4">
      <c r="A3314" t="s">
        <v>6</v>
      </c>
      <c r="B3314">
        <v>34</v>
      </c>
      <c r="C3314" t="str">
        <f>CHOOSE(MATCH(B3314, {20,25,30,35,40,45,50,55,60,65,70,75,80,85}, 1), "20-24", "25-29", "30-34", "35-39", "40-44", "45-49", "50-54", "55-59", "60-64", "65-69", "70-74", "75-79", "80-84", "85+")</f>
        <v>30-34</v>
      </c>
      <c r="D3314" t="s">
        <v>8</v>
      </c>
    </row>
    <row r="3315" spans="1:4">
      <c r="A3315" t="s">
        <v>6</v>
      </c>
      <c r="B3315">
        <v>39</v>
      </c>
      <c r="C3315" t="str">
        <f>CHOOSE(MATCH(B3315, {20,25,30,35,40,45,50,55,60,65,70,75,80,85}, 1), "20-24", "25-29", "30-34", "35-39", "40-44", "45-49", "50-54", "55-59", "60-64", "65-69", "70-74", "75-79", "80-84", "85+")</f>
        <v>35-39</v>
      </c>
      <c r="D3315" t="s">
        <v>7</v>
      </c>
    </row>
    <row r="3316" spans="1:4">
      <c r="A3316" t="s">
        <v>6</v>
      </c>
      <c r="B3316">
        <v>25</v>
      </c>
      <c r="C3316" t="str">
        <f>CHOOSE(MATCH(B3316, {20,25,30,35,40,45,50,55,60,65,70,75,80,85}, 1), "20-24", "25-29", "30-34", "35-39", "40-44", "45-49", "50-54", "55-59", "60-64", "65-69", "70-74", "75-79", "80-84", "85+")</f>
        <v>25-29</v>
      </c>
      <c r="D3316" t="s">
        <v>7</v>
      </c>
    </row>
    <row r="3317" spans="1:4">
      <c r="A3317" t="s">
        <v>6</v>
      </c>
      <c r="B3317">
        <v>38</v>
      </c>
      <c r="C3317" t="str">
        <f>CHOOSE(MATCH(B3317, {20,25,30,35,40,45,50,55,60,65,70,75,80,85}, 1), "20-24", "25-29", "30-34", "35-39", "40-44", "45-49", "50-54", "55-59", "60-64", "65-69", "70-74", "75-79", "80-84", "85+")</f>
        <v>35-39</v>
      </c>
      <c r="D3317" t="s">
        <v>7</v>
      </c>
    </row>
    <row r="3318" spans="1:4">
      <c r="A3318" t="s">
        <v>6</v>
      </c>
      <c r="B3318">
        <v>39</v>
      </c>
      <c r="C3318" t="str">
        <f>CHOOSE(MATCH(B3318, {20,25,30,35,40,45,50,55,60,65,70,75,80,85}, 1), "20-24", "25-29", "30-34", "35-39", "40-44", "45-49", "50-54", "55-59", "60-64", "65-69", "70-74", "75-79", "80-84", "85+")</f>
        <v>35-39</v>
      </c>
      <c r="D3318" t="s">
        <v>7</v>
      </c>
    </row>
    <row r="3319" spans="1:4">
      <c r="A3319" t="s">
        <v>6</v>
      </c>
      <c r="B3319">
        <v>63</v>
      </c>
      <c r="C3319" t="str">
        <f>CHOOSE(MATCH(B3319, {20,25,30,35,40,45,50,55,60,65,70,75,80,85}, 1), "20-24", "25-29", "30-34", "35-39", "40-44", "45-49", "50-54", "55-59", "60-64", "65-69", "70-74", "75-79", "80-84", "85+")</f>
        <v>60-64</v>
      </c>
      <c r="D3319" t="s">
        <v>8</v>
      </c>
    </row>
    <row r="3320" spans="1:4">
      <c r="A3320" t="s">
        <v>6</v>
      </c>
      <c r="B3320">
        <v>38</v>
      </c>
      <c r="C3320" t="str">
        <f>CHOOSE(MATCH(B3320, {20,25,30,35,40,45,50,55,60,65,70,75,80,85}, 1), "20-24", "25-29", "30-34", "35-39", "40-44", "45-49", "50-54", "55-59", "60-64", "65-69", "70-74", "75-79", "80-84", "85+")</f>
        <v>35-39</v>
      </c>
      <c r="D3320" t="s">
        <v>7</v>
      </c>
    </row>
    <row r="3321" spans="1:4">
      <c r="A3321" t="s">
        <v>6</v>
      </c>
      <c r="B3321">
        <v>44</v>
      </c>
      <c r="C3321" t="str">
        <f>CHOOSE(MATCH(B3321, {20,25,30,35,40,45,50,55,60,65,70,75,80,85}, 1), "20-24", "25-29", "30-34", "35-39", "40-44", "45-49", "50-54", "55-59", "60-64", "65-69", "70-74", "75-79", "80-84", "85+")</f>
        <v>40-44</v>
      </c>
      <c r="D3321" t="s">
        <v>8</v>
      </c>
    </row>
    <row r="3322" spans="1:4">
      <c r="A3322" t="s">
        <v>6</v>
      </c>
      <c r="B3322">
        <v>34</v>
      </c>
      <c r="C3322" t="str">
        <f>CHOOSE(MATCH(B3322, {20,25,30,35,40,45,50,55,60,65,70,75,80,85}, 1), "20-24", "25-29", "30-34", "35-39", "40-44", "45-49", "50-54", "55-59", "60-64", "65-69", "70-74", "75-79", "80-84", "85+")</f>
        <v>30-34</v>
      </c>
      <c r="D3322" t="s">
        <v>8</v>
      </c>
    </row>
    <row r="3323" spans="1:4">
      <c r="A3323" t="s">
        <v>6</v>
      </c>
      <c r="B3323">
        <v>30</v>
      </c>
      <c r="C3323" t="str">
        <f>CHOOSE(MATCH(B3323, {20,25,30,35,40,45,50,55,60,65,70,75,80,85}, 1), "20-24", "25-29", "30-34", "35-39", "40-44", "45-49", "50-54", "55-59", "60-64", "65-69", "70-74", "75-79", "80-84", "85+")</f>
        <v>30-34</v>
      </c>
      <c r="D3323" t="s">
        <v>8</v>
      </c>
    </row>
    <row r="3324" spans="1:4">
      <c r="A3324" t="s">
        <v>6</v>
      </c>
      <c r="B3324">
        <v>57</v>
      </c>
      <c r="C3324" t="str">
        <f>CHOOSE(MATCH(B3324, {20,25,30,35,40,45,50,55,60,65,70,75,80,85}, 1), "20-24", "25-29", "30-34", "35-39", "40-44", "45-49", "50-54", "55-59", "60-64", "65-69", "70-74", "75-79", "80-84", "85+")</f>
        <v>55-59</v>
      </c>
      <c r="D3324" t="s">
        <v>8</v>
      </c>
    </row>
    <row r="3325" spans="1:4">
      <c r="A3325" t="s">
        <v>6</v>
      </c>
      <c r="B3325">
        <v>26</v>
      </c>
      <c r="C3325" t="str">
        <f>CHOOSE(MATCH(B3325, {20,25,30,35,40,45,50,55,60,65,70,75,80,85}, 1), "20-24", "25-29", "30-34", "35-39", "40-44", "45-49", "50-54", "55-59", "60-64", "65-69", "70-74", "75-79", "80-84", "85+")</f>
        <v>25-29</v>
      </c>
      <c r="D3325" t="s">
        <v>7</v>
      </c>
    </row>
    <row r="3326" spans="1:4">
      <c r="A3326" t="s">
        <v>6</v>
      </c>
      <c r="B3326">
        <v>69</v>
      </c>
      <c r="C3326" t="str">
        <f>CHOOSE(MATCH(B3326, {20,25,30,35,40,45,50,55,60,65,70,75,80,85}, 1), "20-24", "25-29", "30-34", "35-39", "40-44", "45-49", "50-54", "55-59", "60-64", "65-69", "70-74", "75-79", "80-84", "85+")</f>
        <v>65-69</v>
      </c>
      <c r="D3326" t="s">
        <v>8</v>
      </c>
    </row>
    <row r="3327" spans="1:4">
      <c r="A3327" t="s">
        <v>6</v>
      </c>
      <c r="B3327">
        <v>51</v>
      </c>
      <c r="C3327" t="str">
        <f>CHOOSE(MATCH(B3327, {20,25,30,35,40,45,50,55,60,65,70,75,80,85}, 1), "20-24", "25-29", "30-34", "35-39", "40-44", "45-49", "50-54", "55-59", "60-64", "65-69", "70-74", "75-79", "80-84", "85+")</f>
        <v>50-54</v>
      </c>
      <c r="D3327" t="s">
        <v>7</v>
      </c>
    </row>
    <row r="3328" spans="1:4">
      <c r="A3328" t="s">
        <v>6</v>
      </c>
      <c r="B3328">
        <v>35</v>
      </c>
      <c r="C3328" t="str">
        <f>CHOOSE(MATCH(B3328, {20,25,30,35,40,45,50,55,60,65,70,75,80,85}, 1), "20-24", "25-29", "30-34", "35-39", "40-44", "45-49", "50-54", "55-59", "60-64", "65-69", "70-74", "75-79", "80-84", "85+")</f>
        <v>35-39</v>
      </c>
      <c r="D3328" t="s">
        <v>8</v>
      </c>
    </row>
    <row r="3329" spans="1:4">
      <c r="A3329" t="s">
        <v>6</v>
      </c>
      <c r="B3329">
        <v>29</v>
      </c>
      <c r="C3329" t="str">
        <f>CHOOSE(MATCH(B3329, {20,25,30,35,40,45,50,55,60,65,70,75,80,85}, 1), "20-24", "25-29", "30-34", "35-39", "40-44", "45-49", "50-54", "55-59", "60-64", "65-69", "70-74", "75-79", "80-84", "85+")</f>
        <v>25-29</v>
      </c>
      <c r="D3329" t="s">
        <v>8</v>
      </c>
    </row>
    <row r="3330" spans="1:4">
      <c r="A3330" t="s">
        <v>6</v>
      </c>
      <c r="B3330">
        <v>24</v>
      </c>
      <c r="C3330" t="str">
        <f>CHOOSE(MATCH(B3330, {20,25,30,35,40,45,50,55,60,65,70,75,80,85}, 1), "20-24", "25-29", "30-34", "35-39", "40-44", "45-49", "50-54", "55-59", "60-64", "65-69", "70-74", "75-79", "80-84", "85+")</f>
        <v>20-24</v>
      </c>
      <c r="D3330" t="s">
        <v>7</v>
      </c>
    </row>
    <row r="3331" spans="1:4">
      <c r="A3331" t="s">
        <v>6</v>
      </c>
      <c r="B3331">
        <v>41</v>
      </c>
      <c r="C3331" t="str">
        <f>CHOOSE(MATCH(B3331, {20,25,30,35,40,45,50,55,60,65,70,75,80,85}, 1), "20-24", "25-29", "30-34", "35-39", "40-44", "45-49", "50-54", "55-59", "60-64", "65-69", "70-74", "75-79", "80-84", "85+")</f>
        <v>40-44</v>
      </c>
      <c r="D3331" t="s">
        <v>7</v>
      </c>
    </row>
    <row r="3332" spans="1:4">
      <c r="A3332" t="s">
        <v>6</v>
      </c>
      <c r="B3332">
        <v>35</v>
      </c>
      <c r="C3332" t="str">
        <f>CHOOSE(MATCH(B3332, {20,25,30,35,40,45,50,55,60,65,70,75,80,85}, 1), "20-24", "25-29", "30-34", "35-39", "40-44", "45-49", "50-54", "55-59", "60-64", "65-69", "70-74", "75-79", "80-84", "85+")</f>
        <v>35-39</v>
      </c>
      <c r="D3332" t="s">
        <v>7</v>
      </c>
    </row>
    <row r="3333" spans="1:4">
      <c r="A3333" t="s">
        <v>6</v>
      </c>
      <c r="B3333">
        <v>49</v>
      </c>
      <c r="C3333" t="str">
        <f>CHOOSE(MATCH(B3333, {20,25,30,35,40,45,50,55,60,65,70,75,80,85}, 1), "20-24", "25-29", "30-34", "35-39", "40-44", "45-49", "50-54", "55-59", "60-64", "65-69", "70-74", "75-79", "80-84", "85+")</f>
        <v>45-49</v>
      </c>
      <c r="D3333" t="s">
        <v>8</v>
      </c>
    </row>
    <row r="3334" spans="1:4">
      <c r="A3334" t="s">
        <v>6</v>
      </c>
      <c r="B3334">
        <v>68</v>
      </c>
      <c r="C3334" t="str">
        <f>CHOOSE(MATCH(B3334, {20,25,30,35,40,45,50,55,60,65,70,75,80,85}, 1), "20-24", "25-29", "30-34", "35-39", "40-44", "45-49", "50-54", "55-59", "60-64", "65-69", "70-74", "75-79", "80-84", "85+")</f>
        <v>65-69</v>
      </c>
      <c r="D3334" t="s">
        <v>8</v>
      </c>
    </row>
    <row r="3335" spans="1:4">
      <c r="A3335" t="s">
        <v>6</v>
      </c>
      <c r="B3335">
        <v>49</v>
      </c>
      <c r="C3335" t="str">
        <f>CHOOSE(MATCH(B3335, {20,25,30,35,40,45,50,55,60,65,70,75,80,85}, 1), "20-24", "25-29", "30-34", "35-39", "40-44", "45-49", "50-54", "55-59", "60-64", "65-69", "70-74", "75-79", "80-84", "85+")</f>
        <v>45-49</v>
      </c>
      <c r="D3335" t="s">
        <v>7</v>
      </c>
    </row>
    <row r="3336" spans="1:4">
      <c r="A3336" t="s">
        <v>6</v>
      </c>
      <c r="B3336">
        <v>41</v>
      </c>
      <c r="C3336" t="str">
        <f>CHOOSE(MATCH(B3336, {20,25,30,35,40,45,50,55,60,65,70,75,80,85}, 1), "20-24", "25-29", "30-34", "35-39", "40-44", "45-49", "50-54", "55-59", "60-64", "65-69", "70-74", "75-79", "80-84", "85+")</f>
        <v>40-44</v>
      </c>
      <c r="D3336" t="s">
        <v>7</v>
      </c>
    </row>
    <row r="3337" spans="1:4">
      <c r="A3337" t="s">
        <v>6</v>
      </c>
      <c r="B3337">
        <v>72</v>
      </c>
      <c r="C3337" t="str">
        <f>CHOOSE(MATCH(B3337, {20,25,30,35,40,45,50,55,60,65,70,75,80,85}, 1), "20-24", "25-29", "30-34", "35-39", "40-44", "45-49", "50-54", "55-59", "60-64", "65-69", "70-74", "75-79", "80-84", "85+")</f>
        <v>70-74</v>
      </c>
      <c r="D3337" t="s">
        <v>8</v>
      </c>
    </row>
    <row r="3338" spans="1:4">
      <c r="A3338" t="s">
        <v>6</v>
      </c>
      <c r="B3338">
        <v>51</v>
      </c>
      <c r="C3338" t="str">
        <f>CHOOSE(MATCH(B3338, {20,25,30,35,40,45,50,55,60,65,70,75,80,85}, 1), "20-24", "25-29", "30-34", "35-39", "40-44", "45-49", "50-54", "55-59", "60-64", "65-69", "70-74", "75-79", "80-84", "85+")</f>
        <v>50-54</v>
      </c>
      <c r="D3338" t="s">
        <v>7</v>
      </c>
    </row>
    <row r="3339" spans="1:4">
      <c r="A3339" t="s">
        <v>6</v>
      </c>
      <c r="B3339">
        <v>21</v>
      </c>
      <c r="C3339" t="str">
        <f>CHOOSE(MATCH(B3339, {20,25,30,35,40,45,50,55,60,65,70,75,80,85}, 1), "20-24", "25-29", "30-34", "35-39", "40-44", "45-49", "50-54", "55-59", "60-64", "65-69", "70-74", "75-79", "80-84", "85+")</f>
        <v>20-24</v>
      </c>
      <c r="D3339" t="s">
        <v>8</v>
      </c>
    </row>
    <row r="3340" spans="1:4">
      <c r="A3340" t="s">
        <v>6</v>
      </c>
      <c r="B3340">
        <v>50</v>
      </c>
      <c r="C3340" t="str">
        <f>CHOOSE(MATCH(B3340, {20,25,30,35,40,45,50,55,60,65,70,75,80,85}, 1), "20-24", "25-29", "30-34", "35-39", "40-44", "45-49", "50-54", "55-59", "60-64", "65-69", "70-74", "75-79", "80-84", "85+")</f>
        <v>50-54</v>
      </c>
      <c r="D3340" t="s">
        <v>8</v>
      </c>
    </row>
    <row r="3341" spans="1:4">
      <c r="A3341" t="s">
        <v>6</v>
      </c>
      <c r="B3341">
        <v>48</v>
      </c>
      <c r="C3341" t="str">
        <f>CHOOSE(MATCH(B3341, {20,25,30,35,40,45,50,55,60,65,70,75,80,85}, 1), "20-24", "25-29", "30-34", "35-39", "40-44", "45-49", "50-54", "55-59", "60-64", "65-69", "70-74", "75-79", "80-84", "85+")</f>
        <v>45-49</v>
      </c>
      <c r="D3341" t="s">
        <v>7</v>
      </c>
    </row>
    <row r="3342" spans="1:4">
      <c r="A3342" t="s">
        <v>6</v>
      </c>
      <c r="B3342">
        <v>31</v>
      </c>
      <c r="C3342" t="str">
        <f>CHOOSE(MATCH(B3342, {20,25,30,35,40,45,50,55,60,65,70,75,80,85}, 1), "20-24", "25-29", "30-34", "35-39", "40-44", "45-49", "50-54", "55-59", "60-64", "65-69", "70-74", "75-79", "80-84", "85+")</f>
        <v>30-34</v>
      </c>
      <c r="D3342" t="s">
        <v>7</v>
      </c>
    </row>
    <row r="3343" spans="1:4">
      <c r="A3343" t="s">
        <v>6</v>
      </c>
      <c r="B3343">
        <v>93</v>
      </c>
      <c r="C3343" t="str">
        <f>CHOOSE(MATCH(B3343, {20,25,30,35,40,45,50,55,60,65,70,75,80,85}, 1), "20-24", "25-29", "30-34", "35-39", "40-44", "45-49", "50-54", "55-59", "60-64", "65-69", "70-74", "75-79", "80-84", "85+")</f>
        <v>85+</v>
      </c>
      <c r="D3343" t="s">
        <v>7</v>
      </c>
    </row>
    <row r="3344" spans="1:4">
      <c r="A3344" t="s">
        <v>6</v>
      </c>
      <c r="B3344">
        <v>61</v>
      </c>
      <c r="C3344" t="str">
        <f>CHOOSE(MATCH(B3344, {20,25,30,35,40,45,50,55,60,65,70,75,80,85}, 1), "20-24", "25-29", "30-34", "35-39", "40-44", "45-49", "50-54", "55-59", "60-64", "65-69", "70-74", "75-79", "80-84", "85+")</f>
        <v>60-64</v>
      </c>
      <c r="D3344" t="s">
        <v>8</v>
      </c>
    </row>
    <row r="3345" spans="1:4">
      <c r="A3345" t="s">
        <v>6</v>
      </c>
      <c r="B3345">
        <v>56</v>
      </c>
      <c r="C3345" t="str">
        <f>CHOOSE(MATCH(B3345, {20,25,30,35,40,45,50,55,60,65,70,75,80,85}, 1), "20-24", "25-29", "30-34", "35-39", "40-44", "45-49", "50-54", "55-59", "60-64", "65-69", "70-74", "75-79", "80-84", "85+")</f>
        <v>55-59</v>
      </c>
      <c r="D3345" t="s">
        <v>7</v>
      </c>
    </row>
    <row r="3346" spans="1:4">
      <c r="A3346" t="s">
        <v>6</v>
      </c>
      <c r="B3346">
        <v>24</v>
      </c>
      <c r="C3346" t="str">
        <f>CHOOSE(MATCH(B3346, {20,25,30,35,40,45,50,55,60,65,70,75,80,85}, 1), "20-24", "25-29", "30-34", "35-39", "40-44", "45-49", "50-54", "55-59", "60-64", "65-69", "70-74", "75-79", "80-84", "85+")</f>
        <v>20-24</v>
      </c>
      <c r="D3346" t="s">
        <v>8</v>
      </c>
    </row>
    <row r="3347" spans="1:4">
      <c r="A3347" t="s">
        <v>6</v>
      </c>
      <c r="B3347">
        <v>37</v>
      </c>
      <c r="C3347" t="str">
        <f>CHOOSE(MATCH(B3347, {20,25,30,35,40,45,50,55,60,65,70,75,80,85}, 1), "20-24", "25-29", "30-34", "35-39", "40-44", "45-49", "50-54", "55-59", "60-64", "65-69", "70-74", "75-79", "80-84", "85+")</f>
        <v>35-39</v>
      </c>
      <c r="D3347" t="s">
        <v>8</v>
      </c>
    </row>
    <row r="3348" spans="1:4">
      <c r="A3348" t="s">
        <v>6</v>
      </c>
      <c r="B3348">
        <v>43</v>
      </c>
      <c r="C3348" t="str">
        <f>CHOOSE(MATCH(B3348, {20,25,30,35,40,45,50,55,60,65,70,75,80,85}, 1), "20-24", "25-29", "30-34", "35-39", "40-44", "45-49", "50-54", "55-59", "60-64", "65-69", "70-74", "75-79", "80-84", "85+")</f>
        <v>40-44</v>
      </c>
      <c r="D3348" t="s">
        <v>7</v>
      </c>
    </row>
    <row r="3349" spans="1:4">
      <c r="A3349" t="s">
        <v>6</v>
      </c>
      <c r="B3349">
        <v>24</v>
      </c>
      <c r="C3349" t="str">
        <f>CHOOSE(MATCH(B3349, {20,25,30,35,40,45,50,55,60,65,70,75,80,85}, 1), "20-24", "25-29", "30-34", "35-39", "40-44", "45-49", "50-54", "55-59", "60-64", "65-69", "70-74", "75-79", "80-84", "85+")</f>
        <v>20-24</v>
      </c>
      <c r="D3349" t="s">
        <v>8</v>
      </c>
    </row>
    <row r="3350" spans="1:4">
      <c r="A3350" t="s">
        <v>6</v>
      </c>
      <c r="B3350">
        <v>49</v>
      </c>
      <c r="C3350" t="str">
        <f>CHOOSE(MATCH(B3350, {20,25,30,35,40,45,50,55,60,65,70,75,80,85}, 1), "20-24", "25-29", "30-34", "35-39", "40-44", "45-49", "50-54", "55-59", "60-64", "65-69", "70-74", "75-79", "80-84", "85+")</f>
        <v>45-49</v>
      </c>
      <c r="D3350" t="s">
        <v>7</v>
      </c>
    </row>
    <row r="3351" spans="1:4">
      <c r="A3351" t="s">
        <v>6</v>
      </c>
      <c r="B3351">
        <v>39</v>
      </c>
      <c r="C3351" t="str">
        <f>CHOOSE(MATCH(B3351, {20,25,30,35,40,45,50,55,60,65,70,75,80,85}, 1), "20-24", "25-29", "30-34", "35-39", "40-44", "45-49", "50-54", "55-59", "60-64", "65-69", "70-74", "75-79", "80-84", "85+")</f>
        <v>35-39</v>
      </c>
      <c r="D3351" t="s">
        <v>8</v>
      </c>
    </row>
    <row r="3352" spans="1:4">
      <c r="A3352" t="s">
        <v>6</v>
      </c>
      <c r="B3352">
        <v>28</v>
      </c>
      <c r="C3352" t="str">
        <f>CHOOSE(MATCH(B3352, {20,25,30,35,40,45,50,55,60,65,70,75,80,85}, 1), "20-24", "25-29", "30-34", "35-39", "40-44", "45-49", "50-54", "55-59", "60-64", "65-69", "70-74", "75-79", "80-84", "85+")</f>
        <v>25-29</v>
      </c>
      <c r="D3352" t="s">
        <v>7</v>
      </c>
    </row>
    <row r="3353" spans="1:4">
      <c r="A3353" t="s">
        <v>6</v>
      </c>
      <c r="B3353">
        <v>62</v>
      </c>
      <c r="C3353" t="str">
        <f>CHOOSE(MATCH(B3353, {20,25,30,35,40,45,50,55,60,65,70,75,80,85}, 1), "20-24", "25-29", "30-34", "35-39", "40-44", "45-49", "50-54", "55-59", "60-64", "65-69", "70-74", "75-79", "80-84", "85+")</f>
        <v>60-64</v>
      </c>
      <c r="D3353" t="s">
        <v>7</v>
      </c>
    </row>
    <row r="3354" spans="1:4">
      <c r="A3354" t="s">
        <v>6</v>
      </c>
      <c r="B3354">
        <v>86</v>
      </c>
      <c r="C3354" t="str">
        <f>CHOOSE(MATCH(B3354, {20,25,30,35,40,45,50,55,60,65,70,75,80,85}, 1), "20-24", "25-29", "30-34", "35-39", "40-44", "45-49", "50-54", "55-59", "60-64", "65-69", "70-74", "75-79", "80-84", "85+")</f>
        <v>85+</v>
      </c>
      <c r="D3354" t="s">
        <v>7</v>
      </c>
    </row>
    <row r="3355" spans="1:4">
      <c r="A3355" t="s">
        <v>6</v>
      </c>
      <c r="B3355">
        <v>62</v>
      </c>
      <c r="C3355" t="str">
        <f>CHOOSE(MATCH(B3355, {20,25,30,35,40,45,50,55,60,65,70,75,80,85}, 1), "20-24", "25-29", "30-34", "35-39", "40-44", "45-49", "50-54", "55-59", "60-64", "65-69", "70-74", "75-79", "80-84", "85+")</f>
        <v>60-64</v>
      </c>
      <c r="D3355" t="s">
        <v>8</v>
      </c>
    </row>
    <row r="3356" spans="1:4">
      <c r="A3356" t="s">
        <v>6</v>
      </c>
      <c r="B3356">
        <v>32</v>
      </c>
      <c r="C3356" t="str">
        <f>CHOOSE(MATCH(B3356, {20,25,30,35,40,45,50,55,60,65,70,75,80,85}, 1), "20-24", "25-29", "30-34", "35-39", "40-44", "45-49", "50-54", "55-59", "60-64", "65-69", "70-74", "75-79", "80-84", "85+")</f>
        <v>30-34</v>
      </c>
      <c r="D3356" t="s">
        <v>8</v>
      </c>
    </row>
    <row r="3357" spans="1:4">
      <c r="A3357" t="s">
        <v>6</v>
      </c>
      <c r="B3357">
        <v>28</v>
      </c>
      <c r="C3357" t="str">
        <f>CHOOSE(MATCH(B3357, {20,25,30,35,40,45,50,55,60,65,70,75,80,85}, 1), "20-24", "25-29", "30-34", "35-39", "40-44", "45-49", "50-54", "55-59", "60-64", "65-69", "70-74", "75-79", "80-84", "85+")</f>
        <v>25-29</v>
      </c>
      <c r="D3357" t="s">
        <v>7</v>
      </c>
    </row>
    <row r="3358" spans="1:4">
      <c r="A3358" t="s">
        <v>6</v>
      </c>
      <c r="B3358">
        <v>48</v>
      </c>
      <c r="C3358" t="str">
        <f>CHOOSE(MATCH(B3358, {20,25,30,35,40,45,50,55,60,65,70,75,80,85}, 1), "20-24", "25-29", "30-34", "35-39", "40-44", "45-49", "50-54", "55-59", "60-64", "65-69", "70-74", "75-79", "80-84", "85+")</f>
        <v>45-49</v>
      </c>
      <c r="D3358" t="s">
        <v>8</v>
      </c>
    </row>
    <row r="3359" spans="1:4">
      <c r="A3359" t="s">
        <v>6</v>
      </c>
      <c r="B3359">
        <v>24</v>
      </c>
      <c r="C3359" t="str">
        <f>CHOOSE(MATCH(B3359, {20,25,30,35,40,45,50,55,60,65,70,75,80,85}, 1), "20-24", "25-29", "30-34", "35-39", "40-44", "45-49", "50-54", "55-59", "60-64", "65-69", "70-74", "75-79", "80-84", "85+")</f>
        <v>20-24</v>
      </c>
      <c r="D3359" t="s">
        <v>8</v>
      </c>
    </row>
    <row r="3360" spans="1:4">
      <c r="A3360" t="s">
        <v>6</v>
      </c>
      <c r="B3360">
        <v>36</v>
      </c>
      <c r="C3360" t="str">
        <f>CHOOSE(MATCH(B3360, {20,25,30,35,40,45,50,55,60,65,70,75,80,85}, 1), "20-24", "25-29", "30-34", "35-39", "40-44", "45-49", "50-54", "55-59", "60-64", "65-69", "70-74", "75-79", "80-84", "85+")</f>
        <v>35-39</v>
      </c>
      <c r="D3360" t="s">
        <v>7</v>
      </c>
    </row>
    <row r="3361" spans="1:4">
      <c r="A3361" t="s">
        <v>6</v>
      </c>
      <c r="B3361">
        <v>23</v>
      </c>
      <c r="C3361" t="str">
        <f>CHOOSE(MATCH(B3361, {20,25,30,35,40,45,50,55,60,65,70,75,80,85}, 1), "20-24", "25-29", "30-34", "35-39", "40-44", "45-49", "50-54", "55-59", "60-64", "65-69", "70-74", "75-79", "80-84", "85+")</f>
        <v>20-24</v>
      </c>
      <c r="D3361" t="s">
        <v>7</v>
      </c>
    </row>
    <row r="3362" spans="1:4">
      <c r="A3362" t="s">
        <v>6</v>
      </c>
      <c r="B3362">
        <v>46</v>
      </c>
      <c r="C3362" t="str">
        <f>CHOOSE(MATCH(B3362, {20,25,30,35,40,45,50,55,60,65,70,75,80,85}, 1), "20-24", "25-29", "30-34", "35-39", "40-44", "45-49", "50-54", "55-59", "60-64", "65-69", "70-74", "75-79", "80-84", "85+")</f>
        <v>45-49</v>
      </c>
      <c r="D3362" t="s">
        <v>7</v>
      </c>
    </row>
    <row r="3363" spans="1:4">
      <c r="A3363" t="s">
        <v>6</v>
      </c>
      <c r="B3363">
        <v>43</v>
      </c>
      <c r="C3363" t="str">
        <f>CHOOSE(MATCH(B3363, {20,25,30,35,40,45,50,55,60,65,70,75,80,85}, 1), "20-24", "25-29", "30-34", "35-39", "40-44", "45-49", "50-54", "55-59", "60-64", "65-69", "70-74", "75-79", "80-84", "85+")</f>
        <v>40-44</v>
      </c>
      <c r="D3363" t="s">
        <v>7</v>
      </c>
    </row>
    <row r="3364" spans="1:4">
      <c r="A3364" t="s">
        <v>6</v>
      </c>
      <c r="B3364">
        <v>46</v>
      </c>
      <c r="C3364" t="str">
        <f>CHOOSE(MATCH(B3364, {20,25,30,35,40,45,50,55,60,65,70,75,80,85}, 1), "20-24", "25-29", "30-34", "35-39", "40-44", "45-49", "50-54", "55-59", "60-64", "65-69", "70-74", "75-79", "80-84", "85+")</f>
        <v>45-49</v>
      </c>
      <c r="D3364" t="s">
        <v>7</v>
      </c>
    </row>
    <row r="3365" spans="1:4">
      <c r="A3365" t="s">
        <v>6</v>
      </c>
      <c r="B3365">
        <v>34</v>
      </c>
      <c r="C3365" t="str">
        <f>CHOOSE(MATCH(B3365, {20,25,30,35,40,45,50,55,60,65,70,75,80,85}, 1), "20-24", "25-29", "30-34", "35-39", "40-44", "45-49", "50-54", "55-59", "60-64", "65-69", "70-74", "75-79", "80-84", "85+")</f>
        <v>30-34</v>
      </c>
      <c r="D3365" t="s">
        <v>7</v>
      </c>
    </row>
    <row r="3366" spans="1:4">
      <c r="A3366" t="s">
        <v>6</v>
      </c>
      <c r="B3366">
        <v>32</v>
      </c>
      <c r="C3366" t="str">
        <f>CHOOSE(MATCH(B3366, {20,25,30,35,40,45,50,55,60,65,70,75,80,85}, 1), "20-24", "25-29", "30-34", "35-39", "40-44", "45-49", "50-54", "55-59", "60-64", "65-69", "70-74", "75-79", "80-84", "85+")</f>
        <v>30-34</v>
      </c>
      <c r="D3366" t="s">
        <v>7</v>
      </c>
    </row>
    <row r="3367" spans="1:4">
      <c r="A3367" t="s">
        <v>6</v>
      </c>
      <c r="B3367">
        <v>34</v>
      </c>
      <c r="C3367" t="str">
        <f>CHOOSE(MATCH(B3367, {20,25,30,35,40,45,50,55,60,65,70,75,80,85}, 1), "20-24", "25-29", "30-34", "35-39", "40-44", "45-49", "50-54", "55-59", "60-64", "65-69", "70-74", "75-79", "80-84", "85+")</f>
        <v>30-34</v>
      </c>
      <c r="D3367" t="s">
        <v>7</v>
      </c>
    </row>
    <row r="3368" spans="1:4">
      <c r="A3368" t="s">
        <v>6</v>
      </c>
      <c r="B3368">
        <v>43</v>
      </c>
      <c r="C3368" t="str">
        <f>CHOOSE(MATCH(B3368, {20,25,30,35,40,45,50,55,60,65,70,75,80,85}, 1), "20-24", "25-29", "30-34", "35-39", "40-44", "45-49", "50-54", "55-59", "60-64", "65-69", "70-74", "75-79", "80-84", "85+")</f>
        <v>40-44</v>
      </c>
      <c r="D3368" t="s">
        <v>7</v>
      </c>
    </row>
    <row r="3369" spans="1:4">
      <c r="A3369" t="s">
        <v>6</v>
      </c>
      <c r="B3369">
        <v>59</v>
      </c>
      <c r="C3369" t="str">
        <f>CHOOSE(MATCH(B3369, {20,25,30,35,40,45,50,55,60,65,70,75,80,85}, 1), "20-24", "25-29", "30-34", "35-39", "40-44", "45-49", "50-54", "55-59", "60-64", "65-69", "70-74", "75-79", "80-84", "85+")</f>
        <v>55-59</v>
      </c>
      <c r="D3369" t="s">
        <v>7</v>
      </c>
    </row>
    <row r="3370" spans="1:4">
      <c r="A3370" t="s">
        <v>6</v>
      </c>
      <c r="B3370">
        <v>27</v>
      </c>
      <c r="C3370" t="str">
        <f>CHOOSE(MATCH(B3370, {20,25,30,35,40,45,50,55,60,65,70,75,80,85}, 1), "20-24", "25-29", "30-34", "35-39", "40-44", "45-49", "50-54", "55-59", "60-64", "65-69", "70-74", "75-79", "80-84", "85+")</f>
        <v>25-29</v>
      </c>
      <c r="D3370" t="s">
        <v>7</v>
      </c>
    </row>
    <row r="3371" spans="1:4">
      <c r="A3371" t="s">
        <v>6</v>
      </c>
      <c r="B3371">
        <v>31</v>
      </c>
      <c r="C3371" t="str">
        <f>CHOOSE(MATCH(B3371, {20,25,30,35,40,45,50,55,60,65,70,75,80,85}, 1), "20-24", "25-29", "30-34", "35-39", "40-44", "45-49", "50-54", "55-59", "60-64", "65-69", "70-74", "75-79", "80-84", "85+")</f>
        <v>30-34</v>
      </c>
      <c r="D3371" t="s">
        <v>7</v>
      </c>
    </row>
    <row r="3372" spans="1:4">
      <c r="A3372" t="s">
        <v>6</v>
      </c>
      <c r="B3372">
        <v>41</v>
      </c>
      <c r="C3372" t="str">
        <f>CHOOSE(MATCH(B3372, {20,25,30,35,40,45,50,55,60,65,70,75,80,85}, 1), "20-24", "25-29", "30-34", "35-39", "40-44", "45-49", "50-54", "55-59", "60-64", "65-69", "70-74", "75-79", "80-84", "85+")</f>
        <v>40-44</v>
      </c>
      <c r="D3372" t="s">
        <v>8</v>
      </c>
    </row>
    <row r="3373" spans="1:4">
      <c r="A3373" t="s">
        <v>6</v>
      </c>
      <c r="B3373">
        <v>62</v>
      </c>
      <c r="C3373" t="str">
        <f>CHOOSE(MATCH(B3373, {20,25,30,35,40,45,50,55,60,65,70,75,80,85}, 1), "20-24", "25-29", "30-34", "35-39", "40-44", "45-49", "50-54", "55-59", "60-64", "65-69", "70-74", "75-79", "80-84", "85+")</f>
        <v>60-64</v>
      </c>
      <c r="D3373" t="s">
        <v>8</v>
      </c>
    </row>
    <row r="3374" spans="1:4">
      <c r="A3374" t="s">
        <v>6</v>
      </c>
      <c r="B3374">
        <v>27</v>
      </c>
      <c r="C3374" t="str">
        <f>CHOOSE(MATCH(B3374, {20,25,30,35,40,45,50,55,60,65,70,75,80,85}, 1), "20-24", "25-29", "30-34", "35-39", "40-44", "45-49", "50-54", "55-59", "60-64", "65-69", "70-74", "75-79", "80-84", "85+")</f>
        <v>25-29</v>
      </c>
      <c r="D3374" t="s">
        <v>7</v>
      </c>
    </row>
    <row r="3375" spans="1:4">
      <c r="A3375" t="s">
        <v>6</v>
      </c>
      <c r="B3375">
        <v>40</v>
      </c>
      <c r="C3375" t="str">
        <f>CHOOSE(MATCH(B3375, {20,25,30,35,40,45,50,55,60,65,70,75,80,85}, 1), "20-24", "25-29", "30-34", "35-39", "40-44", "45-49", "50-54", "55-59", "60-64", "65-69", "70-74", "75-79", "80-84", "85+")</f>
        <v>40-44</v>
      </c>
      <c r="D3375" t="s">
        <v>8</v>
      </c>
    </row>
    <row r="3376" spans="1:4">
      <c r="A3376" t="s">
        <v>6</v>
      </c>
      <c r="B3376">
        <v>31</v>
      </c>
      <c r="C3376" t="str">
        <f>CHOOSE(MATCH(B3376, {20,25,30,35,40,45,50,55,60,65,70,75,80,85}, 1), "20-24", "25-29", "30-34", "35-39", "40-44", "45-49", "50-54", "55-59", "60-64", "65-69", "70-74", "75-79", "80-84", "85+")</f>
        <v>30-34</v>
      </c>
      <c r="D3376" t="s">
        <v>8</v>
      </c>
    </row>
    <row r="3377" spans="1:4">
      <c r="A3377" t="s">
        <v>6</v>
      </c>
      <c r="B3377">
        <v>28</v>
      </c>
      <c r="C3377" t="str">
        <f>CHOOSE(MATCH(B3377, {20,25,30,35,40,45,50,55,60,65,70,75,80,85}, 1), "20-24", "25-29", "30-34", "35-39", "40-44", "45-49", "50-54", "55-59", "60-64", "65-69", "70-74", "75-79", "80-84", "85+")</f>
        <v>25-29</v>
      </c>
      <c r="D3377" t="s">
        <v>8</v>
      </c>
    </row>
    <row r="3378" spans="1:4">
      <c r="A3378" t="s">
        <v>6</v>
      </c>
      <c r="B3378">
        <v>34</v>
      </c>
      <c r="C3378" t="str">
        <f>CHOOSE(MATCH(B3378, {20,25,30,35,40,45,50,55,60,65,70,75,80,85}, 1), "20-24", "25-29", "30-34", "35-39", "40-44", "45-49", "50-54", "55-59", "60-64", "65-69", "70-74", "75-79", "80-84", "85+")</f>
        <v>30-34</v>
      </c>
      <c r="D3378" t="s">
        <v>7</v>
      </c>
    </row>
    <row r="3379" spans="1:4">
      <c r="A3379" t="s">
        <v>6</v>
      </c>
      <c r="B3379">
        <v>46</v>
      </c>
      <c r="C3379" t="str">
        <f>CHOOSE(MATCH(B3379, {20,25,30,35,40,45,50,55,60,65,70,75,80,85}, 1), "20-24", "25-29", "30-34", "35-39", "40-44", "45-49", "50-54", "55-59", "60-64", "65-69", "70-74", "75-79", "80-84", "85+")</f>
        <v>45-49</v>
      </c>
      <c r="D3379" t="s">
        <v>7</v>
      </c>
    </row>
    <row r="3380" spans="1:4">
      <c r="A3380" t="s">
        <v>6</v>
      </c>
      <c r="B3380">
        <v>51</v>
      </c>
      <c r="C3380" t="str">
        <f>CHOOSE(MATCH(B3380, {20,25,30,35,40,45,50,55,60,65,70,75,80,85}, 1), "20-24", "25-29", "30-34", "35-39", "40-44", "45-49", "50-54", "55-59", "60-64", "65-69", "70-74", "75-79", "80-84", "85+")</f>
        <v>50-54</v>
      </c>
      <c r="D3380" t="s">
        <v>8</v>
      </c>
    </row>
    <row r="3381" spans="1:4">
      <c r="A3381" t="s">
        <v>6</v>
      </c>
      <c r="B3381">
        <v>30</v>
      </c>
      <c r="C3381" t="str">
        <f>CHOOSE(MATCH(B3381, {20,25,30,35,40,45,50,55,60,65,70,75,80,85}, 1), "20-24", "25-29", "30-34", "35-39", "40-44", "45-49", "50-54", "55-59", "60-64", "65-69", "70-74", "75-79", "80-84", "85+")</f>
        <v>30-34</v>
      </c>
      <c r="D3381" t="s">
        <v>7</v>
      </c>
    </row>
    <row r="3382" spans="1:4">
      <c r="A3382" t="s">
        <v>6</v>
      </c>
      <c r="B3382">
        <v>49</v>
      </c>
      <c r="C3382" t="str">
        <f>CHOOSE(MATCH(B3382, {20,25,30,35,40,45,50,55,60,65,70,75,80,85}, 1), "20-24", "25-29", "30-34", "35-39", "40-44", "45-49", "50-54", "55-59", "60-64", "65-69", "70-74", "75-79", "80-84", "85+")</f>
        <v>45-49</v>
      </c>
      <c r="D3382" t="s">
        <v>7</v>
      </c>
    </row>
    <row r="3383" spans="1:4">
      <c r="A3383" t="s">
        <v>6</v>
      </c>
      <c r="B3383">
        <v>43</v>
      </c>
      <c r="C3383" t="str">
        <f>CHOOSE(MATCH(B3383, {20,25,30,35,40,45,50,55,60,65,70,75,80,85}, 1), "20-24", "25-29", "30-34", "35-39", "40-44", "45-49", "50-54", "55-59", "60-64", "65-69", "70-74", "75-79", "80-84", "85+")</f>
        <v>40-44</v>
      </c>
      <c r="D3383" t="s">
        <v>7</v>
      </c>
    </row>
    <row r="3384" spans="1:4">
      <c r="A3384" t="s">
        <v>6</v>
      </c>
      <c r="B3384">
        <v>59</v>
      </c>
      <c r="C3384" t="str">
        <f>CHOOSE(MATCH(B3384, {20,25,30,35,40,45,50,55,60,65,70,75,80,85}, 1), "20-24", "25-29", "30-34", "35-39", "40-44", "45-49", "50-54", "55-59", "60-64", "65-69", "70-74", "75-79", "80-84", "85+")</f>
        <v>55-59</v>
      </c>
      <c r="D3384" t="s">
        <v>7</v>
      </c>
    </row>
    <row r="3385" spans="1:4">
      <c r="A3385" t="s">
        <v>6</v>
      </c>
      <c r="B3385">
        <v>39</v>
      </c>
      <c r="C3385" t="str">
        <f>CHOOSE(MATCH(B3385, {20,25,30,35,40,45,50,55,60,65,70,75,80,85}, 1), "20-24", "25-29", "30-34", "35-39", "40-44", "45-49", "50-54", "55-59", "60-64", "65-69", "70-74", "75-79", "80-84", "85+")</f>
        <v>35-39</v>
      </c>
      <c r="D3385" t="s">
        <v>7</v>
      </c>
    </row>
    <row r="3386" spans="1:4">
      <c r="A3386" t="s">
        <v>6</v>
      </c>
      <c r="B3386">
        <v>30</v>
      </c>
      <c r="C3386" t="str">
        <f>CHOOSE(MATCH(B3386, {20,25,30,35,40,45,50,55,60,65,70,75,80,85}, 1), "20-24", "25-29", "30-34", "35-39", "40-44", "45-49", "50-54", "55-59", "60-64", "65-69", "70-74", "75-79", "80-84", "85+")</f>
        <v>30-34</v>
      </c>
      <c r="D3386" t="s">
        <v>7</v>
      </c>
    </row>
    <row r="3387" spans="1:4">
      <c r="A3387" t="s">
        <v>6</v>
      </c>
      <c r="B3387">
        <v>35</v>
      </c>
      <c r="C3387" t="str">
        <f>CHOOSE(MATCH(B3387, {20,25,30,35,40,45,50,55,60,65,70,75,80,85}, 1), "20-24", "25-29", "30-34", "35-39", "40-44", "45-49", "50-54", "55-59", "60-64", "65-69", "70-74", "75-79", "80-84", "85+")</f>
        <v>35-39</v>
      </c>
      <c r="D3387" t="s">
        <v>7</v>
      </c>
    </row>
    <row r="3388" spans="1:4">
      <c r="A3388" t="s">
        <v>6</v>
      </c>
      <c r="B3388">
        <v>27</v>
      </c>
      <c r="C3388" t="str">
        <f>CHOOSE(MATCH(B3388, {20,25,30,35,40,45,50,55,60,65,70,75,80,85}, 1), "20-24", "25-29", "30-34", "35-39", "40-44", "45-49", "50-54", "55-59", "60-64", "65-69", "70-74", "75-79", "80-84", "85+")</f>
        <v>25-29</v>
      </c>
      <c r="D3388" t="s">
        <v>7</v>
      </c>
    </row>
    <row r="3389" spans="1:4">
      <c r="A3389" t="s">
        <v>6</v>
      </c>
      <c r="B3389">
        <v>47</v>
      </c>
      <c r="C3389" t="str">
        <f>CHOOSE(MATCH(B3389, {20,25,30,35,40,45,50,55,60,65,70,75,80,85}, 1), "20-24", "25-29", "30-34", "35-39", "40-44", "45-49", "50-54", "55-59", "60-64", "65-69", "70-74", "75-79", "80-84", "85+")</f>
        <v>45-49</v>
      </c>
      <c r="D3389" t="s">
        <v>7</v>
      </c>
    </row>
    <row r="3390" spans="1:4">
      <c r="A3390" t="s">
        <v>6</v>
      </c>
      <c r="B3390">
        <v>52</v>
      </c>
      <c r="C3390" t="str">
        <f>CHOOSE(MATCH(B3390, {20,25,30,35,40,45,50,55,60,65,70,75,80,85}, 1), "20-24", "25-29", "30-34", "35-39", "40-44", "45-49", "50-54", "55-59", "60-64", "65-69", "70-74", "75-79", "80-84", "85+")</f>
        <v>50-54</v>
      </c>
      <c r="D3390" t="s">
        <v>8</v>
      </c>
    </row>
    <row r="3391" spans="1:4">
      <c r="A3391" t="s">
        <v>6</v>
      </c>
      <c r="B3391">
        <v>76</v>
      </c>
      <c r="C3391" t="str">
        <f>CHOOSE(MATCH(B3391, {20,25,30,35,40,45,50,55,60,65,70,75,80,85}, 1), "20-24", "25-29", "30-34", "35-39", "40-44", "45-49", "50-54", "55-59", "60-64", "65-69", "70-74", "75-79", "80-84", "85+")</f>
        <v>75-79</v>
      </c>
      <c r="D3391" t="s">
        <v>8</v>
      </c>
    </row>
    <row r="3392" spans="1:4">
      <c r="A3392" t="s">
        <v>6</v>
      </c>
      <c r="B3392">
        <v>49</v>
      </c>
      <c r="C3392" t="str">
        <f>CHOOSE(MATCH(B3392, {20,25,30,35,40,45,50,55,60,65,70,75,80,85}, 1), "20-24", "25-29", "30-34", "35-39", "40-44", "45-49", "50-54", "55-59", "60-64", "65-69", "70-74", "75-79", "80-84", "85+")</f>
        <v>45-49</v>
      </c>
      <c r="D3392" t="s">
        <v>8</v>
      </c>
    </row>
    <row r="3393" spans="1:4">
      <c r="A3393" t="s">
        <v>6</v>
      </c>
      <c r="B3393">
        <v>29</v>
      </c>
      <c r="C3393" t="str">
        <f>CHOOSE(MATCH(B3393, {20,25,30,35,40,45,50,55,60,65,70,75,80,85}, 1), "20-24", "25-29", "30-34", "35-39", "40-44", "45-49", "50-54", "55-59", "60-64", "65-69", "70-74", "75-79", "80-84", "85+")</f>
        <v>25-29</v>
      </c>
      <c r="D3393" t="s">
        <v>8</v>
      </c>
    </row>
    <row r="3394" spans="1:4">
      <c r="A3394" t="s">
        <v>6</v>
      </c>
      <c r="B3394">
        <v>70</v>
      </c>
      <c r="C3394" t="str">
        <f>CHOOSE(MATCH(B3394, {20,25,30,35,40,45,50,55,60,65,70,75,80,85}, 1), "20-24", "25-29", "30-34", "35-39", "40-44", "45-49", "50-54", "55-59", "60-64", "65-69", "70-74", "75-79", "80-84", "85+")</f>
        <v>70-74</v>
      </c>
      <c r="D3394" t="s">
        <v>7</v>
      </c>
    </row>
    <row r="3395" spans="1:4">
      <c r="A3395" t="s">
        <v>6</v>
      </c>
      <c r="B3395">
        <v>44</v>
      </c>
      <c r="C3395" t="str">
        <f>CHOOSE(MATCH(B3395, {20,25,30,35,40,45,50,55,60,65,70,75,80,85}, 1), "20-24", "25-29", "30-34", "35-39", "40-44", "45-49", "50-54", "55-59", "60-64", "65-69", "70-74", "75-79", "80-84", "85+")</f>
        <v>40-44</v>
      </c>
      <c r="D3395" t="s">
        <v>7</v>
      </c>
    </row>
    <row r="3396" spans="1:4">
      <c r="A3396" t="s">
        <v>6</v>
      </c>
      <c r="B3396">
        <v>49</v>
      </c>
      <c r="C3396" t="str">
        <f>CHOOSE(MATCH(B3396, {20,25,30,35,40,45,50,55,60,65,70,75,80,85}, 1), "20-24", "25-29", "30-34", "35-39", "40-44", "45-49", "50-54", "55-59", "60-64", "65-69", "70-74", "75-79", "80-84", "85+")</f>
        <v>45-49</v>
      </c>
      <c r="D3396" t="s">
        <v>7</v>
      </c>
    </row>
    <row r="3397" spans="1:4">
      <c r="A3397" t="s">
        <v>6</v>
      </c>
      <c r="B3397">
        <v>32</v>
      </c>
      <c r="C3397" t="str">
        <f>CHOOSE(MATCH(B3397, {20,25,30,35,40,45,50,55,60,65,70,75,80,85}, 1), "20-24", "25-29", "30-34", "35-39", "40-44", "45-49", "50-54", "55-59", "60-64", "65-69", "70-74", "75-79", "80-84", "85+")</f>
        <v>30-34</v>
      </c>
      <c r="D3397" t="s">
        <v>7</v>
      </c>
    </row>
    <row r="3398" spans="1:4">
      <c r="A3398" t="s">
        <v>6</v>
      </c>
      <c r="B3398">
        <v>46</v>
      </c>
      <c r="C3398" t="str">
        <f>CHOOSE(MATCH(B3398, {20,25,30,35,40,45,50,55,60,65,70,75,80,85}, 1), "20-24", "25-29", "30-34", "35-39", "40-44", "45-49", "50-54", "55-59", "60-64", "65-69", "70-74", "75-79", "80-84", "85+")</f>
        <v>45-49</v>
      </c>
      <c r="D3398" t="s">
        <v>7</v>
      </c>
    </row>
    <row r="3399" spans="1:4">
      <c r="A3399" t="s">
        <v>6</v>
      </c>
      <c r="B3399">
        <v>28</v>
      </c>
      <c r="C3399" t="str">
        <f>CHOOSE(MATCH(B3399, {20,25,30,35,40,45,50,55,60,65,70,75,80,85}, 1), "20-24", "25-29", "30-34", "35-39", "40-44", "45-49", "50-54", "55-59", "60-64", "65-69", "70-74", "75-79", "80-84", "85+")</f>
        <v>25-29</v>
      </c>
      <c r="D3399" t="s">
        <v>7</v>
      </c>
    </row>
    <row r="3400" spans="1:4">
      <c r="A3400" t="s">
        <v>6</v>
      </c>
      <c r="B3400">
        <v>23</v>
      </c>
      <c r="C3400" t="str">
        <f>CHOOSE(MATCH(B3400, {20,25,30,35,40,45,50,55,60,65,70,75,80,85}, 1), "20-24", "25-29", "30-34", "35-39", "40-44", "45-49", "50-54", "55-59", "60-64", "65-69", "70-74", "75-79", "80-84", "85+")</f>
        <v>20-24</v>
      </c>
      <c r="D3400" t="s">
        <v>7</v>
      </c>
    </row>
    <row r="3401" spans="1:4">
      <c r="A3401" t="s">
        <v>6</v>
      </c>
      <c r="B3401">
        <v>38</v>
      </c>
      <c r="C3401" t="str">
        <f>CHOOSE(MATCH(B3401, {20,25,30,35,40,45,50,55,60,65,70,75,80,85}, 1), "20-24", "25-29", "30-34", "35-39", "40-44", "45-49", "50-54", "55-59", "60-64", "65-69", "70-74", "75-79", "80-84", "85+")</f>
        <v>35-39</v>
      </c>
      <c r="D3401" t="s">
        <v>7</v>
      </c>
    </row>
    <row r="3402" spans="1:4">
      <c r="A3402" t="s">
        <v>6</v>
      </c>
      <c r="B3402">
        <v>32</v>
      </c>
      <c r="C3402" t="str">
        <f>CHOOSE(MATCH(B3402, {20,25,30,35,40,45,50,55,60,65,70,75,80,85}, 1), "20-24", "25-29", "30-34", "35-39", "40-44", "45-49", "50-54", "55-59", "60-64", "65-69", "70-74", "75-79", "80-84", "85+")</f>
        <v>30-34</v>
      </c>
      <c r="D3402" t="s">
        <v>8</v>
      </c>
    </row>
    <row r="3403" spans="1:4">
      <c r="A3403" t="s">
        <v>6</v>
      </c>
      <c r="B3403">
        <v>42</v>
      </c>
      <c r="C3403" t="str">
        <f>CHOOSE(MATCH(B3403, {20,25,30,35,40,45,50,55,60,65,70,75,80,85}, 1), "20-24", "25-29", "30-34", "35-39", "40-44", "45-49", "50-54", "55-59", "60-64", "65-69", "70-74", "75-79", "80-84", "85+")</f>
        <v>40-44</v>
      </c>
      <c r="D3403" t="s">
        <v>8</v>
      </c>
    </row>
    <row r="3404" spans="1:4">
      <c r="A3404" t="s">
        <v>6</v>
      </c>
      <c r="B3404">
        <v>52</v>
      </c>
      <c r="C3404" t="str">
        <f>CHOOSE(MATCH(B3404, {20,25,30,35,40,45,50,55,60,65,70,75,80,85}, 1), "20-24", "25-29", "30-34", "35-39", "40-44", "45-49", "50-54", "55-59", "60-64", "65-69", "70-74", "75-79", "80-84", "85+")</f>
        <v>50-54</v>
      </c>
      <c r="D3404" t="s">
        <v>7</v>
      </c>
    </row>
    <row r="3405" spans="1:4">
      <c r="A3405" t="s">
        <v>6</v>
      </c>
      <c r="B3405">
        <v>50</v>
      </c>
      <c r="C3405" t="str">
        <f>CHOOSE(MATCH(B3405, {20,25,30,35,40,45,50,55,60,65,70,75,80,85}, 1), "20-24", "25-29", "30-34", "35-39", "40-44", "45-49", "50-54", "55-59", "60-64", "65-69", "70-74", "75-79", "80-84", "85+")</f>
        <v>50-54</v>
      </c>
      <c r="D3405" t="s">
        <v>8</v>
      </c>
    </row>
    <row r="3406" spans="1:4">
      <c r="A3406" t="s">
        <v>6</v>
      </c>
      <c r="B3406">
        <v>38</v>
      </c>
      <c r="C3406" t="str">
        <f>CHOOSE(MATCH(B3406, {20,25,30,35,40,45,50,55,60,65,70,75,80,85}, 1), "20-24", "25-29", "30-34", "35-39", "40-44", "45-49", "50-54", "55-59", "60-64", "65-69", "70-74", "75-79", "80-84", "85+")</f>
        <v>35-39</v>
      </c>
      <c r="D3406" t="s">
        <v>8</v>
      </c>
    </row>
    <row r="3407" spans="1:4">
      <c r="A3407" t="s">
        <v>6</v>
      </c>
      <c r="B3407">
        <v>27</v>
      </c>
      <c r="C3407" t="str">
        <f>CHOOSE(MATCH(B3407, {20,25,30,35,40,45,50,55,60,65,70,75,80,85}, 1), "20-24", "25-29", "30-34", "35-39", "40-44", "45-49", "50-54", "55-59", "60-64", "65-69", "70-74", "75-79", "80-84", "85+")</f>
        <v>25-29</v>
      </c>
      <c r="D3407" t="s">
        <v>7</v>
      </c>
    </row>
    <row r="3408" spans="1:4">
      <c r="A3408" t="s">
        <v>6</v>
      </c>
      <c r="B3408">
        <v>25</v>
      </c>
      <c r="C3408" t="str">
        <f>CHOOSE(MATCH(B3408, {20,25,30,35,40,45,50,55,60,65,70,75,80,85}, 1), "20-24", "25-29", "30-34", "35-39", "40-44", "45-49", "50-54", "55-59", "60-64", "65-69", "70-74", "75-79", "80-84", "85+")</f>
        <v>25-29</v>
      </c>
      <c r="D3408" t="s">
        <v>7</v>
      </c>
    </row>
    <row r="3409" spans="1:4">
      <c r="A3409" t="s">
        <v>6</v>
      </c>
      <c r="B3409">
        <v>41</v>
      </c>
      <c r="C3409" t="str">
        <f>CHOOSE(MATCH(B3409, {20,25,30,35,40,45,50,55,60,65,70,75,80,85}, 1), "20-24", "25-29", "30-34", "35-39", "40-44", "45-49", "50-54", "55-59", "60-64", "65-69", "70-74", "75-79", "80-84", "85+")</f>
        <v>40-44</v>
      </c>
      <c r="D3409" t="s">
        <v>7</v>
      </c>
    </row>
    <row r="3410" spans="1:4">
      <c r="A3410" t="s">
        <v>6</v>
      </c>
      <c r="B3410">
        <v>36</v>
      </c>
      <c r="C3410" t="str">
        <f>CHOOSE(MATCH(B3410, {20,25,30,35,40,45,50,55,60,65,70,75,80,85}, 1), "20-24", "25-29", "30-34", "35-39", "40-44", "45-49", "50-54", "55-59", "60-64", "65-69", "70-74", "75-79", "80-84", "85+")</f>
        <v>35-39</v>
      </c>
      <c r="D3410" t="s">
        <v>7</v>
      </c>
    </row>
    <row r="3411" spans="1:4">
      <c r="A3411" t="s">
        <v>6</v>
      </c>
      <c r="B3411">
        <v>32</v>
      </c>
      <c r="C3411" t="str">
        <f>CHOOSE(MATCH(B3411, {20,25,30,35,40,45,50,55,60,65,70,75,80,85}, 1), "20-24", "25-29", "30-34", "35-39", "40-44", "45-49", "50-54", "55-59", "60-64", "65-69", "70-74", "75-79", "80-84", "85+")</f>
        <v>30-34</v>
      </c>
      <c r="D3411" t="s">
        <v>8</v>
      </c>
    </row>
    <row r="3412" spans="1:4">
      <c r="A3412" t="s">
        <v>6</v>
      </c>
      <c r="B3412">
        <v>21</v>
      </c>
      <c r="C3412" t="str">
        <f>CHOOSE(MATCH(B3412, {20,25,30,35,40,45,50,55,60,65,70,75,80,85}, 1), "20-24", "25-29", "30-34", "35-39", "40-44", "45-49", "50-54", "55-59", "60-64", "65-69", "70-74", "75-79", "80-84", "85+")</f>
        <v>20-24</v>
      </c>
      <c r="D3412" t="s">
        <v>7</v>
      </c>
    </row>
    <row r="3413" spans="1:4">
      <c r="A3413" t="s">
        <v>6</v>
      </c>
      <c r="B3413">
        <v>40</v>
      </c>
      <c r="C3413" t="str">
        <f>CHOOSE(MATCH(B3413, {20,25,30,35,40,45,50,55,60,65,70,75,80,85}, 1), "20-24", "25-29", "30-34", "35-39", "40-44", "45-49", "50-54", "55-59", "60-64", "65-69", "70-74", "75-79", "80-84", "85+")</f>
        <v>40-44</v>
      </c>
      <c r="D3413" t="s">
        <v>7</v>
      </c>
    </row>
    <row r="3414" spans="1:4">
      <c r="A3414" t="s">
        <v>6</v>
      </c>
      <c r="B3414">
        <v>30</v>
      </c>
      <c r="C3414" t="str">
        <f>CHOOSE(MATCH(B3414, {20,25,30,35,40,45,50,55,60,65,70,75,80,85}, 1), "20-24", "25-29", "30-34", "35-39", "40-44", "45-49", "50-54", "55-59", "60-64", "65-69", "70-74", "75-79", "80-84", "85+")</f>
        <v>30-34</v>
      </c>
      <c r="D3414" t="s">
        <v>7</v>
      </c>
    </row>
    <row r="3415" spans="1:4">
      <c r="A3415" t="s">
        <v>6</v>
      </c>
      <c r="B3415">
        <v>35</v>
      </c>
      <c r="C3415" t="str">
        <f>CHOOSE(MATCH(B3415, {20,25,30,35,40,45,50,55,60,65,70,75,80,85}, 1), "20-24", "25-29", "30-34", "35-39", "40-44", "45-49", "50-54", "55-59", "60-64", "65-69", "70-74", "75-79", "80-84", "85+")</f>
        <v>35-39</v>
      </c>
      <c r="D3415" t="s">
        <v>7</v>
      </c>
    </row>
    <row r="3416" spans="1:4">
      <c r="A3416" t="s">
        <v>6</v>
      </c>
      <c r="B3416">
        <v>64</v>
      </c>
      <c r="C3416" t="str">
        <f>CHOOSE(MATCH(B3416, {20,25,30,35,40,45,50,55,60,65,70,75,80,85}, 1), "20-24", "25-29", "30-34", "35-39", "40-44", "45-49", "50-54", "55-59", "60-64", "65-69", "70-74", "75-79", "80-84", "85+")</f>
        <v>60-64</v>
      </c>
      <c r="D3416" t="s">
        <v>7</v>
      </c>
    </row>
    <row r="3417" spans="1:4">
      <c r="A3417" t="s">
        <v>6</v>
      </c>
      <c r="B3417">
        <v>26</v>
      </c>
      <c r="C3417" t="str">
        <f>CHOOSE(MATCH(B3417, {20,25,30,35,40,45,50,55,60,65,70,75,80,85}, 1), "20-24", "25-29", "30-34", "35-39", "40-44", "45-49", "50-54", "55-59", "60-64", "65-69", "70-74", "75-79", "80-84", "85+")</f>
        <v>25-29</v>
      </c>
      <c r="D3417" t="s">
        <v>7</v>
      </c>
    </row>
    <row r="3418" spans="1:4">
      <c r="A3418" t="s">
        <v>6</v>
      </c>
      <c r="B3418">
        <v>40</v>
      </c>
      <c r="C3418" t="str">
        <f>CHOOSE(MATCH(B3418, {20,25,30,35,40,45,50,55,60,65,70,75,80,85}, 1), "20-24", "25-29", "30-34", "35-39", "40-44", "45-49", "50-54", "55-59", "60-64", "65-69", "70-74", "75-79", "80-84", "85+")</f>
        <v>40-44</v>
      </c>
      <c r="D3418" t="s">
        <v>7</v>
      </c>
    </row>
    <row r="3419" spans="1:4">
      <c r="A3419" t="s">
        <v>6</v>
      </c>
      <c r="B3419">
        <v>51</v>
      </c>
      <c r="C3419" t="str">
        <f>CHOOSE(MATCH(B3419, {20,25,30,35,40,45,50,55,60,65,70,75,80,85}, 1), "20-24", "25-29", "30-34", "35-39", "40-44", "45-49", "50-54", "55-59", "60-64", "65-69", "70-74", "75-79", "80-84", "85+")</f>
        <v>50-54</v>
      </c>
      <c r="D3419" t="s">
        <v>8</v>
      </c>
    </row>
    <row r="3420" spans="1:4">
      <c r="A3420" t="s">
        <v>6</v>
      </c>
      <c r="B3420">
        <v>38</v>
      </c>
      <c r="C3420" t="str">
        <f>CHOOSE(MATCH(B3420, {20,25,30,35,40,45,50,55,60,65,70,75,80,85}, 1), "20-24", "25-29", "30-34", "35-39", "40-44", "45-49", "50-54", "55-59", "60-64", "65-69", "70-74", "75-79", "80-84", "85+")</f>
        <v>35-39</v>
      </c>
      <c r="D3420" t="s">
        <v>8</v>
      </c>
    </row>
    <row r="3421" spans="1:4">
      <c r="A3421" t="s">
        <v>6</v>
      </c>
      <c r="B3421">
        <v>43</v>
      </c>
      <c r="C3421" t="str">
        <f>CHOOSE(MATCH(B3421, {20,25,30,35,40,45,50,55,60,65,70,75,80,85}, 1), "20-24", "25-29", "30-34", "35-39", "40-44", "45-49", "50-54", "55-59", "60-64", "65-69", "70-74", "75-79", "80-84", "85+")</f>
        <v>40-44</v>
      </c>
      <c r="D3421" t="s">
        <v>7</v>
      </c>
    </row>
    <row r="3422" spans="1:4">
      <c r="A3422" t="s">
        <v>6</v>
      </c>
      <c r="B3422">
        <v>31</v>
      </c>
      <c r="C3422" t="str">
        <f>CHOOSE(MATCH(B3422, {20,25,30,35,40,45,50,55,60,65,70,75,80,85}, 1), "20-24", "25-29", "30-34", "35-39", "40-44", "45-49", "50-54", "55-59", "60-64", "65-69", "70-74", "75-79", "80-84", "85+")</f>
        <v>30-34</v>
      </c>
      <c r="D3422" t="s">
        <v>8</v>
      </c>
    </row>
    <row r="3423" spans="1:4">
      <c r="A3423" t="s">
        <v>6</v>
      </c>
      <c r="B3423">
        <v>51</v>
      </c>
      <c r="C3423" t="str">
        <f>CHOOSE(MATCH(B3423, {20,25,30,35,40,45,50,55,60,65,70,75,80,85}, 1), "20-24", "25-29", "30-34", "35-39", "40-44", "45-49", "50-54", "55-59", "60-64", "65-69", "70-74", "75-79", "80-84", "85+")</f>
        <v>50-54</v>
      </c>
      <c r="D3423" t="s">
        <v>7</v>
      </c>
    </row>
    <row r="3424" spans="1:4">
      <c r="A3424" t="s">
        <v>6</v>
      </c>
      <c r="B3424">
        <v>68</v>
      </c>
      <c r="C3424" t="str">
        <f>CHOOSE(MATCH(B3424, {20,25,30,35,40,45,50,55,60,65,70,75,80,85}, 1), "20-24", "25-29", "30-34", "35-39", "40-44", "45-49", "50-54", "55-59", "60-64", "65-69", "70-74", "75-79", "80-84", "85+")</f>
        <v>65-69</v>
      </c>
      <c r="D3424" t="s">
        <v>8</v>
      </c>
    </row>
    <row r="3425" spans="1:4">
      <c r="A3425" t="s">
        <v>6</v>
      </c>
      <c r="B3425">
        <v>34</v>
      </c>
      <c r="C3425" t="str">
        <f>CHOOSE(MATCH(B3425, {20,25,30,35,40,45,50,55,60,65,70,75,80,85}, 1), "20-24", "25-29", "30-34", "35-39", "40-44", "45-49", "50-54", "55-59", "60-64", "65-69", "70-74", "75-79", "80-84", "85+")</f>
        <v>30-34</v>
      </c>
      <c r="D3425" t="s">
        <v>7</v>
      </c>
    </row>
    <row r="3426" spans="1:4">
      <c r="A3426" t="s">
        <v>6</v>
      </c>
      <c r="B3426">
        <v>47</v>
      </c>
      <c r="C3426" t="str">
        <f>CHOOSE(MATCH(B3426, {20,25,30,35,40,45,50,55,60,65,70,75,80,85}, 1), "20-24", "25-29", "30-34", "35-39", "40-44", "45-49", "50-54", "55-59", "60-64", "65-69", "70-74", "75-79", "80-84", "85+")</f>
        <v>45-49</v>
      </c>
      <c r="D3426" t="s">
        <v>7</v>
      </c>
    </row>
    <row r="3427" spans="1:4">
      <c r="A3427" t="s">
        <v>6</v>
      </c>
      <c r="B3427">
        <v>40</v>
      </c>
      <c r="C3427" t="str">
        <f>CHOOSE(MATCH(B3427, {20,25,30,35,40,45,50,55,60,65,70,75,80,85}, 1), "20-24", "25-29", "30-34", "35-39", "40-44", "45-49", "50-54", "55-59", "60-64", "65-69", "70-74", "75-79", "80-84", "85+")</f>
        <v>40-44</v>
      </c>
      <c r="D3427" t="s">
        <v>7</v>
      </c>
    </row>
    <row r="3428" spans="1:4">
      <c r="A3428" t="s">
        <v>6</v>
      </c>
      <c r="B3428">
        <v>40</v>
      </c>
      <c r="C3428" t="str">
        <f>CHOOSE(MATCH(B3428, {20,25,30,35,40,45,50,55,60,65,70,75,80,85}, 1), "20-24", "25-29", "30-34", "35-39", "40-44", "45-49", "50-54", "55-59", "60-64", "65-69", "70-74", "75-79", "80-84", "85+")</f>
        <v>40-44</v>
      </c>
      <c r="D3428" t="s">
        <v>8</v>
      </c>
    </row>
    <row r="3429" spans="1:4">
      <c r="A3429" t="s">
        <v>6</v>
      </c>
      <c r="B3429">
        <v>30</v>
      </c>
      <c r="C3429" t="str">
        <f>CHOOSE(MATCH(B3429, {20,25,30,35,40,45,50,55,60,65,70,75,80,85}, 1), "20-24", "25-29", "30-34", "35-39", "40-44", "45-49", "50-54", "55-59", "60-64", "65-69", "70-74", "75-79", "80-84", "85+")</f>
        <v>30-34</v>
      </c>
      <c r="D3429" t="s">
        <v>7</v>
      </c>
    </row>
    <row r="3430" spans="1:4">
      <c r="A3430" t="s">
        <v>6</v>
      </c>
      <c r="B3430">
        <v>75</v>
      </c>
      <c r="C3430" t="str">
        <f>CHOOSE(MATCH(B3430, {20,25,30,35,40,45,50,55,60,65,70,75,80,85}, 1), "20-24", "25-29", "30-34", "35-39", "40-44", "45-49", "50-54", "55-59", "60-64", "65-69", "70-74", "75-79", "80-84", "85+")</f>
        <v>75-79</v>
      </c>
      <c r="D3430" t="s">
        <v>7</v>
      </c>
    </row>
    <row r="3431" spans="1:4">
      <c r="A3431" t="s">
        <v>6</v>
      </c>
      <c r="B3431">
        <v>30</v>
      </c>
      <c r="C3431" t="str">
        <f>CHOOSE(MATCH(B3431, {20,25,30,35,40,45,50,55,60,65,70,75,80,85}, 1), "20-24", "25-29", "30-34", "35-39", "40-44", "45-49", "50-54", "55-59", "60-64", "65-69", "70-74", "75-79", "80-84", "85+")</f>
        <v>30-34</v>
      </c>
      <c r="D3431" t="s">
        <v>7</v>
      </c>
    </row>
    <row r="3432" spans="1:4">
      <c r="A3432" t="s">
        <v>6</v>
      </c>
      <c r="B3432">
        <v>36</v>
      </c>
      <c r="C3432" t="str">
        <f>CHOOSE(MATCH(B3432, {20,25,30,35,40,45,50,55,60,65,70,75,80,85}, 1), "20-24", "25-29", "30-34", "35-39", "40-44", "45-49", "50-54", "55-59", "60-64", "65-69", "70-74", "75-79", "80-84", "85+")</f>
        <v>35-39</v>
      </c>
      <c r="D3432" t="s">
        <v>8</v>
      </c>
    </row>
    <row r="3433" spans="1:4">
      <c r="A3433" t="s">
        <v>6</v>
      </c>
      <c r="B3433">
        <v>78</v>
      </c>
      <c r="C3433" t="str">
        <f>CHOOSE(MATCH(B3433, {20,25,30,35,40,45,50,55,60,65,70,75,80,85}, 1), "20-24", "25-29", "30-34", "35-39", "40-44", "45-49", "50-54", "55-59", "60-64", "65-69", "70-74", "75-79", "80-84", "85+")</f>
        <v>75-79</v>
      </c>
      <c r="D3433" t="s">
        <v>7</v>
      </c>
    </row>
    <row r="3434" spans="1:4">
      <c r="A3434" t="s">
        <v>6</v>
      </c>
      <c r="B3434">
        <v>65</v>
      </c>
      <c r="C3434" t="str">
        <f>CHOOSE(MATCH(B3434, {20,25,30,35,40,45,50,55,60,65,70,75,80,85}, 1), "20-24", "25-29", "30-34", "35-39", "40-44", "45-49", "50-54", "55-59", "60-64", "65-69", "70-74", "75-79", "80-84", "85+")</f>
        <v>65-69</v>
      </c>
      <c r="D3434" t="s">
        <v>8</v>
      </c>
    </row>
    <row r="3435" spans="1:4">
      <c r="A3435" t="s">
        <v>6</v>
      </c>
      <c r="B3435">
        <v>31</v>
      </c>
      <c r="C3435" t="str">
        <f>CHOOSE(MATCH(B3435, {20,25,30,35,40,45,50,55,60,65,70,75,80,85}, 1), "20-24", "25-29", "30-34", "35-39", "40-44", "45-49", "50-54", "55-59", "60-64", "65-69", "70-74", "75-79", "80-84", "85+")</f>
        <v>30-34</v>
      </c>
      <c r="D3435" t="s">
        <v>7</v>
      </c>
    </row>
    <row r="3436" spans="1:4">
      <c r="A3436" t="s">
        <v>6</v>
      </c>
      <c r="B3436">
        <v>28</v>
      </c>
      <c r="C3436" t="str">
        <f>CHOOSE(MATCH(B3436, {20,25,30,35,40,45,50,55,60,65,70,75,80,85}, 1), "20-24", "25-29", "30-34", "35-39", "40-44", "45-49", "50-54", "55-59", "60-64", "65-69", "70-74", "75-79", "80-84", "85+")</f>
        <v>25-29</v>
      </c>
      <c r="D3436" t="s">
        <v>7</v>
      </c>
    </row>
    <row r="3437" spans="1:4">
      <c r="A3437" t="s">
        <v>6</v>
      </c>
      <c r="B3437">
        <v>27</v>
      </c>
      <c r="C3437" t="str">
        <f>CHOOSE(MATCH(B3437, {20,25,30,35,40,45,50,55,60,65,70,75,80,85}, 1), "20-24", "25-29", "30-34", "35-39", "40-44", "45-49", "50-54", "55-59", "60-64", "65-69", "70-74", "75-79", "80-84", "85+")</f>
        <v>25-29</v>
      </c>
      <c r="D3437" t="s">
        <v>7</v>
      </c>
    </row>
    <row r="3438" spans="1:4">
      <c r="A3438" t="s">
        <v>6</v>
      </c>
      <c r="B3438">
        <v>22</v>
      </c>
      <c r="C3438" t="str">
        <f>CHOOSE(MATCH(B3438, {20,25,30,35,40,45,50,55,60,65,70,75,80,85}, 1), "20-24", "25-29", "30-34", "35-39", "40-44", "45-49", "50-54", "55-59", "60-64", "65-69", "70-74", "75-79", "80-84", "85+")</f>
        <v>20-24</v>
      </c>
      <c r="D3438" t="s">
        <v>7</v>
      </c>
    </row>
    <row r="3439" spans="1:4">
      <c r="A3439" t="s">
        <v>6</v>
      </c>
      <c r="B3439">
        <v>43</v>
      </c>
      <c r="C3439" t="str">
        <f>CHOOSE(MATCH(B3439, {20,25,30,35,40,45,50,55,60,65,70,75,80,85}, 1), "20-24", "25-29", "30-34", "35-39", "40-44", "45-49", "50-54", "55-59", "60-64", "65-69", "70-74", "75-79", "80-84", "85+")</f>
        <v>40-44</v>
      </c>
      <c r="D3439" t="s">
        <v>7</v>
      </c>
    </row>
    <row r="3440" spans="1:4">
      <c r="A3440" t="s">
        <v>6</v>
      </c>
      <c r="B3440">
        <v>61</v>
      </c>
      <c r="C3440" t="str">
        <f>CHOOSE(MATCH(B3440, {20,25,30,35,40,45,50,55,60,65,70,75,80,85}, 1), "20-24", "25-29", "30-34", "35-39", "40-44", "45-49", "50-54", "55-59", "60-64", "65-69", "70-74", "75-79", "80-84", "85+")</f>
        <v>60-64</v>
      </c>
      <c r="D3440" t="s">
        <v>7</v>
      </c>
    </row>
    <row r="3441" spans="1:4">
      <c r="A3441" t="s">
        <v>6</v>
      </c>
      <c r="B3441">
        <v>85</v>
      </c>
      <c r="C3441" t="str">
        <f>CHOOSE(MATCH(B3441, {20,25,30,35,40,45,50,55,60,65,70,75,80,85}, 1), "20-24", "25-29", "30-34", "35-39", "40-44", "45-49", "50-54", "55-59", "60-64", "65-69", "70-74", "75-79", "80-84", "85+")</f>
        <v>85+</v>
      </c>
      <c r="D3441" t="s">
        <v>7</v>
      </c>
    </row>
    <row r="3442" spans="1:4">
      <c r="A3442" t="s">
        <v>6</v>
      </c>
      <c r="B3442">
        <v>61</v>
      </c>
      <c r="C3442" t="str">
        <f>CHOOSE(MATCH(B3442, {20,25,30,35,40,45,50,55,60,65,70,75,80,85}, 1), "20-24", "25-29", "30-34", "35-39", "40-44", "45-49", "50-54", "55-59", "60-64", "65-69", "70-74", "75-79", "80-84", "85+")</f>
        <v>60-64</v>
      </c>
      <c r="D3442" t="s">
        <v>7</v>
      </c>
    </row>
    <row r="3443" spans="1:4">
      <c r="A3443" t="s">
        <v>6</v>
      </c>
      <c r="B3443">
        <v>54</v>
      </c>
      <c r="C3443" t="str">
        <f>CHOOSE(MATCH(B3443, {20,25,30,35,40,45,50,55,60,65,70,75,80,85}, 1), "20-24", "25-29", "30-34", "35-39", "40-44", "45-49", "50-54", "55-59", "60-64", "65-69", "70-74", "75-79", "80-84", "85+")</f>
        <v>50-54</v>
      </c>
      <c r="D3443" t="s">
        <v>8</v>
      </c>
    </row>
    <row r="3444" spans="1:4">
      <c r="A3444" t="s">
        <v>6</v>
      </c>
      <c r="B3444">
        <v>53</v>
      </c>
      <c r="C3444" t="str">
        <f>CHOOSE(MATCH(B3444, {20,25,30,35,40,45,50,55,60,65,70,75,80,85}, 1), "20-24", "25-29", "30-34", "35-39", "40-44", "45-49", "50-54", "55-59", "60-64", "65-69", "70-74", "75-79", "80-84", "85+")</f>
        <v>50-54</v>
      </c>
      <c r="D3444" t="s">
        <v>7</v>
      </c>
    </row>
    <row r="3445" spans="1:4">
      <c r="A3445" t="s">
        <v>6</v>
      </c>
      <c r="B3445">
        <v>33</v>
      </c>
      <c r="C3445" t="str">
        <f>CHOOSE(MATCH(B3445, {20,25,30,35,40,45,50,55,60,65,70,75,80,85}, 1), "20-24", "25-29", "30-34", "35-39", "40-44", "45-49", "50-54", "55-59", "60-64", "65-69", "70-74", "75-79", "80-84", "85+")</f>
        <v>30-34</v>
      </c>
      <c r="D3445" t="s">
        <v>7</v>
      </c>
    </row>
    <row r="3446" spans="1:4">
      <c r="A3446" t="s">
        <v>6</v>
      </c>
      <c r="B3446">
        <v>23</v>
      </c>
      <c r="C3446" t="str">
        <f>CHOOSE(MATCH(B3446, {20,25,30,35,40,45,50,55,60,65,70,75,80,85}, 1), "20-24", "25-29", "30-34", "35-39", "40-44", "45-49", "50-54", "55-59", "60-64", "65-69", "70-74", "75-79", "80-84", "85+")</f>
        <v>20-24</v>
      </c>
      <c r="D3446" t="s">
        <v>8</v>
      </c>
    </row>
    <row r="3447" spans="1:4">
      <c r="A3447" t="s">
        <v>6</v>
      </c>
      <c r="B3447">
        <v>34</v>
      </c>
      <c r="C3447" t="str">
        <f>CHOOSE(MATCH(B3447, {20,25,30,35,40,45,50,55,60,65,70,75,80,85}, 1), "20-24", "25-29", "30-34", "35-39", "40-44", "45-49", "50-54", "55-59", "60-64", "65-69", "70-74", "75-79", "80-84", "85+")</f>
        <v>30-34</v>
      </c>
      <c r="D3447" t="s">
        <v>8</v>
      </c>
    </row>
    <row r="3448" spans="1:4">
      <c r="A3448" t="s">
        <v>6</v>
      </c>
      <c r="B3448">
        <v>41</v>
      </c>
      <c r="C3448" t="str">
        <f>CHOOSE(MATCH(B3448, {20,25,30,35,40,45,50,55,60,65,70,75,80,85}, 1), "20-24", "25-29", "30-34", "35-39", "40-44", "45-49", "50-54", "55-59", "60-64", "65-69", "70-74", "75-79", "80-84", "85+")</f>
        <v>40-44</v>
      </c>
      <c r="D3448" t="s">
        <v>7</v>
      </c>
    </row>
    <row r="3449" spans="1:4">
      <c r="A3449" t="s">
        <v>6</v>
      </c>
      <c r="B3449">
        <v>36</v>
      </c>
      <c r="C3449" t="str">
        <f>CHOOSE(MATCH(B3449, {20,25,30,35,40,45,50,55,60,65,70,75,80,85}, 1), "20-24", "25-29", "30-34", "35-39", "40-44", "45-49", "50-54", "55-59", "60-64", "65-69", "70-74", "75-79", "80-84", "85+")</f>
        <v>35-39</v>
      </c>
      <c r="D3449" t="s">
        <v>8</v>
      </c>
    </row>
    <row r="3450" spans="1:4">
      <c r="A3450" t="s">
        <v>6</v>
      </c>
      <c r="B3450">
        <v>36</v>
      </c>
      <c r="C3450" t="str">
        <f>CHOOSE(MATCH(B3450, {20,25,30,35,40,45,50,55,60,65,70,75,80,85}, 1), "20-24", "25-29", "30-34", "35-39", "40-44", "45-49", "50-54", "55-59", "60-64", "65-69", "70-74", "75-79", "80-84", "85+")</f>
        <v>35-39</v>
      </c>
      <c r="D3450" t="s">
        <v>7</v>
      </c>
    </row>
    <row r="3451" spans="1:4">
      <c r="A3451" t="s">
        <v>6</v>
      </c>
      <c r="B3451">
        <v>27</v>
      </c>
      <c r="C3451" t="str">
        <f>CHOOSE(MATCH(B3451, {20,25,30,35,40,45,50,55,60,65,70,75,80,85}, 1), "20-24", "25-29", "30-34", "35-39", "40-44", "45-49", "50-54", "55-59", "60-64", "65-69", "70-74", "75-79", "80-84", "85+")</f>
        <v>25-29</v>
      </c>
      <c r="D3451" t="s">
        <v>7</v>
      </c>
    </row>
    <row r="3452" spans="1:4">
      <c r="A3452" t="s">
        <v>6</v>
      </c>
      <c r="B3452">
        <v>62</v>
      </c>
      <c r="C3452" t="str">
        <f>CHOOSE(MATCH(B3452, {20,25,30,35,40,45,50,55,60,65,70,75,80,85}, 1), "20-24", "25-29", "30-34", "35-39", "40-44", "45-49", "50-54", "55-59", "60-64", "65-69", "70-74", "75-79", "80-84", "85+")</f>
        <v>60-64</v>
      </c>
      <c r="D3452" t="s">
        <v>8</v>
      </c>
    </row>
    <row r="3453" spans="1:4">
      <c r="A3453" t="s">
        <v>6</v>
      </c>
      <c r="B3453">
        <v>33</v>
      </c>
      <c r="C3453" t="str">
        <f>CHOOSE(MATCH(B3453, {20,25,30,35,40,45,50,55,60,65,70,75,80,85}, 1), "20-24", "25-29", "30-34", "35-39", "40-44", "45-49", "50-54", "55-59", "60-64", "65-69", "70-74", "75-79", "80-84", "85+")</f>
        <v>30-34</v>
      </c>
      <c r="D3453" t="s">
        <v>8</v>
      </c>
    </row>
    <row r="3454" spans="1:4">
      <c r="A3454" t="s">
        <v>6</v>
      </c>
      <c r="B3454">
        <v>45</v>
      </c>
      <c r="C3454" t="str">
        <f>CHOOSE(MATCH(B3454, {20,25,30,35,40,45,50,55,60,65,70,75,80,85}, 1), "20-24", "25-29", "30-34", "35-39", "40-44", "45-49", "50-54", "55-59", "60-64", "65-69", "70-74", "75-79", "80-84", "85+")</f>
        <v>45-49</v>
      </c>
      <c r="D3454" t="s">
        <v>7</v>
      </c>
    </row>
    <row r="3455" spans="1:4">
      <c r="A3455" t="s">
        <v>6</v>
      </c>
      <c r="B3455">
        <v>73</v>
      </c>
      <c r="C3455" t="str">
        <f>CHOOSE(MATCH(B3455, {20,25,30,35,40,45,50,55,60,65,70,75,80,85}, 1), "20-24", "25-29", "30-34", "35-39", "40-44", "45-49", "50-54", "55-59", "60-64", "65-69", "70-74", "75-79", "80-84", "85+")</f>
        <v>70-74</v>
      </c>
      <c r="D3455" t="s">
        <v>8</v>
      </c>
    </row>
    <row r="3456" spans="1:4">
      <c r="A3456" t="s">
        <v>6</v>
      </c>
      <c r="B3456">
        <v>55</v>
      </c>
      <c r="C3456" t="str">
        <f>CHOOSE(MATCH(B3456, {20,25,30,35,40,45,50,55,60,65,70,75,80,85}, 1), "20-24", "25-29", "30-34", "35-39", "40-44", "45-49", "50-54", "55-59", "60-64", "65-69", "70-74", "75-79", "80-84", "85+")</f>
        <v>55-59</v>
      </c>
      <c r="D3456" t="s">
        <v>7</v>
      </c>
    </row>
    <row r="3457" spans="1:4">
      <c r="A3457" t="s">
        <v>6</v>
      </c>
      <c r="B3457">
        <v>30</v>
      </c>
      <c r="C3457" t="str">
        <f>CHOOSE(MATCH(B3457, {20,25,30,35,40,45,50,55,60,65,70,75,80,85}, 1), "20-24", "25-29", "30-34", "35-39", "40-44", "45-49", "50-54", "55-59", "60-64", "65-69", "70-74", "75-79", "80-84", "85+")</f>
        <v>30-34</v>
      </c>
      <c r="D3457" t="s">
        <v>7</v>
      </c>
    </row>
    <row r="3458" spans="1:4">
      <c r="A3458" t="s">
        <v>6</v>
      </c>
      <c r="B3458">
        <v>21</v>
      </c>
      <c r="C3458" t="str">
        <f>CHOOSE(MATCH(B3458, {20,25,30,35,40,45,50,55,60,65,70,75,80,85}, 1), "20-24", "25-29", "30-34", "35-39", "40-44", "45-49", "50-54", "55-59", "60-64", "65-69", "70-74", "75-79", "80-84", "85+")</f>
        <v>20-24</v>
      </c>
      <c r="D3458" t="s">
        <v>8</v>
      </c>
    </row>
    <row r="3459" spans="1:4">
      <c r="A3459" t="s">
        <v>6</v>
      </c>
      <c r="B3459">
        <v>22</v>
      </c>
      <c r="C3459" t="str">
        <f>CHOOSE(MATCH(B3459, {20,25,30,35,40,45,50,55,60,65,70,75,80,85}, 1), "20-24", "25-29", "30-34", "35-39", "40-44", "45-49", "50-54", "55-59", "60-64", "65-69", "70-74", "75-79", "80-84", "85+")</f>
        <v>20-24</v>
      </c>
      <c r="D3459" t="s">
        <v>7</v>
      </c>
    </row>
    <row r="3460" spans="1:4">
      <c r="A3460" t="s">
        <v>6</v>
      </c>
      <c r="B3460">
        <v>25</v>
      </c>
      <c r="C3460" t="str">
        <f>CHOOSE(MATCH(B3460, {20,25,30,35,40,45,50,55,60,65,70,75,80,85}, 1), "20-24", "25-29", "30-34", "35-39", "40-44", "45-49", "50-54", "55-59", "60-64", "65-69", "70-74", "75-79", "80-84", "85+")</f>
        <v>25-29</v>
      </c>
      <c r="D3460" t="s">
        <v>7</v>
      </c>
    </row>
    <row r="3461" spans="1:4">
      <c r="A3461" t="s">
        <v>6</v>
      </c>
      <c r="B3461">
        <v>31</v>
      </c>
      <c r="C3461" t="str">
        <f>CHOOSE(MATCH(B3461, {20,25,30,35,40,45,50,55,60,65,70,75,80,85}, 1), "20-24", "25-29", "30-34", "35-39", "40-44", "45-49", "50-54", "55-59", "60-64", "65-69", "70-74", "75-79", "80-84", "85+")</f>
        <v>30-34</v>
      </c>
      <c r="D3461" t="s">
        <v>8</v>
      </c>
    </row>
    <row r="3462" spans="1:4">
      <c r="A3462" t="s">
        <v>6</v>
      </c>
      <c r="B3462">
        <v>32</v>
      </c>
      <c r="C3462" t="str">
        <f>CHOOSE(MATCH(B3462, {20,25,30,35,40,45,50,55,60,65,70,75,80,85}, 1), "20-24", "25-29", "30-34", "35-39", "40-44", "45-49", "50-54", "55-59", "60-64", "65-69", "70-74", "75-79", "80-84", "85+")</f>
        <v>30-34</v>
      </c>
      <c r="D3462" t="s">
        <v>7</v>
      </c>
    </row>
    <row r="3463" spans="1:4">
      <c r="A3463" t="s">
        <v>6</v>
      </c>
      <c r="B3463">
        <v>41</v>
      </c>
      <c r="C3463" t="str">
        <f>CHOOSE(MATCH(B3463, {20,25,30,35,40,45,50,55,60,65,70,75,80,85}, 1), "20-24", "25-29", "30-34", "35-39", "40-44", "45-49", "50-54", "55-59", "60-64", "65-69", "70-74", "75-79", "80-84", "85+")</f>
        <v>40-44</v>
      </c>
      <c r="D3463" t="s">
        <v>8</v>
      </c>
    </row>
    <row r="3464" spans="1:4">
      <c r="A3464" t="s">
        <v>6</v>
      </c>
      <c r="B3464">
        <v>65</v>
      </c>
      <c r="C3464" t="str">
        <f>CHOOSE(MATCH(B3464, {20,25,30,35,40,45,50,55,60,65,70,75,80,85}, 1), "20-24", "25-29", "30-34", "35-39", "40-44", "45-49", "50-54", "55-59", "60-64", "65-69", "70-74", "75-79", "80-84", "85+")</f>
        <v>65-69</v>
      </c>
      <c r="D3464" t="s">
        <v>8</v>
      </c>
    </row>
    <row r="3465" spans="1:4">
      <c r="A3465" t="s">
        <v>6</v>
      </c>
      <c r="B3465">
        <v>42</v>
      </c>
      <c r="C3465" t="str">
        <f>CHOOSE(MATCH(B3465, {20,25,30,35,40,45,50,55,60,65,70,75,80,85}, 1), "20-24", "25-29", "30-34", "35-39", "40-44", "45-49", "50-54", "55-59", "60-64", "65-69", "70-74", "75-79", "80-84", "85+")</f>
        <v>40-44</v>
      </c>
      <c r="D3465" t="s">
        <v>7</v>
      </c>
    </row>
    <row r="3466" spans="1:4">
      <c r="A3466" t="s">
        <v>6</v>
      </c>
      <c r="B3466">
        <v>22</v>
      </c>
      <c r="C3466" t="str">
        <f>CHOOSE(MATCH(B3466, {20,25,30,35,40,45,50,55,60,65,70,75,80,85}, 1), "20-24", "25-29", "30-34", "35-39", "40-44", "45-49", "50-54", "55-59", "60-64", "65-69", "70-74", "75-79", "80-84", "85+")</f>
        <v>20-24</v>
      </c>
      <c r="D3466" t="s">
        <v>7</v>
      </c>
    </row>
    <row r="3467" spans="1:4">
      <c r="A3467" t="s">
        <v>6</v>
      </c>
      <c r="B3467">
        <v>33</v>
      </c>
      <c r="C3467" t="str">
        <f>CHOOSE(MATCH(B3467, {20,25,30,35,40,45,50,55,60,65,70,75,80,85}, 1), "20-24", "25-29", "30-34", "35-39", "40-44", "45-49", "50-54", "55-59", "60-64", "65-69", "70-74", "75-79", "80-84", "85+")</f>
        <v>30-34</v>
      </c>
      <c r="D3467" t="s">
        <v>8</v>
      </c>
    </row>
    <row r="3468" spans="1:4">
      <c r="A3468" t="s">
        <v>6</v>
      </c>
      <c r="B3468">
        <v>31</v>
      </c>
      <c r="C3468" t="str">
        <f>CHOOSE(MATCH(B3468, {20,25,30,35,40,45,50,55,60,65,70,75,80,85}, 1), "20-24", "25-29", "30-34", "35-39", "40-44", "45-49", "50-54", "55-59", "60-64", "65-69", "70-74", "75-79", "80-84", "85+")</f>
        <v>30-34</v>
      </c>
      <c r="D3468" t="s">
        <v>7</v>
      </c>
    </row>
    <row r="3469" spans="1:4">
      <c r="A3469" t="s">
        <v>6</v>
      </c>
      <c r="B3469">
        <v>62</v>
      </c>
      <c r="C3469" t="str">
        <f>CHOOSE(MATCH(B3469, {20,25,30,35,40,45,50,55,60,65,70,75,80,85}, 1), "20-24", "25-29", "30-34", "35-39", "40-44", "45-49", "50-54", "55-59", "60-64", "65-69", "70-74", "75-79", "80-84", "85+")</f>
        <v>60-64</v>
      </c>
      <c r="D3469" t="s">
        <v>8</v>
      </c>
    </row>
    <row r="3470" spans="1:4">
      <c r="A3470" t="s">
        <v>6</v>
      </c>
      <c r="B3470">
        <v>27</v>
      </c>
      <c r="C3470" t="str">
        <f>CHOOSE(MATCH(B3470, {20,25,30,35,40,45,50,55,60,65,70,75,80,85}, 1), "20-24", "25-29", "30-34", "35-39", "40-44", "45-49", "50-54", "55-59", "60-64", "65-69", "70-74", "75-79", "80-84", "85+")</f>
        <v>25-29</v>
      </c>
      <c r="D3470" t="s">
        <v>7</v>
      </c>
    </row>
    <row r="3471" spans="1:4">
      <c r="A3471" t="s">
        <v>6</v>
      </c>
      <c r="B3471">
        <v>32</v>
      </c>
      <c r="C3471" t="str">
        <f>CHOOSE(MATCH(B3471, {20,25,30,35,40,45,50,55,60,65,70,75,80,85}, 1), "20-24", "25-29", "30-34", "35-39", "40-44", "45-49", "50-54", "55-59", "60-64", "65-69", "70-74", "75-79", "80-84", "85+")</f>
        <v>30-34</v>
      </c>
      <c r="D3471" t="s">
        <v>8</v>
      </c>
    </row>
    <row r="3472" spans="1:4">
      <c r="A3472" t="s">
        <v>6</v>
      </c>
      <c r="B3472">
        <v>38</v>
      </c>
      <c r="C3472" t="str">
        <f>CHOOSE(MATCH(B3472, {20,25,30,35,40,45,50,55,60,65,70,75,80,85}, 1), "20-24", "25-29", "30-34", "35-39", "40-44", "45-49", "50-54", "55-59", "60-64", "65-69", "70-74", "75-79", "80-84", "85+")</f>
        <v>35-39</v>
      </c>
      <c r="D3472" t="s">
        <v>8</v>
      </c>
    </row>
    <row r="3473" spans="1:4">
      <c r="A3473" t="s">
        <v>6</v>
      </c>
      <c r="B3473">
        <v>69</v>
      </c>
      <c r="C3473" t="str">
        <f>CHOOSE(MATCH(B3473, {20,25,30,35,40,45,50,55,60,65,70,75,80,85}, 1), "20-24", "25-29", "30-34", "35-39", "40-44", "45-49", "50-54", "55-59", "60-64", "65-69", "70-74", "75-79", "80-84", "85+")</f>
        <v>65-69</v>
      </c>
      <c r="D3473" t="s">
        <v>7</v>
      </c>
    </row>
    <row r="3474" spans="1:4">
      <c r="A3474" t="s">
        <v>6</v>
      </c>
      <c r="B3474">
        <v>21</v>
      </c>
      <c r="C3474" t="str">
        <f>CHOOSE(MATCH(B3474, {20,25,30,35,40,45,50,55,60,65,70,75,80,85}, 1), "20-24", "25-29", "30-34", "35-39", "40-44", "45-49", "50-54", "55-59", "60-64", "65-69", "70-74", "75-79", "80-84", "85+")</f>
        <v>20-24</v>
      </c>
      <c r="D3474" t="s">
        <v>7</v>
      </c>
    </row>
    <row r="3475" spans="1:4">
      <c r="A3475" t="s">
        <v>6</v>
      </c>
      <c r="B3475">
        <v>27</v>
      </c>
      <c r="C3475" t="str">
        <f>CHOOSE(MATCH(B3475, {20,25,30,35,40,45,50,55,60,65,70,75,80,85}, 1), "20-24", "25-29", "30-34", "35-39", "40-44", "45-49", "50-54", "55-59", "60-64", "65-69", "70-74", "75-79", "80-84", "85+")</f>
        <v>25-29</v>
      </c>
      <c r="D3475" t="s">
        <v>7</v>
      </c>
    </row>
    <row r="3476" spans="1:4">
      <c r="A3476" t="s">
        <v>6</v>
      </c>
      <c r="B3476">
        <v>35</v>
      </c>
      <c r="C3476" t="str">
        <f>CHOOSE(MATCH(B3476, {20,25,30,35,40,45,50,55,60,65,70,75,80,85}, 1), "20-24", "25-29", "30-34", "35-39", "40-44", "45-49", "50-54", "55-59", "60-64", "65-69", "70-74", "75-79", "80-84", "85+")</f>
        <v>35-39</v>
      </c>
      <c r="D3476" t="s">
        <v>8</v>
      </c>
    </row>
    <row r="3477" spans="1:4">
      <c r="A3477" t="s">
        <v>6</v>
      </c>
      <c r="B3477">
        <v>36</v>
      </c>
      <c r="C3477" t="str">
        <f>CHOOSE(MATCH(B3477, {20,25,30,35,40,45,50,55,60,65,70,75,80,85}, 1), "20-24", "25-29", "30-34", "35-39", "40-44", "45-49", "50-54", "55-59", "60-64", "65-69", "70-74", "75-79", "80-84", "85+")</f>
        <v>35-39</v>
      </c>
      <c r="D3477" t="s">
        <v>7</v>
      </c>
    </row>
    <row r="3478" spans="1:4">
      <c r="A3478" t="s">
        <v>6</v>
      </c>
      <c r="B3478">
        <v>44</v>
      </c>
      <c r="C3478" t="str">
        <f>CHOOSE(MATCH(B3478, {20,25,30,35,40,45,50,55,60,65,70,75,80,85}, 1), "20-24", "25-29", "30-34", "35-39", "40-44", "45-49", "50-54", "55-59", "60-64", "65-69", "70-74", "75-79", "80-84", "85+")</f>
        <v>40-44</v>
      </c>
      <c r="D3478" t="s">
        <v>7</v>
      </c>
    </row>
    <row r="3479" spans="1:4">
      <c r="A3479" t="s">
        <v>6</v>
      </c>
      <c r="B3479">
        <v>33</v>
      </c>
      <c r="C3479" t="str">
        <f>CHOOSE(MATCH(B3479, {20,25,30,35,40,45,50,55,60,65,70,75,80,85}, 1), "20-24", "25-29", "30-34", "35-39", "40-44", "45-49", "50-54", "55-59", "60-64", "65-69", "70-74", "75-79", "80-84", "85+")</f>
        <v>30-34</v>
      </c>
      <c r="D3479" t="s">
        <v>7</v>
      </c>
    </row>
    <row r="3480" spans="1:4">
      <c r="A3480" t="s">
        <v>6</v>
      </c>
      <c r="B3480">
        <v>25</v>
      </c>
      <c r="C3480" t="str">
        <f>CHOOSE(MATCH(B3480, {20,25,30,35,40,45,50,55,60,65,70,75,80,85}, 1), "20-24", "25-29", "30-34", "35-39", "40-44", "45-49", "50-54", "55-59", "60-64", "65-69", "70-74", "75-79", "80-84", "85+")</f>
        <v>25-29</v>
      </c>
      <c r="D3480" t="s">
        <v>7</v>
      </c>
    </row>
    <row r="3481" spans="1:4">
      <c r="A3481" t="s">
        <v>6</v>
      </c>
      <c r="B3481">
        <v>61</v>
      </c>
      <c r="C3481" t="str">
        <f>CHOOSE(MATCH(B3481, {20,25,30,35,40,45,50,55,60,65,70,75,80,85}, 1), "20-24", "25-29", "30-34", "35-39", "40-44", "45-49", "50-54", "55-59", "60-64", "65-69", "70-74", "75-79", "80-84", "85+")</f>
        <v>60-64</v>
      </c>
      <c r="D3481" t="s">
        <v>7</v>
      </c>
    </row>
    <row r="3482" spans="1:4">
      <c r="A3482" t="s">
        <v>6</v>
      </c>
      <c r="B3482">
        <v>46</v>
      </c>
      <c r="C3482" t="str">
        <f>CHOOSE(MATCH(B3482, {20,25,30,35,40,45,50,55,60,65,70,75,80,85}, 1), "20-24", "25-29", "30-34", "35-39", "40-44", "45-49", "50-54", "55-59", "60-64", "65-69", "70-74", "75-79", "80-84", "85+")</f>
        <v>45-49</v>
      </c>
      <c r="D3482" t="s">
        <v>7</v>
      </c>
    </row>
    <row r="3483" spans="1:4">
      <c r="A3483" t="s">
        <v>6</v>
      </c>
      <c r="B3483">
        <v>39</v>
      </c>
      <c r="C3483" t="str">
        <f>CHOOSE(MATCH(B3483, {20,25,30,35,40,45,50,55,60,65,70,75,80,85}, 1), "20-24", "25-29", "30-34", "35-39", "40-44", "45-49", "50-54", "55-59", "60-64", "65-69", "70-74", "75-79", "80-84", "85+")</f>
        <v>35-39</v>
      </c>
      <c r="D3483" t="s">
        <v>8</v>
      </c>
    </row>
    <row r="3484" spans="1:4">
      <c r="A3484" t="s">
        <v>6</v>
      </c>
      <c r="B3484">
        <v>73</v>
      </c>
      <c r="C3484" t="str">
        <f>CHOOSE(MATCH(B3484, {20,25,30,35,40,45,50,55,60,65,70,75,80,85}, 1), "20-24", "25-29", "30-34", "35-39", "40-44", "45-49", "50-54", "55-59", "60-64", "65-69", "70-74", "75-79", "80-84", "85+")</f>
        <v>70-74</v>
      </c>
      <c r="D3484" t="s">
        <v>8</v>
      </c>
    </row>
    <row r="3485" spans="1:4">
      <c r="A3485" t="s">
        <v>6</v>
      </c>
      <c r="B3485">
        <v>40</v>
      </c>
      <c r="C3485" t="str">
        <f>CHOOSE(MATCH(B3485, {20,25,30,35,40,45,50,55,60,65,70,75,80,85}, 1), "20-24", "25-29", "30-34", "35-39", "40-44", "45-49", "50-54", "55-59", "60-64", "65-69", "70-74", "75-79", "80-84", "85+")</f>
        <v>40-44</v>
      </c>
      <c r="D3485" t="s">
        <v>8</v>
      </c>
    </row>
    <row r="3486" spans="1:4">
      <c r="A3486" t="s">
        <v>6</v>
      </c>
      <c r="B3486">
        <v>42</v>
      </c>
      <c r="C3486" t="str">
        <f>CHOOSE(MATCH(B3486, {20,25,30,35,40,45,50,55,60,65,70,75,80,85}, 1), "20-24", "25-29", "30-34", "35-39", "40-44", "45-49", "50-54", "55-59", "60-64", "65-69", "70-74", "75-79", "80-84", "85+")</f>
        <v>40-44</v>
      </c>
      <c r="D3486" t="s">
        <v>8</v>
      </c>
    </row>
    <row r="3487" spans="1:4">
      <c r="A3487" t="s">
        <v>6</v>
      </c>
      <c r="B3487">
        <v>32</v>
      </c>
      <c r="C3487" t="str">
        <f>CHOOSE(MATCH(B3487, {20,25,30,35,40,45,50,55,60,65,70,75,80,85}, 1), "20-24", "25-29", "30-34", "35-39", "40-44", "45-49", "50-54", "55-59", "60-64", "65-69", "70-74", "75-79", "80-84", "85+")</f>
        <v>30-34</v>
      </c>
      <c r="D3487" t="s">
        <v>7</v>
      </c>
    </row>
    <row r="3488" spans="1:4">
      <c r="A3488" t="s">
        <v>6</v>
      </c>
      <c r="B3488">
        <v>59</v>
      </c>
      <c r="C3488" t="str">
        <f>CHOOSE(MATCH(B3488, {20,25,30,35,40,45,50,55,60,65,70,75,80,85}, 1), "20-24", "25-29", "30-34", "35-39", "40-44", "45-49", "50-54", "55-59", "60-64", "65-69", "70-74", "75-79", "80-84", "85+")</f>
        <v>55-59</v>
      </c>
      <c r="D3488" t="s">
        <v>8</v>
      </c>
    </row>
    <row r="3489" spans="1:4">
      <c r="A3489" t="s">
        <v>6</v>
      </c>
      <c r="B3489">
        <v>33</v>
      </c>
      <c r="C3489" t="str">
        <f>CHOOSE(MATCH(B3489, {20,25,30,35,40,45,50,55,60,65,70,75,80,85}, 1), "20-24", "25-29", "30-34", "35-39", "40-44", "45-49", "50-54", "55-59", "60-64", "65-69", "70-74", "75-79", "80-84", "85+")</f>
        <v>30-34</v>
      </c>
      <c r="D3489" t="s">
        <v>8</v>
      </c>
    </row>
    <row r="3490" spans="1:4">
      <c r="A3490" t="s">
        <v>6</v>
      </c>
      <c r="B3490">
        <v>25</v>
      </c>
      <c r="C3490" t="str">
        <f>CHOOSE(MATCH(B3490, {20,25,30,35,40,45,50,55,60,65,70,75,80,85}, 1), "20-24", "25-29", "30-34", "35-39", "40-44", "45-49", "50-54", "55-59", "60-64", "65-69", "70-74", "75-79", "80-84", "85+")</f>
        <v>25-29</v>
      </c>
      <c r="D3490" t="s">
        <v>7</v>
      </c>
    </row>
    <row r="3491" spans="1:4">
      <c r="A3491" t="s">
        <v>6</v>
      </c>
      <c r="B3491">
        <v>41</v>
      </c>
      <c r="C3491" t="str">
        <f>CHOOSE(MATCH(B3491, {20,25,30,35,40,45,50,55,60,65,70,75,80,85}, 1), "20-24", "25-29", "30-34", "35-39", "40-44", "45-49", "50-54", "55-59", "60-64", "65-69", "70-74", "75-79", "80-84", "85+")</f>
        <v>40-44</v>
      </c>
      <c r="D3491" t="s">
        <v>7</v>
      </c>
    </row>
    <row r="3492" spans="1:4">
      <c r="A3492" t="s">
        <v>6</v>
      </c>
      <c r="B3492">
        <v>69</v>
      </c>
      <c r="C3492" t="str">
        <f>CHOOSE(MATCH(B3492, {20,25,30,35,40,45,50,55,60,65,70,75,80,85}, 1), "20-24", "25-29", "30-34", "35-39", "40-44", "45-49", "50-54", "55-59", "60-64", "65-69", "70-74", "75-79", "80-84", "85+")</f>
        <v>65-69</v>
      </c>
      <c r="D3492" t="s">
        <v>7</v>
      </c>
    </row>
    <row r="3493" spans="1:4">
      <c r="A3493" t="s">
        <v>6</v>
      </c>
      <c r="B3493">
        <v>23</v>
      </c>
      <c r="C3493" t="str">
        <f>CHOOSE(MATCH(B3493, {20,25,30,35,40,45,50,55,60,65,70,75,80,85}, 1), "20-24", "25-29", "30-34", "35-39", "40-44", "45-49", "50-54", "55-59", "60-64", "65-69", "70-74", "75-79", "80-84", "85+")</f>
        <v>20-24</v>
      </c>
      <c r="D3493" t="s">
        <v>7</v>
      </c>
    </row>
    <row r="3494" spans="1:4">
      <c r="A3494" t="s">
        <v>6</v>
      </c>
      <c r="B3494">
        <v>45</v>
      </c>
      <c r="C3494" t="str">
        <f>CHOOSE(MATCH(B3494, {20,25,30,35,40,45,50,55,60,65,70,75,80,85}, 1), "20-24", "25-29", "30-34", "35-39", "40-44", "45-49", "50-54", "55-59", "60-64", "65-69", "70-74", "75-79", "80-84", "85+")</f>
        <v>45-49</v>
      </c>
      <c r="D3494" t="s">
        <v>7</v>
      </c>
    </row>
    <row r="3495" spans="1:4">
      <c r="A3495" t="s">
        <v>6</v>
      </c>
      <c r="B3495">
        <v>41</v>
      </c>
      <c r="C3495" t="str">
        <f>CHOOSE(MATCH(B3495, {20,25,30,35,40,45,50,55,60,65,70,75,80,85}, 1), "20-24", "25-29", "30-34", "35-39", "40-44", "45-49", "50-54", "55-59", "60-64", "65-69", "70-74", "75-79", "80-84", "85+")</f>
        <v>40-44</v>
      </c>
      <c r="D3495" t="s">
        <v>8</v>
      </c>
    </row>
    <row r="3496" spans="1:4">
      <c r="A3496" t="s">
        <v>6</v>
      </c>
      <c r="B3496">
        <v>26</v>
      </c>
      <c r="C3496" t="str">
        <f>CHOOSE(MATCH(B3496, {20,25,30,35,40,45,50,55,60,65,70,75,80,85}, 1), "20-24", "25-29", "30-34", "35-39", "40-44", "45-49", "50-54", "55-59", "60-64", "65-69", "70-74", "75-79", "80-84", "85+")</f>
        <v>25-29</v>
      </c>
      <c r="D3496" t="s">
        <v>7</v>
      </c>
    </row>
    <row r="3497" spans="1:4">
      <c r="A3497" t="s">
        <v>6</v>
      </c>
      <c r="B3497">
        <v>36</v>
      </c>
      <c r="C3497" t="str">
        <f>CHOOSE(MATCH(B3497, {20,25,30,35,40,45,50,55,60,65,70,75,80,85}, 1), "20-24", "25-29", "30-34", "35-39", "40-44", "45-49", "50-54", "55-59", "60-64", "65-69", "70-74", "75-79", "80-84", "85+")</f>
        <v>35-39</v>
      </c>
      <c r="D3497" t="s">
        <v>7</v>
      </c>
    </row>
    <row r="3498" spans="1:4">
      <c r="A3498" t="s">
        <v>6</v>
      </c>
      <c r="B3498">
        <v>21</v>
      </c>
      <c r="C3498" t="str">
        <f>CHOOSE(MATCH(B3498, {20,25,30,35,40,45,50,55,60,65,70,75,80,85}, 1), "20-24", "25-29", "30-34", "35-39", "40-44", "45-49", "50-54", "55-59", "60-64", "65-69", "70-74", "75-79", "80-84", "85+")</f>
        <v>20-24</v>
      </c>
      <c r="D3498" t="s">
        <v>7</v>
      </c>
    </row>
    <row r="3499" spans="1:4">
      <c r="A3499" t="s">
        <v>6</v>
      </c>
      <c r="B3499">
        <v>23</v>
      </c>
      <c r="C3499" t="str">
        <f>CHOOSE(MATCH(B3499, {20,25,30,35,40,45,50,55,60,65,70,75,80,85}, 1), "20-24", "25-29", "30-34", "35-39", "40-44", "45-49", "50-54", "55-59", "60-64", "65-69", "70-74", "75-79", "80-84", "85+")</f>
        <v>20-24</v>
      </c>
      <c r="D3499" t="s">
        <v>7</v>
      </c>
    </row>
    <row r="3500" spans="1:4">
      <c r="A3500" t="s">
        <v>6</v>
      </c>
      <c r="B3500">
        <v>35</v>
      </c>
      <c r="C3500" t="str">
        <f>CHOOSE(MATCH(B3500, {20,25,30,35,40,45,50,55,60,65,70,75,80,85}, 1), "20-24", "25-29", "30-34", "35-39", "40-44", "45-49", "50-54", "55-59", "60-64", "65-69", "70-74", "75-79", "80-84", "85+")</f>
        <v>35-39</v>
      </c>
      <c r="D3500" t="s">
        <v>7</v>
      </c>
    </row>
    <row r="3501" spans="1:4">
      <c r="A3501" t="s">
        <v>6</v>
      </c>
      <c r="B3501">
        <v>33</v>
      </c>
      <c r="C3501" t="str">
        <f>CHOOSE(MATCH(B3501, {20,25,30,35,40,45,50,55,60,65,70,75,80,85}, 1), "20-24", "25-29", "30-34", "35-39", "40-44", "45-49", "50-54", "55-59", "60-64", "65-69", "70-74", "75-79", "80-84", "85+")</f>
        <v>30-34</v>
      </c>
      <c r="D3501" t="s">
        <v>8</v>
      </c>
    </row>
    <row r="3502" spans="1:4">
      <c r="A3502" t="s">
        <v>6</v>
      </c>
      <c r="B3502">
        <v>43</v>
      </c>
      <c r="C3502" t="str">
        <f>CHOOSE(MATCH(B3502, {20,25,30,35,40,45,50,55,60,65,70,75,80,85}, 1), "20-24", "25-29", "30-34", "35-39", "40-44", "45-49", "50-54", "55-59", "60-64", "65-69", "70-74", "75-79", "80-84", "85+")</f>
        <v>40-44</v>
      </c>
      <c r="D3502" t="s">
        <v>7</v>
      </c>
    </row>
    <row r="3503" spans="1:4">
      <c r="A3503" t="s">
        <v>6</v>
      </c>
      <c r="B3503">
        <v>50</v>
      </c>
      <c r="C3503" t="str">
        <f>CHOOSE(MATCH(B3503, {20,25,30,35,40,45,50,55,60,65,70,75,80,85}, 1), "20-24", "25-29", "30-34", "35-39", "40-44", "45-49", "50-54", "55-59", "60-64", "65-69", "70-74", "75-79", "80-84", "85+")</f>
        <v>50-54</v>
      </c>
      <c r="D3503" t="s">
        <v>8</v>
      </c>
    </row>
    <row r="3504" spans="1:4">
      <c r="A3504" t="s">
        <v>6</v>
      </c>
      <c r="B3504">
        <v>26</v>
      </c>
      <c r="C3504" t="str">
        <f>CHOOSE(MATCH(B3504, {20,25,30,35,40,45,50,55,60,65,70,75,80,85}, 1), "20-24", "25-29", "30-34", "35-39", "40-44", "45-49", "50-54", "55-59", "60-64", "65-69", "70-74", "75-79", "80-84", "85+")</f>
        <v>25-29</v>
      </c>
      <c r="D3504" t="s">
        <v>7</v>
      </c>
    </row>
    <row r="3505" spans="1:4">
      <c r="A3505" t="s">
        <v>6</v>
      </c>
      <c r="B3505">
        <v>68</v>
      </c>
      <c r="C3505" t="str">
        <f>CHOOSE(MATCH(B3505, {20,25,30,35,40,45,50,55,60,65,70,75,80,85}, 1), "20-24", "25-29", "30-34", "35-39", "40-44", "45-49", "50-54", "55-59", "60-64", "65-69", "70-74", "75-79", "80-84", "85+")</f>
        <v>65-69</v>
      </c>
      <c r="D3505" t="s">
        <v>7</v>
      </c>
    </row>
    <row r="3506" spans="1:4">
      <c r="A3506" t="s">
        <v>6</v>
      </c>
      <c r="B3506">
        <v>49</v>
      </c>
      <c r="C3506" t="str">
        <f>CHOOSE(MATCH(B3506, {20,25,30,35,40,45,50,55,60,65,70,75,80,85}, 1), "20-24", "25-29", "30-34", "35-39", "40-44", "45-49", "50-54", "55-59", "60-64", "65-69", "70-74", "75-79", "80-84", "85+")</f>
        <v>45-49</v>
      </c>
      <c r="D3506" t="s">
        <v>7</v>
      </c>
    </row>
    <row r="3507" spans="1:4">
      <c r="A3507" t="s">
        <v>6</v>
      </c>
      <c r="B3507">
        <v>20</v>
      </c>
      <c r="C3507" t="str">
        <f>CHOOSE(MATCH(B3507, {20,25,30,35,40,45,50,55,60,65,70,75,80,85}, 1), "20-24", "25-29", "30-34", "35-39", "40-44", "45-49", "50-54", "55-59", "60-64", "65-69", "70-74", "75-79", "80-84", "85+")</f>
        <v>20-24</v>
      </c>
      <c r="D3507" t="s">
        <v>7</v>
      </c>
    </row>
    <row r="3508" spans="1:4">
      <c r="A3508" t="s">
        <v>6</v>
      </c>
      <c r="B3508">
        <v>20</v>
      </c>
      <c r="C3508" t="str">
        <f>CHOOSE(MATCH(B3508, {20,25,30,35,40,45,50,55,60,65,70,75,80,85}, 1), "20-24", "25-29", "30-34", "35-39", "40-44", "45-49", "50-54", "55-59", "60-64", "65-69", "70-74", "75-79", "80-84", "85+")</f>
        <v>20-24</v>
      </c>
      <c r="D3508" t="s">
        <v>7</v>
      </c>
    </row>
    <row r="3509" spans="1:4">
      <c r="A3509" t="s">
        <v>6</v>
      </c>
      <c r="B3509">
        <v>47</v>
      </c>
      <c r="C3509" t="str">
        <f>CHOOSE(MATCH(B3509, {20,25,30,35,40,45,50,55,60,65,70,75,80,85}, 1), "20-24", "25-29", "30-34", "35-39", "40-44", "45-49", "50-54", "55-59", "60-64", "65-69", "70-74", "75-79", "80-84", "85+")</f>
        <v>45-49</v>
      </c>
      <c r="D3509" t="s">
        <v>7</v>
      </c>
    </row>
    <row r="3510" spans="1:4">
      <c r="A3510" t="s">
        <v>6</v>
      </c>
      <c r="B3510">
        <v>44</v>
      </c>
      <c r="C3510" t="str">
        <f>CHOOSE(MATCH(B3510, {20,25,30,35,40,45,50,55,60,65,70,75,80,85}, 1), "20-24", "25-29", "30-34", "35-39", "40-44", "45-49", "50-54", "55-59", "60-64", "65-69", "70-74", "75-79", "80-84", "85+")</f>
        <v>40-44</v>
      </c>
      <c r="D3510" t="s">
        <v>7</v>
      </c>
    </row>
    <row r="3511" spans="1:4">
      <c r="A3511" t="s">
        <v>6</v>
      </c>
      <c r="B3511">
        <v>54</v>
      </c>
      <c r="C3511" t="str">
        <f>CHOOSE(MATCH(B3511, {20,25,30,35,40,45,50,55,60,65,70,75,80,85}, 1), "20-24", "25-29", "30-34", "35-39", "40-44", "45-49", "50-54", "55-59", "60-64", "65-69", "70-74", "75-79", "80-84", "85+")</f>
        <v>50-54</v>
      </c>
      <c r="D3511" t="s">
        <v>7</v>
      </c>
    </row>
    <row r="3512" spans="1:4">
      <c r="A3512" t="s">
        <v>6</v>
      </c>
      <c r="B3512">
        <v>28</v>
      </c>
      <c r="C3512" t="str">
        <f>CHOOSE(MATCH(B3512, {20,25,30,35,40,45,50,55,60,65,70,75,80,85}, 1), "20-24", "25-29", "30-34", "35-39", "40-44", "45-49", "50-54", "55-59", "60-64", "65-69", "70-74", "75-79", "80-84", "85+")</f>
        <v>25-29</v>
      </c>
      <c r="D3512" t="s">
        <v>7</v>
      </c>
    </row>
    <row r="3513" spans="1:4">
      <c r="A3513" t="s">
        <v>6</v>
      </c>
      <c r="B3513">
        <v>25</v>
      </c>
      <c r="C3513" t="str">
        <f>CHOOSE(MATCH(B3513, {20,25,30,35,40,45,50,55,60,65,70,75,80,85}, 1), "20-24", "25-29", "30-34", "35-39", "40-44", "45-49", "50-54", "55-59", "60-64", "65-69", "70-74", "75-79", "80-84", "85+")</f>
        <v>25-29</v>
      </c>
      <c r="D3513" t="s">
        <v>7</v>
      </c>
    </row>
    <row r="3514" spans="1:4">
      <c r="A3514" t="s">
        <v>6</v>
      </c>
      <c r="B3514">
        <v>38</v>
      </c>
      <c r="C3514" t="str">
        <f>CHOOSE(MATCH(B3514, {20,25,30,35,40,45,50,55,60,65,70,75,80,85}, 1), "20-24", "25-29", "30-34", "35-39", "40-44", "45-49", "50-54", "55-59", "60-64", "65-69", "70-74", "75-79", "80-84", "85+")</f>
        <v>35-39</v>
      </c>
      <c r="D3514" t="s">
        <v>8</v>
      </c>
    </row>
    <row r="3515" spans="1:4">
      <c r="A3515" t="s">
        <v>6</v>
      </c>
      <c r="B3515">
        <v>57</v>
      </c>
      <c r="C3515" t="str">
        <f>CHOOSE(MATCH(B3515, {20,25,30,35,40,45,50,55,60,65,70,75,80,85}, 1), "20-24", "25-29", "30-34", "35-39", "40-44", "45-49", "50-54", "55-59", "60-64", "65-69", "70-74", "75-79", "80-84", "85+")</f>
        <v>55-59</v>
      </c>
      <c r="D3515" t="s">
        <v>7</v>
      </c>
    </row>
    <row r="3516" spans="1:4">
      <c r="A3516" t="s">
        <v>6</v>
      </c>
      <c r="B3516">
        <v>66</v>
      </c>
      <c r="C3516" t="str">
        <f>CHOOSE(MATCH(B3516, {20,25,30,35,40,45,50,55,60,65,70,75,80,85}, 1), "20-24", "25-29", "30-34", "35-39", "40-44", "45-49", "50-54", "55-59", "60-64", "65-69", "70-74", "75-79", "80-84", "85+")</f>
        <v>65-69</v>
      </c>
      <c r="D3516" t="s">
        <v>8</v>
      </c>
    </row>
    <row r="3517" spans="1:4">
      <c r="A3517" t="s">
        <v>6</v>
      </c>
      <c r="B3517">
        <v>30</v>
      </c>
      <c r="C3517" t="str">
        <f>CHOOSE(MATCH(B3517, {20,25,30,35,40,45,50,55,60,65,70,75,80,85}, 1), "20-24", "25-29", "30-34", "35-39", "40-44", "45-49", "50-54", "55-59", "60-64", "65-69", "70-74", "75-79", "80-84", "85+")</f>
        <v>30-34</v>
      </c>
      <c r="D3517" t="s">
        <v>8</v>
      </c>
    </row>
    <row r="3518" spans="1:4">
      <c r="A3518" t="s">
        <v>6</v>
      </c>
      <c r="B3518">
        <v>42</v>
      </c>
      <c r="C3518" t="str">
        <f>CHOOSE(MATCH(B3518, {20,25,30,35,40,45,50,55,60,65,70,75,80,85}, 1), "20-24", "25-29", "30-34", "35-39", "40-44", "45-49", "50-54", "55-59", "60-64", "65-69", "70-74", "75-79", "80-84", "85+")</f>
        <v>40-44</v>
      </c>
      <c r="D3518" t="s">
        <v>7</v>
      </c>
    </row>
    <row r="3519" spans="1:4">
      <c r="A3519" t="s">
        <v>6</v>
      </c>
      <c r="B3519">
        <v>36</v>
      </c>
      <c r="C3519" t="str">
        <f>CHOOSE(MATCH(B3519, {20,25,30,35,40,45,50,55,60,65,70,75,80,85}, 1), "20-24", "25-29", "30-34", "35-39", "40-44", "45-49", "50-54", "55-59", "60-64", "65-69", "70-74", "75-79", "80-84", "85+")</f>
        <v>35-39</v>
      </c>
      <c r="D3519" t="s">
        <v>8</v>
      </c>
    </row>
    <row r="3520" spans="1:4">
      <c r="A3520" t="s">
        <v>6</v>
      </c>
      <c r="B3520">
        <v>32</v>
      </c>
      <c r="C3520" t="str">
        <f>CHOOSE(MATCH(B3520, {20,25,30,35,40,45,50,55,60,65,70,75,80,85}, 1), "20-24", "25-29", "30-34", "35-39", "40-44", "45-49", "50-54", "55-59", "60-64", "65-69", "70-74", "75-79", "80-84", "85+")</f>
        <v>30-34</v>
      </c>
      <c r="D3520" t="s">
        <v>8</v>
      </c>
    </row>
    <row r="3521" spans="1:4">
      <c r="A3521" t="s">
        <v>6</v>
      </c>
      <c r="B3521">
        <v>61</v>
      </c>
      <c r="C3521" t="str">
        <f>CHOOSE(MATCH(B3521, {20,25,30,35,40,45,50,55,60,65,70,75,80,85}, 1), "20-24", "25-29", "30-34", "35-39", "40-44", "45-49", "50-54", "55-59", "60-64", "65-69", "70-74", "75-79", "80-84", "85+")</f>
        <v>60-64</v>
      </c>
      <c r="D3521" t="s">
        <v>8</v>
      </c>
    </row>
    <row r="3522" spans="1:4">
      <c r="A3522" t="s">
        <v>6</v>
      </c>
      <c r="B3522">
        <v>35</v>
      </c>
      <c r="C3522" t="str">
        <f>CHOOSE(MATCH(B3522, {20,25,30,35,40,45,50,55,60,65,70,75,80,85}, 1), "20-24", "25-29", "30-34", "35-39", "40-44", "45-49", "50-54", "55-59", "60-64", "65-69", "70-74", "75-79", "80-84", "85+")</f>
        <v>35-39</v>
      </c>
      <c r="D3522" t="s">
        <v>7</v>
      </c>
    </row>
    <row r="3523" spans="1:4">
      <c r="A3523" t="s">
        <v>6</v>
      </c>
      <c r="B3523">
        <v>30</v>
      </c>
      <c r="C3523" t="str">
        <f>CHOOSE(MATCH(B3523, {20,25,30,35,40,45,50,55,60,65,70,75,80,85}, 1), "20-24", "25-29", "30-34", "35-39", "40-44", "45-49", "50-54", "55-59", "60-64", "65-69", "70-74", "75-79", "80-84", "85+")</f>
        <v>30-34</v>
      </c>
      <c r="D3523" t="s">
        <v>7</v>
      </c>
    </row>
    <row r="3524" spans="1:4">
      <c r="A3524" t="s">
        <v>6</v>
      </c>
      <c r="B3524">
        <v>46</v>
      </c>
      <c r="C3524" t="str">
        <f>CHOOSE(MATCH(B3524, {20,25,30,35,40,45,50,55,60,65,70,75,80,85}, 1), "20-24", "25-29", "30-34", "35-39", "40-44", "45-49", "50-54", "55-59", "60-64", "65-69", "70-74", "75-79", "80-84", "85+")</f>
        <v>45-49</v>
      </c>
      <c r="D3524" t="s">
        <v>7</v>
      </c>
    </row>
    <row r="3525" spans="1:4">
      <c r="A3525" t="s">
        <v>6</v>
      </c>
      <c r="B3525">
        <v>89</v>
      </c>
      <c r="C3525" t="str">
        <f>CHOOSE(MATCH(B3525, {20,25,30,35,40,45,50,55,60,65,70,75,80,85}, 1), "20-24", "25-29", "30-34", "35-39", "40-44", "45-49", "50-54", "55-59", "60-64", "65-69", "70-74", "75-79", "80-84", "85+")</f>
        <v>85+</v>
      </c>
      <c r="D3525" t="s">
        <v>8</v>
      </c>
    </row>
    <row r="3526" spans="1:4">
      <c r="A3526" t="s">
        <v>6</v>
      </c>
      <c r="B3526">
        <v>26</v>
      </c>
      <c r="C3526" t="str">
        <f>CHOOSE(MATCH(B3526, {20,25,30,35,40,45,50,55,60,65,70,75,80,85}, 1), "20-24", "25-29", "30-34", "35-39", "40-44", "45-49", "50-54", "55-59", "60-64", "65-69", "70-74", "75-79", "80-84", "85+")</f>
        <v>25-29</v>
      </c>
      <c r="D3526" t="s">
        <v>7</v>
      </c>
    </row>
    <row r="3527" spans="1:4">
      <c r="A3527" t="s">
        <v>6</v>
      </c>
      <c r="B3527">
        <v>50</v>
      </c>
      <c r="C3527" t="str">
        <f>CHOOSE(MATCH(B3527, {20,25,30,35,40,45,50,55,60,65,70,75,80,85}, 1), "20-24", "25-29", "30-34", "35-39", "40-44", "45-49", "50-54", "55-59", "60-64", "65-69", "70-74", "75-79", "80-84", "85+")</f>
        <v>50-54</v>
      </c>
      <c r="D3527" t="s">
        <v>7</v>
      </c>
    </row>
    <row r="3528" spans="1:4">
      <c r="A3528" t="s">
        <v>6</v>
      </c>
      <c r="B3528">
        <v>64</v>
      </c>
      <c r="C3528" t="str">
        <f>CHOOSE(MATCH(B3528, {20,25,30,35,40,45,50,55,60,65,70,75,80,85}, 1), "20-24", "25-29", "30-34", "35-39", "40-44", "45-49", "50-54", "55-59", "60-64", "65-69", "70-74", "75-79", "80-84", "85+")</f>
        <v>60-64</v>
      </c>
      <c r="D3528" t="s">
        <v>8</v>
      </c>
    </row>
    <row r="3529" spans="1:4">
      <c r="A3529" t="s">
        <v>6</v>
      </c>
      <c r="B3529">
        <v>30</v>
      </c>
      <c r="C3529" t="str">
        <f>CHOOSE(MATCH(B3529, {20,25,30,35,40,45,50,55,60,65,70,75,80,85}, 1), "20-24", "25-29", "30-34", "35-39", "40-44", "45-49", "50-54", "55-59", "60-64", "65-69", "70-74", "75-79", "80-84", "85+")</f>
        <v>30-34</v>
      </c>
      <c r="D3529" t="s">
        <v>8</v>
      </c>
    </row>
    <row r="3530" spans="1:4">
      <c r="A3530" t="s">
        <v>6</v>
      </c>
      <c r="B3530">
        <v>53</v>
      </c>
      <c r="C3530" t="str">
        <f>CHOOSE(MATCH(B3530, {20,25,30,35,40,45,50,55,60,65,70,75,80,85}, 1), "20-24", "25-29", "30-34", "35-39", "40-44", "45-49", "50-54", "55-59", "60-64", "65-69", "70-74", "75-79", "80-84", "85+")</f>
        <v>50-54</v>
      </c>
      <c r="D3530" t="s">
        <v>8</v>
      </c>
    </row>
    <row r="3531" spans="1:4">
      <c r="A3531" t="s">
        <v>6</v>
      </c>
      <c r="B3531">
        <v>70</v>
      </c>
      <c r="C3531" t="str">
        <f>CHOOSE(MATCH(B3531, {20,25,30,35,40,45,50,55,60,65,70,75,80,85}, 1), "20-24", "25-29", "30-34", "35-39", "40-44", "45-49", "50-54", "55-59", "60-64", "65-69", "70-74", "75-79", "80-84", "85+")</f>
        <v>70-74</v>
      </c>
      <c r="D3531" t="s">
        <v>8</v>
      </c>
    </row>
    <row r="3532" spans="1:4">
      <c r="A3532" t="s">
        <v>6</v>
      </c>
      <c r="B3532">
        <v>44</v>
      </c>
      <c r="C3532" t="str">
        <f>CHOOSE(MATCH(B3532, {20,25,30,35,40,45,50,55,60,65,70,75,80,85}, 1), "20-24", "25-29", "30-34", "35-39", "40-44", "45-49", "50-54", "55-59", "60-64", "65-69", "70-74", "75-79", "80-84", "85+")</f>
        <v>40-44</v>
      </c>
      <c r="D3532" t="s">
        <v>7</v>
      </c>
    </row>
    <row r="3533" spans="1:4">
      <c r="A3533" t="s">
        <v>6</v>
      </c>
      <c r="B3533">
        <v>41</v>
      </c>
      <c r="C3533" t="str">
        <f>CHOOSE(MATCH(B3533, {20,25,30,35,40,45,50,55,60,65,70,75,80,85}, 1), "20-24", "25-29", "30-34", "35-39", "40-44", "45-49", "50-54", "55-59", "60-64", "65-69", "70-74", "75-79", "80-84", "85+")</f>
        <v>40-44</v>
      </c>
      <c r="D3533" t="s">
        <v>8</v>
      </c>
    </row>
    <row r="3534" spans="1:4">
      <c r="A3534" t="s">
        <v>6</v>
      </c>
      <c r="B3534">
        <v>20</v>
      </c>
      <c r="C3534" t="str">
        <f>CHOOSE(MATCH(B3534, {20,25,30,35,40,45,50,55,60,65,70,75,80,85}, 1), "20-24", "25-29", "30-34", "35-39", "40-44", "45-49", "50-54", "55-59", "60-64", "65-69", "70-74", "75-79", "80-84", "85+")</f>
        <v>20-24</v>
      </c>
      <c r="D3534" t="s">
        <v>7</v>
      </c>
    </row>
    <row r="3535" spans="1:4">
      <c r="A3535" t="s">
        <v>6</v>
      </c>
      <c r="B3535">
        <v>84</v>
      </c>
      <c r="C3535" t="str">
        <f>CHOOSE(MATCH(B3535, {20,25,30,35,40,45,50,55,60,65,70,75,80,85}, 1), "20-24", "25-29", "30-34", "35-39", "40-44", "45-49", "50-54", "55-59", "60-64", "65-69", "70-74", "75-79", "80-84", "85+")</f>
        <v>80-84</v>
      </c>
      <c r="D3535" t="s">
        <v>8</v>
      </c>
    </row>
    <row r="3536" spans="1:4">
      <c r="A3536" t="s">
        <v>6</v>
      </c>
      <c r="B3536">
        <v>53</v>
      </c>
      <c r="C3536" t="str">
        <f>CHOOSE(MATCH(B3536, {20,25,30,35,40,45,50,55,60,65,70,75,80,85}, 1), "20-24", "25-29", "30-34", "35-39", "40-44", "45-49", "50-54", "55-59", "60-64", "65-69", "70-74", "75-79", "80-84", "85+")</f>
        <v>50-54</v>
      </c>
      <c r="D3536" t="s">
        <v>8</v>
      </c>
    </row>
    <row r="3537" spans="1:4">
      <c r="A3537" t="s">
        <v>6</v>
      </c>
      <c r="B3537">
        <v>64</v>
      </c>
      <c r="C3537" t="str">
        <f>CHOOSE(MATCH(B3537, {20,25,30,35,40,45,50,55,60,65,70,75,80,85}, 1), "20-24", "25-29", "30-34", "35-39", "40-44", "45-49", "50-54", "55-59", "60-64", "65-69", "70-74", "75-79", "80-84", "85+")</f>
        <v>60-64</v>
      </c>
      <c r="D3537" t="s">
        <v>8</v>
      </c>
    </row>
    <row r="3538" spans="1:4">
      <c r="A3538" t="s">
        <v>6</v>
      </c>
      <c r="B3538">
        <v>75</v>
      </c>
      <c r="C3538" t="str">
        <f>CHOOSE(MATCH(B3538, {20,25,30,35,40,45,50,55,60,65,70,75,80,85}, 1), "20-24", "25-29", "30-34", "35-39", "40-44", "45-49", "50-54", "55-59", "60-64", "65-69", "70-74", "75-79", "80-84", "85+")</f>
        <v>75-79</v>
      </c>
      <c r="D3538" t="s">
        <v>7</v>
      </c>
    </row>
    <row r="3539" spans="1:4">
      <c r="A3539" t="s">
        <v>6</v>
      </c>
      <c r="B3539">
        <v>40</v>
      </c>
      <c r="C3539" t="str">
        <f>CHOOSE(MATCH(B3539, {20,25,30,35,40,45,50,55,60,65,70,75,80,85}, 1), "20-24", "25-29", "30-34", "35-39", "40-44", "45-49", "50-54", "55-59", "60-64", "65-69", "70-74", "75-79", "80-84", "85+")</f>
        <v>40-44</v>
      </c>
      <c r="D3539" t="s">
        <v>7</v>
      </c>
    </row>
    <row r="3540" spans="1:4">
      <c r="A3540" t="s">
        <v>6</v>
      </c>
      <c r="B3540">
        <v>22</v>
      </c>
      <c r="C3540" t="str">
        <f>CHOOSE(MATCH(B3540, {20,25,30,35,40,45,50,55,60,65,70,75,80,85}, 1), "20-24", "25-29", "30-34", "35-39", "40-44", "45-49", "50-54", "55-59", "60-64", "65-69", "70-74", "75-79", "80-84", "85+")</f>
        <v>20-24</v>
      </c>
      <c r="D3540" t="s">
        <v>8</v>
      </c>
    </row>
    <row r="3541" spans="1:4">
      <c r="A3541" t="s">
        <v>6</v>
      </c>
      <c r="B3541">
        <v>53</v>
      </c>
      <c r="C3541" t="str">
        <f>CHOOSE(MATCH(B3541, {20,25,30,35,40,45,50,55,60,65,70,75,80,85}, 1), "20-24", "25-29", "30-34", "35-39", "40-44", "45-49", "50-54", "55-59", "60-64", "65-69", "70-74", "75-79", "80-84", "85+")</f>
        <v>50-54</v>
      </c>
      <c r="D3541" t="s">
        <v>8</v>
      </c>
    </row>
    <row r="3542" spans="1:4">
      <c r="A3542" t="s">
        <v>6</v>
      </c>
      <c r="B3542">
        <v>38</v>
      </c>
      <c r="C3542" t="str">
        <f>CHOOSE(MATCH(B3542, {20,25,30,35,40,45,50,55,60,65,70,75,80,85}, 1), "20-24", "25-29", "30-34", "35-39", "40-44", "45-49", "50-54", "55-59", "60-64", "65-69", "70-74", "75-79", "80-84", "85+")</f>
        <v>35-39</v>
      </c>
      <c r="D3542" t="s">
        <v>7</v>
      </c>
    </row>
    <row r="3543" spans="1:4">
      <c r="A3543" t="s">
        <v>6</v>
      </c>
      <c r="B3543">
        <v>39</v>
      </c>
      <c r="C3543" t="str">
        <f>CHOOSE(MATCH(B3543, {20,25,30,35,40,45,50,55,60,65,70,75,80,85}, 1), "20-24", "25-29", "30-34", "35-39", "40-44", "45-49", "50-54", "55-59", "60-64", "65-69", "70-74", "75-79", "80-84", "85+")</f>
        <v>35-39</v>
      </c>
      <c r="D3543" t="s">
        <v>7</v>
      </c>
    </row>
    <row r="3544" spans="1:4">
      <c r="A3544" t="s">
        <v>6</v>
      </c>
      <c r="B3544">
        <v>26</v>
      </c>
      <c r="C3544" t="str">
        <f>CHOOSE(MATCH(B3544, {20,25,30,35,40,45,50,55,60,65,70,75,80,85}, 1), "20-24", "25-29", "30-34", "35-39", "40-44", "45-49", "50-54", "55-59", "60-64", "65-69", "70-74", "75-79", "80-84", "85+")</f>
        <v>25-29</v>
      </c>
      <c r="D3544" t="s">
        <v>7</v>
      </c>
    </row>
    <row r="3545" spans="1:4">
      <c r="A3545" t="s">
        <v>6</v>
      </c>
      <c r="B3545">
        <v>32</v>
      </c>
      <c r="C3545" t="str">
        <f>CHOOSE(MATCH(B3545, {20,25,30,35,40,45,50,55,60,65,70,75,80,85}, 1), "20-24", "25-29", "30-34", "35-39", "40-44", "45-49", "50-54", "55-59", "60-64", "65-69", "70-74", "75-79", "80-84", "85+")</f>
        <v>30-34</v>
      </c>
      <c r="D3545" t="s">
        <v>8</v>
      </c>
    </row>
    <row r="3546" spans="1:4">
      <c r="A3546" t="s">
        <v>6</v>
      </c>
      <c r="B3546">
        <v>39</v>
      </c>
      <c r="C3546" t="str">
        <f>CHOOSE(MATCH(B3546, {20,25,30,35,40,45,50,55,60,65,70,75,80,85}, 1), "20-24", "25-29", "30-34", "35-39", "40-44", "45-49", "50-54", "55-59", "60-64", "65-69", "70-74", "75-79", "80-84", "85+")</f>
        <v>35-39</v>
      </c>
      <c r="D3546" t="s">
        <v>8</v>
      </c>
    </row>
    <row r="3547" spans="1:4">
      <c r="A3547" t="s">
        <v>6</v>
      </c>
      <c r="B3547">
        <v>44</v>
      </c>
      <c r="C3547" t="str">
        <f>CHOOSE(MATCH(B3547, {20,25,30,35,40,45,50,55,60,65,70,75,80,85}, 1), "20-24", "25-29", "30-34", "35-39", "40-44", "45-49", "50-54", "55-59", "60-64", "65-69", "70-74", "75-79", "80-84", "85+")</f>
        <v>40-44</v>
      </c>
      <c r="D3547" t="s">
        <v>7</v>
      </c>
    </row>
    <row r="3548" spans="1:4">
      <c r="A3548" t="s">
        <v>6</v>
      </c>
      <c r="B3548">
        <v>42</v>
      </c>
      <c r="C3548" t="str">
        <f>CHOOSE(MATCH(B3548, {20,25,30,35,40,45,50,55,60,65,70,75,80,85}, 1), "20-24", "25-29", "30-34", "35-39", "40-44", "45-49", "50-54", "55-59", "60-64", "65-69", "70-74", "75-79", "80-84", "85+")</f>
        <v>40-44</v>
      </c>
      <c r="D3548" t="s">
        <v>8</v>
      </c>
    </row>
    <row r="3549" spans="1:4">
      <c r="A3549" t="s">
        <v>6</v>
      </c>
      <c r="B3549">
        <v>38</v>
      </c>
      <c r="C3549" t="str">
        <f>CHOOSE(MATCH(B3549, {20,25,30,35,40,45,50,55,60,65,70,75,80,85}, 1), "20-24", "25-29", "30-34", "35-39", "40-44", "45-49", "50-54", "55-59", "60-64", "65-69", "70-74", "75-79", "80-84", "85+")</f>
        <v>35-39</v>
      </c>
      <c r="D3549" t="s">
        <v>8</v>
      </c>
    </row>
    <row r="3550" spans="1:4">
      <c r="A3550" t="s">
        <v>6</v>
      </c>
      <c r="B3550">
        <v>45</v>
      </c>
      <c r="C3550" t="str">
        <f>CHOOSE(MATCH(B3550, {20,25,30,35,40,45,50,55,60,65,70,75,80,85}, 1), "20-24", "25-29", "30-34", "35-39", "40-44", "45-49", "50-54", "55-59", "60-64", "65-69", "70-74", "75-79", "80-84", "85+")</f>
        <v>45-49</v>
      </c>
      <c r="D3550" t="s">
        <v>8</v>
      </c>
    </row>
    <row r="3551" spans="1:4">
      <c r="A3551" t="s">
        <v>6</v>
      </c>
      <c r="B3551">
        <v>78</v>
      </c>
      <c r="C3551" t="str">
        <f>CHOOSE(MATCH(B3551, {20,25,30,35,40,45,50,55,60,65,70,75,80,85}, 1), "20-24", "25-29", "30-34", "35-39", "40-44", "45-49", "50-54", "55-59", "60-64", "65-69", "70-74", "75-79", "80-84", "85+")</f>
        <v>75-79</v>
      </c>
      <c r="D3551" t="s">
        <v>7</v>
      </c>
    </row>
    <row r="3552" spans="1:4">
      <c r="A3552" t="s">
        <v>6</v>
      </c>
      <c r="B3552">
        <v>40</v>
      </c>
      <c r="C3552" t="str">
        <f>CHOOSE(MATCH(B3552, {20,25,30,35,40,45,50,55,60,65,70,75,80,85}, 1), "20-24", "25-29", "30-34", "35-39", "40-44", "45-49", "50-54", "55-59", "60-64", "65-69", "70-74", "75-79", "80-84", "85+")</f>
        <v>40-44</v>
      </c>
      <c r="D3552" t="s">
        <v>7</v>
      </c>
    </row>
    <row r="3553" spans="1:4">
      <c r="A3553" t="s">
        <v>6</v>
      </c>
      <c r="B3553">
        <v>38</v>
      </c>
      <c r="C3553" t="str">
        <f>CHOOSE(MATCH(B3553, {20,25,30,35,40,45,50,55,60,65,70,75,80,85}, 1), "20-24", "25-29", "30-34", "35-39", "40-44", "45-49", "50-54", "55-59", "60-64", "65-69", "70-74", "75-79", "80-84", "85+")</f>
        <v>35-39</v>
      </c>
      <c r="D3553" t="s">
        <v>8</v>
      </c>
    </row>
    <row r="3554" spans="1:4">
      <c r="A3554" t="s">
        <v>6</v>
      </c>
      <c r="B3554">
        <v>29</v>
      </c>
      <c r="C3554" t="str">
        <f>CHOOSE(MATCH(B3554, {20,25,30,35,40,45,50,55,60,65,70,75,80,85}, 1), "20-24", "25-29", "30-34", "35-39", "40-44", "45-49", "50-54", "55-59", "60-64", "65-69", "70-74", "75-79", "80-84", "85+")</f>
        <v>25-29</v>
      </c>
      <c r="D3554" t="s">
        <v>7</v>
      </c>
    </row>
    <row r="3555" spans="1:4">
      <c r="A3555" t="s">
        <v>6</v>
      </c>
      <c r="B3555">
        <v>42</v>
      </c>
      <c r="C3555" t="str">
        <f>CHOOSE(MATCH(B3555, {20,25,30,35,40,45,50,55,60,65,70,75,80,85}, 1), "20-24", "25-29", "30-34", "35-39", "40-44", "45-49", "50-54", "55-59", "60-64", "65-69", "70-74", "75-79", "80-84", "85+")</f>
        <v>40-44</v>
      </c>
      <c r="D3555" t="s">
        <v>7</v>
      </c>
    </row>
    <row r="3556" spans="1:4">
      <c r="A3556" t="s">
        <v>6</v>
      </c>
      <c r="B3556">
        <v>39</v>
      </c>
      <c r="C3556" t="str">
        <f>CHOOSE(MATCH(B3556, {20,25,30,35,40,45,50,55,60,65,70,75,80,85}, 1), "20-24", "25-29", "30-34", "35-39", "40-44", "45-49", "50-54", "55-59", "60-64", "65-69", "70-74", "75-79", "80-84", "85+")</f>
        <v>35-39</v>
      </c>
      <c r="D3556" t="s">
        <v>7</v>
      </c>
    </row>
    <row r="3557" spans="1:4">
      <c r="A3557" t="s">
        <v>6</v>
      </c>
      <c r="B3557">
        <v>51</v>
      </c>
      <c r="C3557" t="str">
        <f>CHOOSE(MATCH(B3557, {20,25,30,35,40,45,50,55,60,65,70,75,80,85}, 1), "20-24", "25-29", "30-34", "35-39", "40-44", "45-49", "50-54", "55-59", "60-64", "65-69", "70-74", "75-79", "80-84", "85+")</f>
        <v>50-54</v>
      </c>
      <c r="D3557" t="s">
        <v>8</v>
      </c>
    </row>
    <row r="3558" spans="1:4">
      <c r="A3558" t="s">
        <v>6</v>
      </c>
      <c r="B3558">
        <v>31</v>
      </c>
      <c r="C3558" t="str">
        <f>CHOOSE(MATCH(B3558, {20,25,30,35,40,45,50,55,60,65,70,75,80,85}, 1), "20-24", "25-29", "30-34", "35-39", "40-44", "45-49", "50-54", "55-59", "60-64", "65-69", "70-74", "75-79", "80-84", "85+")</f>
        <v>30-34</v>
      </c>
      <c r="D3558" t="s">
        <v>7</v>
      </c>
    </row>
    <row r="3559" spans="1:4">
      <c r="A3559" t="s">
        <v>6</v>
      </c>
      <c r="B3559">
        <v>21</v>
      </c>
      <c r="C3559" t="str">
        <f>CHOOSE(MATCH(B3559, {20,25,30,35,40,45,50,55,60,65,70,75,80,85}, 1), "20-24", "25-29", "30-34", "35-39", "40-44", "45-49", "50-54", "55-59", "60-64", "65-69", "70-74", "75-79", "80-84", "85+")</f>
        <v>20-24</v>
      </c>
      <c r="D3559" t="s">
        <v>8</v>
      </c>
    </row>
    <row r="3560" spans="1:4">
      <c r="A3560" t="s">
        <v>6</v>
      </c>
      <c r="B3560">
        <v>30</v>
      </c>
      <c r="C3560" t="str">
        <f>CHOOSE(MATCH(B3560, {20,25,30,35,40,45,50,55,60,65,70,75,80,85}, 1), "20-24", "25-29", "30-34", "35-39", "40-44", "45-49", "50-54", "55-59", "60-64", "65-69", "70-74", "75-79", "80-84", "85+")</f>
        <v>30-34</v>
      </c>
      <c r="D3560" t="s">
        <v>7</v>
      </c>
    </row>
    <row r="3561" spans="1:4">
      <c r="A3561" t="s">
        <v>6</v>
      </c>
      <c r="B3561">
        <v>43</v>
      </c>
      <c r="C3561" t="str">
        <f>CHOOSE(MATCH(B3561, {20,25,30,35,40,45,50,55,60,65,70,75,80,85}, 1), "20-24", "25-29", "30-34", "35-39", "40-44", "45-49", "50-54", "55-59", "60-64", "65-69", "70-74", "75-79", "80-84", "85+")</f>
        <v>40-44</v>
      </c>
      <c r="D3561" t="s">
        <v>8</v>
      </c>
    </row>
    <row r="3562" spans="1:4">
      <c r="A3562" t="s">
        <v>6</v>
      </c>
      <c r="B3562">
        <v>59</v>
      </c>
      <c r="C3562" t="str">
        <f>CHOOSE(MATCH(B3562, {20,25,30,35,40,45,50,55,60,65,70,75,80,85}, 1), "20-24", "25-29", "30-34", "35-39", "40-44", "45-49", "50-54", "55-59", "60-64", "65-69", "70-74", "75-79", "80-84", "85+")</f>
        <v>55-59</v>
      </c>
      <c r="D3562" t="s">
        <v>7</v>
      </c>
    </row>
    <row r="3563" spans="1:4">
      <c r="A3563" t="s">
        <v>6</v>
      </c>
      <c r="B3563">
        <v>50</v>
      </c>
      <c r="C3563" t="str">
        <f>CHOOSE(MATCH(B3563, {20,25,30,35,40,45,50,55,60,65,70,75,80,85}, 1), "20-24", "25-29", "30-34", "35-39", "40-44", "45-49", "50-54", "55-59", "60-64", "65-69", "70-74", "75-79", "80-84", "85+")</f>
        <v>50-54</v>
      </c>
      <c r="D3563" t="s">
        <v>7</v>
      </c>
    </row>
    <row r="3564" spans="1:4">
      <c r="A3564" t="s">
        <v>6</v>
      </c>
      <c r="B3564">
        <v>37</v>
      </c>
      <c r="C3564" t="str">
        <f>CHOOSE(MATCH(B3564, {20,25,30,35,40,45,50,55,60,65,70,75,80,85}, 1), "20-24", "25-29", "30-34", "35-39", "40-44", "45-49", "50-54", "55-59", "60-64", "65-69", "70-74", "75-79", "80-84", "85+")</f>
        <v>35-39</v>
      </c>
      <c r="D3564" t="s">
        <v>7</v>
      </c>
    </row>
    <row r="3565" spans="1:4">
      <c r="A3565" t="s">
        <v>6</v>
      </c>
      <c r="B3565">
        <v>24</v>
      </c>
      <c r="C3565" t="str">
        <f>CHOOSE(MATCH(B3565, {20,25,30,35,40,45,50,55,60,65,70,75,80,85}, 1), "20-24", "25-29", "30-34", "35-39", "40-44", "45-49", "50-54", "55-59", "60-64", "65-69", "70-74", "75-79", "80-84", "85+")</f>
        <v>20-24</v>
      </c>
      <c r="D3565" t="s">
        <v>8</v>
      </c>
    </row>
    <row r="3566" spans="1:4">
      <c r="A3566" t="s">
        <v>6</v>
      </c>
      <c r="B3566">
        <v>56</v>
      </c>
      <c r="C3566" t="str">
        <f>CHOOSE(MATCH(B3566, {20,25,30,35,40,45,50,55,60,65,70,75,80,85}, 1), "20-24", "25-29", "30-34", "35-39", "40-44", "45-49", "50-54", "55-59", "60-64", "65-69", "70-74", "75-79", "80-84", "85+")</f>
        <v>55-59</v>
      </c>
      <c r="D3566" t="s">
        <v>8</v>
      </c>
    </row>
    <row r="3567" spans="1:4">
      <c r="A3567" t="s">
        <v>6</v>
      </c>
      <c r="B3567">
        <v>34</v>
      </c>
      <c r="C3567" t="str">
        <f>CHOOSE(MATCH(B3567, {20,25,30,35,40,45,50,55,60,65,70,75,80,85}, 1), "20-24", "25-29", "30-34", "35-39", "40-44", "45-49", "50-54", "55-59", "60-64", "65-69", "70-74", "75-79", "80-84", "85+")</f>
        <v>30-34</v>
      </c>
      <c r="D3567" t="s">
        <v>7</v>
      </c>
    </row>
    <row r="3568" spans="1:4">
      <c r="A3568" t="s">
        <v>6</v>
      </c>
      <c r="B3568">
        <v>31</v>
      </c>
      <c r="C3568" t="str">
        <f>CHOOSE(MATCH(B3568, {20,25,30,35,40,45,50,55,60,65,70,75,80,85}, 1), "20-24", "25-29", "30-34", "35-39", "40-44", "45-49", "50-54", "55-59", "60-64", "65-69", "70-74", "75-79", "80-84", "85+")</f>
        <v>30-34</v>
      </c>
      <c r="D3568" t="s">
        <v>7</v>
      </c>
    </row>
    <row r="3569" spans="1:4">
      <c r="A3569" t="s">
        <v>6</v>
      </c>
      <c r="B3569">
        <v>25</v>
      </c>
      <c r="C3569" t="str">
        <f>CHOOSE(MATCH(B3569, {20,25,30,35,40,45,50,55,60,65,70,75,80,85}, 1), "20-24", "25-29", "30-34", "35-39", "40-44", "45-49", "50-54", "55-59", "60-64", "65-69", "70-74", "75-79", "80-84", "85+")</f>
        <v>25-29</v>
      </c>
      <c r="D3569" t="s">
        <v>7</v>
      </c>
    </row>
    <row r="3570" spans="1:4">
      <c r="A3570" t="s">
        <v>6</v>
      </c>
      <c r="B3570">
        <v>36</v>
      </c>
      <c r="C3570" t="str">
        <f>CHOOSE(MATCH(B3570, {20,25,30,35,40,45,50,55,60,65,70,75,80,85}, 1), "20-24", "25-29", "30-34", "35-39", "40-44", "45-49", "50-54", "55-59", "60-64", "65-69", "70-74", "75-79", "80-84", "85+")</f>
        <v>35-39</v>
      </c>
      <c r="D3570" t="s">
        <v>7</v>
      </c>
    </row>
    <row r="3571" spans="1:4">
      <c r="A3571" t="s">
        <v>6</v>
      </c>
      <c r="B3571">
        <v>44</v>
      </c>
      <c r="C3571" t="str">
        <f>CHOOSE(MATCH(B3571, {20,25,30,35,40,45,50,55,60,65,70,75,80,85}, 1), "20-24", "25-29", "30-34", "35-39", "40-44", "45-49", "50-54", "55-59", "60-64", "65-69", "70-74", "75-79", "80-84", "85+")</f>
        <v>40-44</v>
      </c>
      <c r="D3571" t="s">
        <v>8</v>
      </c>
    </row>
    <row r="3572" spans="1:4">
      <c r="A3572" t="s">
        <v>6</v>
      </c>
      <c r="B3572">
        <v>74</v>
      </c>
      <c r="C3572" t="str">
        <f>CHOOSE(MATCH(B3572, {20,25,30,35,40,45,50,55,60,65,70,75,80,85}, 1), "20-24", "25-29", "30-34", "35-39", "40-44", "45-49", "50-54", "55-59", "60-64", "65-69", "70-74", "75-79", "80-84", "85+")</f>
        <v>70-74</v>
      </c>
      <c r="D3572" t="s">
        <v>7</v>
      </c>
    </row>
    <row r="3573" spans="1:4">
      <c r="A3573" t="s">
        <v>6</v>
      </c>
      <c r="B3573">
        <v>41</v>
      </c>
      <c r="C3573" t="str">
        <f>CHOOSE(MATCH(B3573, {20,25,30,35,40,45,50,55,60,65,70,75,80,85}, 1), "20-24", "25-29", "30-34", "35-39", "40-44", "45-49", "50-54", "55-59", "60-64", "65-69", "70-74", "75-79", "80-84", "85+")</f>
        <v>40-44</v>
      </c>
      <c r="D3573" t="s">
        <v>7</v>
      </c>
    </row>
    <row r="3574" spans="1:4">
      <c r="A3574" t="s">
        <v>6</v>
      </c>
      <c r="B3574">
        <v>72</v>
      </c>
      <c r="C3574" t="str">
        <f>CHOOSE(MATCH(B3574, {20,25,30,35,40,45,50,55,60,65,70,75,80,85}, 1), "20-24", "25-29", "30-34", "35-39", "40-44", "45-49", "50-54", "55-59", "60-64", "65-69", "70-74", "75-79", "80-84", "85+")</f>
        <v>70-74</v>
      </c>
      <c r="D3574" t="s">
        <v>7</v>
      </c>
    </row>
    <row r="3575" spans="1:4">
      <c r="A3575" t="s">
        <v>6</v>
      </c>
      <c r="B3575">
        <v>61</v>
      </c>
      <c r="C3575" t="str">
        <f>CHOOSE(MATCH(B3575, {20,25,30,35,40,45,50,55,60,65,70,75,80,85}, 1), "20-24", "25-29", "30-34", "35-39", "40-44", "45-49", "50-54", "55-59", "60-64", "65-69", "70-74", "75-79", "80-84", "85+")</f>
        <v>60-64</v>
      </c>
      <c r="D3575" t="s">
        <v>7</v>
      </c>
    </row>
    <row r="3576" spans="1:4">
      <c r="A3576" t="s">
        <v>6</v>
      </c>
      <c r="B3576">
        <v>47</v>
      </c>
      <c r="C3576" t="str">
        <f>CHOOSE(MATCH(B3576, {20,25,30,35,40,45,50,55,60,65,70,75,80,85}, 1), "20-24", "25-29", "30-34", "35-39", "40-44", "45-49", "50-54", "55-59", "60-64", "65-69", "70-74", "75-79", "80-84", "85+")</f>
        <v>45-49</v>
      </c>
      <c r="D3576" t="s">
        <v>7</v>
      </c>
    </row>
    <row r="3577" spans="1:4">
      <c r="A3577" t="s">
        <v>6</v>
      </c>
      <c r="B3577">
        <v>46</v>
      </c>
      <c r="C3577" t="str">
        <f>CHOOSE(MATCH(B3577, {20,25,30,35,40,45,50,55,60,65,70,75,80,85}, 1), "20-24", "25-29", "30-34", "35-39", "40-44", "45-49", "50-54", "55-59", "60-64", "65-69", "70-74", "75-79", "80-84", "85+")</f>
        <v>45-49</v>
      </c>
      <c r="D3577" t="s">
        <v>8</v>
      </c>
    </row>
    <row r="3578" spans="1:4">
      <c r="A3578" t="s">
        <v>6</v>
      </c>
      <c r="B3578">
        <v>52</v>
      </c>
      <c r="C3578" t="str">
        <f>CHOOSE(MATCH(B3578, {20,25,30,35,40,45,50,55,60,65,70,75,80,85}, 1), "20-24", "25-29", "30-34", "35-39", "40-44", "45-49", "50-54", "55-59", "60-64", "65-69", "70-74", "75-79", "80-84", "85+")</f>
        <v>50-54</v>
      </c>
      <c r="D3578" t="s">
        <v>8</v>
      </c>
    </row>
    <row r="3579" spans="1:4">
      <c r="A3579" t="s">
        <v>6</v>
      </c>
      <c r="B3579">
        <v>37</v>
      </c>
      <c r="C3579" t="str">
        <f>CHOOSE(MATCH(B3579, {20,25,30,35,40,45,50,55,60,65,70,75,80,85}, 1), "20-24", "25-29", "30-34", "35-39", "40-44", "45-49", "50-54", "55-59", "60-64", "65-69", "70-74", "75-79", "80-84", "85+")</f>
        <v>35-39</v>
      </c>
      <c r="D3579" t="s">
        <v>7</v>
      </c>
    </row>
    <row r="3580" spans="1:4">
      <c r="A3580" t="s">
        <v>6</v>
      </c>
      <c r="B3580">
        <v>37</v>
      </c>
      <c r="C3580" t="str">
        <f>CHOOSE(MATCH(B3580, {20,25,30,35,40,45,50,55,60,65,70,75,80,85}, 1), "20-24", "25-29", "30-34", "35-39", "40-44", "45-49", "50-54", "55-59", "60-64", "65-69", "70-74", "75-79", "80-84", "85+")</f>
        <v>35-39</v>
      </c>
      <c r="D3580" t="s">
        <v>8</v>
      </c>
    </row>
    <row r="3581" spans="1:4">
      <c r="A3581" t="s">
        <v>6</v>
      </c>
      <c r="B3581">
        <v>39</v>
      </c>
      <c r="C3581" t="str">
        <f>CHOOSE(MATCH(B3581, {20,25,30,35,40,45,50,55,60,65,70,75,80,85}, 1), "20-24", "25-29", "30-34", "35-39", "40-44", "45-49", "50-54", "55-59", "60-64", "65-69", "70-74", "75-79", "80-84", "85+")</f>
        <v>35-39</v>
      </c>
      <c r="D3581" t="s">
        <v>7</v>
      </c>
    </row>
    <row r="3582" spans="1:4">
      <c r="A3582" t="s">
        <v>6</v>
      </c>
      <c r="B3582">
        <v>35</v>
      </c>
      <c r="C3582" t="str">
        <f>CHOOSE(MATCH(B3582, {20,25,30,35,40,45,50,55,60,65,70,75,80,85}, 1), "20-24", "25-29", "30-34", "35-39", "40-44", "45-49", "50-54", "55-59", "60-64", "65-69", "70-74", "75-79", "80-84", "85+")</f>
        <v>35-39</v>
      </c>
      <c r="D3582" t="s">
        <v>7</v>
      </c>
    </row>
    <row r="3583" spans="1:4">
      <c r="A3583" t="s">
        <v>6</v>
      </c>
      <c r="B3583">
        <v>37</v>
      </c>
      <c r="C3583" t="str">
        <f>CHOOSE(MATCH(B3583, {20,25,30,35,40,45,50,55,60,65,70,75,80,85}, 1), "20-24", "25-29", "30-34", "35-39", "40-44", "45-49", "50-54", "55-59", "60-64", "65-69", "70-74", "75-79", "80-84", "85+")</f>
        <v>35-39</v>
      </c>
      <c r="D3583" t="s">
        <v>7</v>
      </c>
    </row>
    <row r="3584" spans="1:4">
      <c r="A3584" t="s">
        <v>6</v>
      </c>
      <c r="B3584">
        <v>22</v>
      </c>
      <c r="C3584" t="str">
        <f>CHOOSE(MATCH(B3584, {20,25,30,35,40,45,50,55,60,65,70,75,80,85}, 1), "20-24", "25-29", "30-34", "35-39", "40-44", "45-49", "50-54", "55-59", "60-64", "65-69", "70-74", "75-79", "80-84", "85+")</f>
        <v>20-24</v>
      </c>
      <c r="D3584" t="s">
        <v>8</v>
      </c>
    </row>
    <row r="3585" spans="1:4">
      <c r="A3585" t="s">
        <v>6</v>
      </c>
      <c r="B3585">
        <v>41</v>
      </c>
      <c r="C3585" t="str">
        <f>CHOOSE(MATCH(B3585, {20,25,30,35,40,45,50,55,60,65,70,75,80,85}, 1), "20-24", "25-29", "30-34", "35-39", "40-44", "45-49", "50-54", "55-59", "60-64", "65-69", "70-74", "75-79", "80-84", "85+")</f>
        <v>40-44</v>
      </c>
      <c r="D3585" t="s">
        <v>7</v>
      </c>
    </row>
    <row r="3586" spans="1:4">
      <c r="A3586" t="s">
        <v>6</v>
      </c>
      <c r="B3586">
        <v>27</v>
      </c>
      <c r="C3586" t="str">
        <f>CHOOSE(MATCH(B3586, {20,25,30,35,40,45,50,55,60,65,70,75,80,85}, 1), "20-24", "25-29", "30-34", "35-39", "40-44", "45-49", "50-54", "55-59", "60-64", "65-69", "70-74", "75-79", "80-84", "85+")</f>
        <v>25-29</v>
      </c>
      <c r="D3586" t="s">
        <v>8</v>
      </c>
    </row>
    <row r="3587" spans="1:4">
      <c r="A3587" t="s">
        <v>6</v>
      </c>
      <c r="B3587">
        <v>43</v>
      </c>
      <c r="C3587" t="str">
        <f>CHOOSE(MATCH(B3587, {20,25,30,35,40,45,50,55,60,65,70,75,80,85}, 1), "20-24", "25-29", "30-34", "35-39", "40-44", "45-49", "50-54", "55-59", "60-64", "65-69", "70-74", "75-79", "80-84", "85+")</f>
        <v>40-44</v>
      </c>
      <c r="D3587" t="s">
        <v>7</v>
      </c>
    </row>
    <row r="3588" spans="1:4">
      <c r="A3588" t="s">
        <v>6</v>
      </c>
      <c r="B3588">
        <v>42</v>
      </c>
      <c r="C3588" t="str">
        <f>CHOOSE(MATCH(B3588, {20,25,30,35,40,45,50,55,60,65,70,75,80,85}, 1), "20-24", "25-29", "30-34", "35-39", "40-44", "45-49", "50-54", "55-59", "60-64", "65-69", "70-74", "75-79", "80-84", "85+")</f>
        <v>40-44</v>
      </c>
      <c r="D3588" t="s">
        <v>8</v>
      </c>
    </row>
    <row r="3589" spans="1:4">
      <c r="A3589" t="s">
        <v>6</v>
      </c>
      <c r="B3589">
        <v>27</v>
      </c>
      <c r="C3589" t="str">
        <f>CHOOSE(MATCH(B3589, {20,25,30,35,40,45,50,55,60,65,70,75,80,85}, 1), "20-24", "25-29", "30-34", "35-39", "40-44", "45-49", "50-54", "55-59", "60-64", "65-69", "70-74", "75-79", "80-84", "85+")</f>
        <v>25-29</v>
      </c>
      <c r="D3589" t="s">
        <v>7</v>
      </c>
    </row>
    <row r="3590" spans="1:4">
      <c r="A3590" t="s">
        <v>6</v>
      </c>
      <c r="B3590">
        <v>28</v>
      </c>
      <c r="C3590" t="str">
        <f>CHOOSE(MATCH(B3590, {20,25,30,35,40,45,50,55,60,65,70,75,80,85}, 1), "20-24", "25-29", "30-34", "35-39", "40-44", "45-49", "50-54", "55-59", "60-64", "65-69", "70-74", "75-79", "80-84", "85+")</f>
        <v>25-29</v>
      </c>
      <c r="D3590" t="s">
        <v>8</v>
      </c>
    </row>
    <row r="3591" spans="1:4">
      <c r="A3591" t="s">
        <v>6</v>
      </c>
      <c r="B3591">
        <v>42</v>
      </c>
      <c r="C3591" t="str">
        <f>CHOOSE(MATCH(B3591, {20,25,30,35,40,45,50,55,60,65,70,75,80,85}, 1), "20-24", "25-29", "30-34", "35-39", "40-44", "45-49", "50-54", "55-59", "60-64", "65-69", "70-74", "75-79", "80-84", "85+")</f>
        <v>40-44</v>
      </c>
      <c r="D3591" t="s">
        <v>7</v>
      </c>
    </row>
    <row r="3592" spans="1:4">
      <c r="A3592" t="s">
        <v>6</v>
      </c>
      <c r="B3592">
        <v>43</v>
      </c>
      <c r="C3592" t="str">
        <f>CHOOSE(MATCH(B3592, {20,25,30,35,40,45,50,55,60,65,70,75,80,85}, 1), "20-24", "25-29", "30-34", "35-39", "40-44", "45-49", "50-54", "55-59", "60-64", "65-69", "70-74", "75-79", "80-84", "85+")</f>
        <v>40-44</v>
      </c>
      <c r="D3592" t="s">
        <v>8</v>
      </c>
    </row>
    <row r="3593" spans="1:4">
      <c r="A3593" t="s">
        <v>6</v>
      </c>
      <c r="B3593">
        <v>53</v>
      </c>
      <c r="C3593" t="str">
        <f>CHOOSE(MATCH(B3593, {20,25,30,35,40,45,50,55,60,65,70,75,80,85}, 1), "20-24", "25-29", "30-34", "35-39", "40-44", "45-49", "50-54", "55-59", "60-64", "65-69", "70-74", "75-79", "80-84", "85+")</f>
        <v>50-54</v>
      </c>
      <c r="D3593" t="s">
        <v>7</v>
      </c>
    </row>
    <row r="3594" spans="1:4">
      <c r="A3594" t="s">
        <v>6</v>
      </c>
      <c r="B3594">
        <v>33</v>
      </c>
      <c r="C3594" t="str">
        <f>CHOOSE(MATCH(B3594, {20,25,30,35,40,45,50,55,60,65,70,75,80,85}, 1), "20-24", "25-29", "30-34", "35-39", "40-44", "45-49", "50-54", "55-59", "60-64", "65-69", "70-74", "75-79", "80-84", "85+")</f>
        <v>30-34</v>
      </c>
      <c r="D3594" t="s">
        <v>7</v>
      </c>
    </row>
    <row r="3595" spans="1:4">
      <c r="A3595" t="s">
        <v>6</v>
      </c>
      <c r="B3595">
        <v>30</v>
      </c>
      <c r="C3595" t="str">
        <f>CHOOSE(MATCH(B3595, {20,25,30,35,40,45,50,55,60,65,70,75,80,85}, 1), "20-24", "25-29", "30-34", "35-39", "40-44", "45-49", "50-54", "55-59", "60-64", "65-69", "70-74", "75-79", "80-84", "85+")</f>
        <v>30-34</v>
      </c>
      <c r="D3595" t="s">
        <v>7</v>
      </c>
    </row>
    <row r="3596" spans="1:4">
      <c r="A3596" t="s">
        <v>6</v>
      </c>
      <c r="B3596">
        <v>28</v>
      </c>
      <c r="C3596" t="str">
        <f>CHOOSE(MATCH(B3596, {20,25,30,35,40,45,50,55,60,65,70,75,80,85}, 1), "20-24", "25-29", "30-34", "35-39", "40-44", "45-49", "50-54", "55-59", "60-64", "65-69", "70-74", "75-79", "80-84", "85+")</f>
        <v>25-29</v>
      </c>
      <c r="D3596" t="s">
        <v>8</v>
      </c>
    </row>
    <row r="3597" spans="1:4">
      <c r="A3597" t="s">
        <v>6</v>
      </c>
      <c r="B3597">
        <v>38</v>
      </c>
      <c r="C3597" t="str">
        <f>CHOOSE(MATCH(B3597, {20,25,30,35,40,45,50,55,60,65,70,75,80,85}, 1), "20-24", "25-29", "30-34", "35-39", "40-44", "45-49", "50-54", "55-59", "60-64", "65-69", "70-74", "75-79", "80-84", "85+")</f>
        <v>35-39</v>
      </c>
      <c r="D3597" t="s">
        <v>7</v>
      </c>
    </row>
    <row r="3598" spans="1:4">
      <c r="A3598" t="s">
        <v>6</v>
      </c>
      <c r="B3598">
        <v>52</v>
      </c>
      <c r="C3598" t="str">
        <f>CHOOSE(MATCH(B3598, {20,25,30,35,40,45,50,55,60,65,70,75,80,85}, 1), "20-24", "25-29", "30-34", "35-39", "40-44", "45-49", "50-54", "55-59", "60-64", "65-69", "70-74", "75-79", "80-84", "85+")</f>
        <v>50-54</v>
      </c>
      <c r="D3598" t="s">
        <v>7</v>
      </c>
    </row>
    <row r="3599" spans="1:4">
      <c r="A3599" t="s">
        <v>6</v>
      </c>
      <c r="B3599">
        <v>59</v>
      </c>
      <c r="C3599" t="str">
        <f>CHOOSE(MATCH(B3599, {20,25,30,35,40,45,50,55,60,65,70,75,80,85}, 1), "20-24", "25-29", "30-34", "35-39", "40-44", "45-49", "50-54", "55-59", "60-64", "65-69", "70-74", "75-79", "80-84", "85+")</f>
        <v>55-59</v>
      </c>
      <c r="D3599" t="s">
        <v>7</v>
      </c>
    </row>
    <row r="3600" spans="1:4">
      <c r="A3600" t="s">
        <v>6</v>
      </c>
      <c r="B3600">
        <v>40</v>
      </c>
      <c r="C3600" t="str">
        <f>CHOOSE(MATCH(B3600, {20,25,30,35,40,45,50,55,60,65,70,75,80,85}, 1), "20-24", "25-29", "30-34", "35-39", "40-44", "45-49", "50-54", "55-59", "60-64", "65-69", "70-74", "75-79", "80-84", "85+")</f>
        <v>40-44</v>
      </c>
      <c r="D3600" t="s">
        <v>8</v>
      </c>
    </row>
    <row r="3601" spans="1:4">
      <c r="A3601" t="s">
        <v>6</v>
      </c>
      <c r="B3601">
        <v>66</v>
      </c>
      <c r="C3601" t="str">
        <f>CHOOSE(MATCH(B3601, {20,25,30,35,40,45,50,55,60,65,70,75,80,85}, 1), "20-24", "25-29", "30-34", "35-39", "40-44", "45-49", "50-54", "55-59", "60-64", "65-69", "70-74", "75-79", "80-84", "85+")</f>
        <v>65-69</v>
      </c>
      <c r="D3601" t="s">
        <v>7</v>
      </c>
    </row>
    <row r="3602" spans="1:4">
      <c r="A3602" t="s">
        <v>6</v>
      </c>
      <c r="B3602">
        <v>40</v>
      </c>
      <c r="C3602" t="str">
        <f>CHOOSE(MATCH(B3602, {20,25,30,35,40,45,50,55,60,65,70,75,80,85}, 1), "20-24", "25-29", "30-34", "35-39", "40-44", "45-49", "50-54", "55-59", "60-64", "65-69", "70-74", "75-79", "80-84", "85+")</f>
        <v>40-44</v>
      </c>
      <c r="D3602" t="s">
        <v>8</v>
      </c>
    </row>
    <row r="3603" spans="1:4">
      <c r="A3603" t="s">
        <v>6</v>
      </c>
      <c r="B3603">
        <v>26</v>
      </c>
      <c r="C3603" t="str">
        <f>CHOOSE(MATCH(B3603, {20,25,30,35,40,45,50,55,60,65,70,75,80,85}, 1), "20-24", "25-29", "30-34", "35-39", "40-44", "45-49", "50-54", "55-59", "60-64", "65-69", "70-74", "75-79", "80-84", "85+")</f>
        <v>25-29</v>
      </c>
      <c r="D3603" t="s">
        <v>8</v>
      </c>
    </row>
    <row r="3604" spans="1:4">
      <c r="A3604" t="s">
        <v>6</v>
      </c>
      <c r="B3604">
        <v>43</v>
      </c>
      <c r="C3604" t="str">
        <f>CHOOSE(MATCH(B3604, {20,25,30,35,40,45,50,55,60,65,70,75,80,85}, 1), "20-24", "25-29", "30-34", "35-39", "40-44", "45-49", "50-54", "55-59", "60-64", "65-69", "70-74", "75-79", "80-84", "85+")</f>
        <v>40-44</v>
      </c>
      <c r="D3604" t="s">
        <v>8</v>
      </c>
    </row>
    <row r="3605" spans="1:4">
      <c r="A3605" t="s">
        <v>6</v>
      </c>
      <c r="B3605">
        <v>26</v>
      </c>
      <c r="C3605" t="str">
        <f>CHOOSE(MATCH(B3605, {20,25,30,35,40,45,50,55,60,65,70,75,80,85}, 1), "20-24", "25-29", "30-34", "35-39", "40-44", "45-49", "50-54", "55-59", "60-64", "65-69", "70-74", "75-79", "80-84", "85+")</f>
        <v>25-29</v>
      </c>
      <c r="D3605" t="s">
        <v>7</v>
      </c>
    </row>
    <row r="3606" spans="1:4">
      <c r="A3606" t="s">
        <v>6</v>
      </c>
      <c r="B3606">
        <v>33</v>
      </c>
      <c r="C3606" t="str">
        <f>CHOOSE(MATCH(B3606, {20,25,30,35,40,45,50,55,60,65,70,75,80,85}, 1), "20-24", "25-29", "30-34", "35-39", "40-44", "45-49", "50-54", "55-59", "60-64", "65-69", "70-74", "75-79", "80-84", "85+")</f>
        <v>30-34</v>
      </c>
      <c r="D3606" t="s">
        <v>8</v>
      </c>
    </row>
    <row r="3607" spans="1:4">
      <c r="A3607" t="s">
        <v>6</v>
      </c>
      <c r="B3607">
        <v>51</v>
      </c>
      <c r="C3607" t="str">
        <f>CHOOSE(MATCH(B3607, {20,25,30,35,40,45,50,55,60,65,70,75,80,85}, 1), "20-24", "25-29", "30-34", "35-39", "40-44", "45-49", "50-54", "55-59", "60-64", "65-69", "70-74", "75-79", "80-84", "85+")</f>
        <v>50-54</v>
      </c>
      <c r="D3607" t="s">
        <v>7</v>
      </c>
    </row>
    <row r="3608" spans="1:4">
      <c r="A3608" t="s">
        <v>6</v>
      </c>
      <c r="B3608">
        <v>30</v>
      </c>
      <c r="C3608" t="str">
        <f>CHOOSE(MATCH(B3608, {20,25,30,35,40,45,50,55,60,65,70,75,80,85}, 1), "20-24", "25-29", "30-34", "35-39", "40-44", "45-49", "50-54", "55-59", "60-64", "65-69", "70-74", "75-79", "80-84", "85+")</f>
        <v>30-34</v>
      </c>
      <c r="D3608" t="s">
        <v>8</v>
      </c>
    </row>
    <row r="3609" spans="1:4">
      <c r="A3609" t="s">
        <v>6</v>
      </c>
      <c r="B3609">
        <v>36</v>
      </c>
      <c r="C3609" t="str">
        <f>CHOOSE(MATCH(B3609, {20,25,30,35,40,45,50,55,60,65,70,75,80,85}, 1), "20-24", "25-29", "30-34", "35-39", "40-44", "45-49", "50-54", "55-59", "60-64", "65-69", "70-74", "75-79", "80-84", "85+")</f>
        <v>35-39</v>
      </c>
      <c r="D3609" t="s">
        <v>8</v>
      </c>
    </row>
    <row r="3610" spans="1:4">
      <c r="A3610" t="s">
        <v>6</v>
      </c>
      <c r="B3610">
        <v>25</v>
      </c>
      <c r="C3610" t="str">
        <f>CHOOSE(MATCH(B3610, {20,25,30,35,40,45,50,55,60,65,70,75,80,85}, 1), "20-24", "25-29", "30-34", "35-39", "40-44", "45-49", "50-54", "55-59", "60-64", "65-69", "70-74", "75-79", "80-84", "85+")</f>
        <v>25-29</v>
      </c>
      <c r="D3610" t="s">
        <v>7</v>
      </c>
    </row>
    <row r="3611" spans="1:4">
      <c r="A3611" t="s">
        <v>6</v>
      </c>
      <c r="B3611">
        <v>59</v>
      </c>
      <c r="C3611" t="str">
        <f>CHOOSE(MATCH(B3611, {20,25,30,35,40,45,50,55,60,65,70,75,80,85}, 1), "20-24", "25-29", "30-34", "35-39", "40-44", "45-49", "50-54", "55-59", "60-64", "65-69", "70-74", "75-79", "80-84", "85+")</f>
        <v>55-59</v>
      </c>
      <c r="D3611" t="s">
        <v>7</v>
      </c>
    </row>
    <row r="3612" spans="1:4">
      <c r="A3612" t="s">
        <v>6</v>
      </c>
      <c r="B3612">
        <v>71</v>
      </c>
      <c r="C3612" t="str">
        <f>CHOOSE(MATCH(B3612, {20,25,30,35,40,45,50,55,60,65,70,75,80,85}, 1), "20-24", "25-29", "30-34", "35-39", "40-44", "45-49", "50-54", "55-59", "60-64", "65-69", "70-74", "75-79", "80-84", "85+")</f>
        <v>70-74</v>
      </c>
      <c r="D3612" t="s">
        <v>8</v>
      </c>
    </row>
    <row r="3613" spans="1:4">
      <c r="A3613" t="s">
        <v>6</v>
      </c>
      <c r="B3613">
        <v>30</v>
      </c>
      <c r="C3613" t="str">
        <f>CHOOSE(MATCH(B3613, {20,25,30,35,40,45,50,55,60,65,70,75,80,85}, 1), "20-24", "25-29", "30-34", "35-39", "40-44", "45-49", "50-54", "55-59", "60-64", "65-69", "70-74", "75-79", "80-84", "85+")</f>
        <v>30-34</v>
      </c>
      <c r="D3613" t="s">
        <v>8</v>
      </c>
    </row>
    <row r="3614" spans="1:4">
      <c r="A3614" t="s">
        <v>6</v>
      </c>
      <c r="B3614">
        <v>71</v>
      </c>
      <c r="C3614" t="str">
        <f>CHOOSE(MATCH(B3614, {20,25,30,35,40,45,50,55,60,65,70,75,80,85}, 1), "20-24", "25-29", "30-34", "35-39", "40-44", "45-49", "50-54", "55-59", "60-64", "65-69", "70-74", "75-79", "80-84", "85+")</f>
        <v>70-74</v>
      </c>
      <c r="D3614" t="s">
        <v>8</v>
      </c>
    </row>
    <row r="3615" spans="1:4">
      <c r="A3615" t="s">
        <v>6</v>
      </c>
      <c r="B3615">
        <v>35</v>
      </c>
      <c r="C3615" t="str">
        <f>CHOOSE(MATCH(B3615, {20,25,30,35,40,45,50,55,60,65,70,75,80,85}, 1), "20-24", "25-29", "30-34", "35-39", "40-44", "45-49", "50-54", "55-59", "60-64", "65-69", "70-74", "75-79", "80-84", "85+")</f>
        <v>35-39</v>
      </c>
      <c r="D3615" t="s">
        <v>7</v>
      </c>
    </row>
    <row r="3616" spans="1:4">
      <c r="A3616" t="s">
        <v>6</v>
      </c>
      <c r="B3616">
        <v>27</v>
      </c>
      <c r="C3616" t="str">
        <f>CHOOSE(MATCH(B3616, {20,25,30,35,40,45,50,55,60,65,70,75,80,85}, 1), "20-24", "25-29", "30-34", "35-39", "40-44", "45-49", "50-54", "55-59", "60-64", "65-69", "70-74", "75-79", "80-84", "85+")</f>
        <v>25-29</v>
      </c>
      <c r="D3616" t="s">
        <v>7</v>
      </c>
    </row>
    <row r="3617" spans="1:4">
      <c r="A3617" t="s">
        <v>6</v>
      </c>
      <c r="B3617">
        <v>62</v>
      </c>
      <c r="C3617" t="str">
        <f>CHOOSE(MATCH(B3617, {20,25,30,35,40,45,50,55,60,65,70,75,80,85}, 1), "20-24", "25-29", "30-34", "35-39", "40-44", "45-49", "50-54", "55-59", "60-64", "65-69", "70-74", "75-79", "80-84", "85+")</f>
        <v>60-64</v>
      </c>
      <c r="D3617" t="s">
        <v>7</v>
      </c>
    </row>
    <row r="3618" spans="1:4">
      <c r="A3618" t="s">
        <v>6</v>
      </c>
      <c r="B3618">
        <v>58</v>
      </c>
      <c r="C3618" t="str">
        <f>CHOOSE(MATCH(B3618, {20,25,30,35,40,45,50,55,60,65,70,75,80,85}, 1), "20-24", "25-29", "30-34", "35-39", "40-44", "45-49", "50-54", "55-59", "60-64", "65-69", "70-74", "75-79", "80-84", "85+")</f>
        <v>55-59</v>
      </c>
      <c r="D3618" t="s">
        <v>8</v>
      </c>
    </row>
    <row r="3619" spans="1:4">
      <c r="A3619" t="s">
        <v>6</v>
      </c>
      <c r="B3619">
        <v>41</v>
      </c>
      <c r="C3619" t="str">
        <f>CHOOSE(MATCH(B3619, {20,25,30,35,40,45,50,55,60,65,70,75,80,85}, 1), "20-24", "25-29", "30-34", "35-39", "40-44", "45-49", "50-54", "55-59", "60-64", "65-69", "70-74", "75-79", "80-84", "85+")</f>
        <v>40-44</v>
      </c>
      <c r="D3619" t="s">
        <v>7</v>
      </c>
    </row>
    <row r="3620" spans="1:4">
      <c r="A3620" t="s">
        <v>6</v>
      </c>
      <c r="B3620">
        <v>32</v>
      </c>
      <c r="C3620" t="str">
        <f>CHOOSE(MATCH(B3620, {20,25,30,35,40,45,50,55,60,65,70,75,80,85}, 1), "20-24", "25-29", "30-34", "35-39", "40-44", "45-49", "50-54", "55-59", "60-64", "65-69", "70-74", "75-79", "80-84", "85+")</f>
        <v>30-34</v>
      </c>
      <c r="D3620" t="s">
        <v>7</v>
      </c>
    </row>
    <row r="3621" spans="1:4">
      <c r="A3621" t="s">
        <v>6</v>
      </c>
      <c r="B3621">
        <v>29</v>
      </c>
      <c r="C3621" t="str">
        <f>CHOOSE(MATCH(B3621, {20,25,30,35,40,45,50,55,60,65,70,75,80,85}, 1), "20-24", "25-29", "30-34", "35-39", "40-44", "45-49", "50-54", "55-59", "60-64", "65-69", "70-74", "75-79", "80-84", "85+")</f>
        <v>25-29</v>
      </c>
      <c r="D3621" t="s">
        <v>7</v>
      </c>
    </row>
    <row r="3622" spans="1:4">
      <c r="A3622" t="s">
        <v>6</v>
      </c>
      <c r="B3622">
        <v>49</v>
      </c>
      <c r="C3622" t="str">
        <f>CHOOSE(MATCH(B3622, {20,25,30,35,40,45,50,55,60,65,70,75,80,85}, 1), "20-24", "25-29", "30-34", "35-39", "40-44", "45-49", "50-54", "55-59", "60-64", "65-69", "70-74", "75-79", "80-84", "85+")</f>
        <v>45-49</v>
      </c>
      <c r="D3622" t="s">
        <v>7</v>
      </c>
    </row>
    <row r="3623" spans="1:4">
      <c r="A3623" t="s">
        <v>6</v>
      </c>
      <c r="B3623">
        <v>28</v>
      </c>
      <c r="C3623" t="str">
        <f>CHOOSE(MATCH(B3623, {20,25,30,35,40,45,50,55,60,65,70,75,80,85}, 1), "20-24", "25-29", "30-34", "35-39", "40-44", "45-49", "50-54", "55-59", "60-64", "65-69", "70-74", "75-79", "80-84", "85+")</f>
        <v>25-29</v>
      </c>
      <c r="D3623" t="s">
        <v>8</v>
      </c>
    </row>
    <row r="3624" spans="1:4">
      <c r="A3624" t="s">
        <v>6</v>
      </c>
      <c r="B3624">
        <v>29</v>
      </c>
      <c r="C3624" t="str">
        <f>CHOOSE(MATCH(B3624, {20,25,30,35,40,45,50,55,60,65,70,75,80,85}, 1), "20-24", "25-29", "30-34", "35-39", "40-44", "45-49", "50-54", "55-59", "60-64", "65-69", "70-74", "75-79", "80-84", "85+")</f>
        <v>25-29</v>
      </c>
      <c r="D3624" t="s">
        <v>7</v>
      </c>
    </row>
    <row r="3625" spans="1:4">
      <c r="A3625" t="s">
        <v>6</v>
      </c>
      <c r="B3625">
        <v>50</v>
      </c>
      <c r="C3625" t="str">
        <f>CHOOSE(MATCH(B3625, {20,25,30,35,40,45,50,55,60,65,70,75,80,85}, 1), "20-24", "25-29", "30-34", "35-39", "40-44", "45-49", "50-54", "55-59", "60-64", "65-69", "70-74", "75-79", "80-84", "85+")</f>
        <v>50-54</v>
      </c>
      <c r="D3625" t="s">
        <v>8</v>
      </c>
    </row>
    <row r="3626" spans="1:4">
      <c r="A3626" t="s">
        <v>6</v>
      </c>
      <c r="B3626">
        <v>36</v>
      </c>
      <c r="C3626" t="str">
        <f>CHOOSE(MATCH(B3626, {20,25,30,35,40,45,50,55,60,65,70,75,80,85}, 1), "20-24", "25-29", "30-34", "35-39", "40-44", "45-49", "50-54", "55-59", "60-64", "65-69", "70-74", "75-79", "80-84", "85+")</f>
        <v>35-39</v>
      </c>
      <c r="D3626" t="s">
        <v>8</v>
      </c>
    </row>
    <row r="3627" spans="1:4">
      <c r="A3627" t="s">
        <v>6</v>
      </c>
      <c r="B3627">
        <v>47</v>
      </c>
      <c r="C3627" t="str">
        <f>CHOOSE(MATCH(B3627, {20,25,30,35,40,45,50,55,60,65,70,75,80,85}, 1), "20-24", "25-29", "30-34", "35-39", "40-44", "45-49", "50-54", "55-59", "60-64", "65-69", "70-74", "75-79", "80-84", "85+")</f>
        <v>45-49</v>
      </c>
      <c r="D3627" t="s">
        <v>7</v>
      </c>
    </row>
    <row r="3628" spans="1:4">
      <c r="A3628" t="s">
        <v>6</v>
      </c>
      <c r="B3628">
        <v>54</v>
      </c>
      <c r="C3628" t="str">
        <f>CHOOSE(MATCH(B3628, {20,25,30,35,40,45,50,55,60,65,70,75,80,85}, 1), "20-24", "25-29", "30-34", "35-39", "40-44", "45-49", "50-54", "55-59", "60-64", "65-69", "70-74", "75-79", "80-84", "85+")</f>
        <v>50-54</v>
      </c>
      <c r="D3628" t="s">
        <v>8</v>
      </c>
    </row>
    <row r="3629" spans="1:4">
      <c r="A3629" t="s">
        <v>6</v>
      </c>
      <c r="B3629">
        <v>35</v>
      </c>
      <c r="C3629" t="str">
        <f>CHOOSE(MATCH(B3629, {20,25,30,35,40,45,50,55,60,65,70,75,80,85}, 1), "20-24", "25-29", "30-34", "35-39", "40-44", "45-49", "50-54", "55-59", "60-64", "65-69", "70-74", "75-79", "80-84", "85+")</f>
        <v>35-39</v>
      </c>
      <c r="D3629" t="s">
        <v>8</v>
      </c>
    </row>
    <row r="3630" spans="1:4">
      <c r="A3630" t="s">
        <v>6</v>
      </c>
      <c r="B3630">
        <v>51</v>
      </c>
      <c r="C3630" t="str">
        <f>CHOOSE(MATCH(B3630, {20,25,30,35,40,45,50,55,60,65,70,75,80,85}, 1), "20-24", "25-29", "30-34", "35-39", "40-44", "45-49", "50-54", "55-59", "60-64", "65-69", "70-74", "75-79", "80-84", "85+")</f>
        <v>50-54</v>
      </c>
      <c r="D3630" t="s">
        <v>8</v>
      </c>
    </row>
    <row r="3631" spans="1:4">
      <c r="A3631" t="s">
        <v>6</v>
      </c>
      <c r="B3631">
        <v>55</v>
      </c>
      <c r="C3631" t="str">
        <f>CHOOSE(MATCH(B3631, {20,25,30,35,40,45,50,55,60,65,70,75,80,85}, 1), "20-24", "25-29", "30-34", "35-39", "40-44", "45-49", "50-54", "55-59", "60-64", "65-69", "70-74", "75-79", "80-84", "85+")</f>
        <v>55-59</v>
      </c>
      <c r="D3631" t="s">
        <v>8</v>
      </c>
    </row>
    <row r="3632" spans="1:4">
      <c r="A3632" t="s">
        <v>6</v>
      </c>
      <c r="B3632">
        <v>48</v>
      </c>
      <c r="C3632" t="str">
        <f>CHOOSE(MATCH(B3632, {20,25,30,35,40,45,50,55,60,65,70,75,80,85}, 1), "20-24", "25-29", "30-34", "35-39", "40-44", "45-49", "50-54", "55-59", "60-64", "65-69", "70-74", "75-79", "80-84", "85+")</f>
        <v>45-49</v>
      </c>
      <c r="D3632" t="s">
        <v>8</v>
      </c>
    </row>
    <row r="3633" spans="1:4">
      <c r="A3633" t="s">
        <v>6</v>
      </c>
      <c r="B3633">
        <v>40</v>
      </c>
      <c r="C3633" t="str">
        <f>CHOOSE(MATCH(B3633, {20,25,30,35,40,45,50,55,60,65,70,75,80,85}, 1), "20-24", "25-29", "30-34", "35-39", "40-44", "45-49", "50-54", "55-59", "60-64", "65-69", "70-74", "75-79", "80-84", "85+")</f>
        <v>40-44</v>
      </c>
      <c r="D3633" t="s">
        <v>7</v>
      </c>
    </row>
    <row r="3634" spans="1:4">
      <c r="A3634" t="s">
        <v>6</v>
      </c>
      <c r="B3634">
        <v>25</v>
      </c>
      <c r="C3634" t="str">
        <f>CHOOSE(MATCH(B3634, {20,25,30,35,40,45,50,55,60,65,70,75,80,85}, 1), "20-24", "25-29", "30-34", "35-39", "40-44", "45-49", "50-54", "55-59", "60-64", "65-69", "70-74", "75-79", "80-84", "85+")</f>
        <v>25-29</v>
      </c>
      <c r="D3634" t="s">
        <v>7</v>
      </c>
    </row>
    <row r="3635" spans="1:4">
      <c r="A3635" t="s">
        <v>6</v>
      </c>
      <c r="B3635">
        <v>40</v>
      </c>
      <c r="C3635" t="str">
        <f>CHOOSE(MATCH(B3635, {20,25,30,35,40,45,50,55,60,65,70,75,80,85}, 1), "20-24", "25-29", "30-34", "35-39", "40-44", "45-49", "50-54", "55-59", "60-64", "65-69", "70-74", "75-79", "80-84", "85+")</f>
        <v>40-44</v>
      </c>
      <c r="D3635" t="s">
        <v>8</v>
      </c>
    </row>
    <row r="3636" spans="1:4">
      <c r="A3636" t="s">
        <v>6</v>
      </c>
      <c r="B3636">
        <v>32</v>
      </c>
      <c r="C3636" t="str">
        <f>CHOOSE(MATCH(B3636, {20,25,30,35,40,45,50,55,60,65,70,75,80,85}, 1), "20-24", "25-29", "30-34", "35-39", "40-44", "45-49", "50-54", "55-59", "60-64", "65-69", "70-74", "75-79", "80-84", "85+")</f>
        <v>30-34</v>
      </c>
      <c r="D3636" t="s">
        <v>8</v>
      </c>
    </row>
    <row r="3637" spans="1:4">
      <c r="A3637" t="s">
        <v>6</v>
      </c>
      <c r="B3637">
        <v>26</v>
      </c>
      <c r="C3637" t="str">
        <f>CHOOSE(MATCH(B3637, {20,25,30,35,40,45,50,55,60,65,70,75,80,85}, 1), "20-24", "25-29", "30-34", "35-39", "40-44", "45-49", "50-54", "55-59", "60-64", "65-69", "70-74", "75-79", "80-84", "85+")</f>
        <v>25-29</v>
      </c>
      <c r="D3637" t="s">
        <v>8</v>
      </c>
    </row>
    <row r="3638" spans="1:4">
      <c r="A3638" t="s">
        <v>6</v>
      </c>
      <c r="B3638">
        <v>61</v>
      </c>
      <c r="C3638" t="str">
        <f>CHOOSE(MATCH(B3638, {20,25,30,35,40,45,50,55,60,65,70,75,80,85}, 1), "20-24", "25-29", "30-34", "35-39", "40-44", "45-49", "50-54", "55-59", "60-64", "65-69", "70-74", "75-79", "80-84", "85+")</f>
        <v>60-64</v>
      </c>
      <c r="D3638" t="s">
        <v>7</v>
      </c>
    </row>
    <row r="3639" spans="1:4">
      <c r="A3639" t="s">
        <v>6</v>
      </c>
      <c r="B3639">
        <v>41</v>
      </c>
      <c r="C3639" t="str">
        <f>CHOOSE(MATCH(B3639, {20,25,30,35,40,45,50,55,60,65,70,75,80,85}, 1), "20-24", "25-29", "30-34", "35-39", "40-44", "45-49", "50-54", "55-59", "60-64", "65-69", "70-74", "75-79", "80-84", "85+")</f>
        <v>40-44</v>
      </c>
      <c r="D3639" t="s">
        <v>8</v>
      </c>
    </row>
    <row r="3640" spans="1:4">
      <c r="A3640" t="s">
        <v>6</v>
      </c>
      <c r="B3640">
        <v>31</v>
      </c>
      <c r="C3640" t="str">
        <f>CHOOSE(MATCH(B3640, {20,25,30,35,40,45,50,55,60,65,70,75,80,85}, 1), "20-24", "25-29", "30-34", "35-39", "40-44", "45-49", "50-54", "55-59", "60-64", "65-69", "70-74", "75-79", "80-84", "85+")</f>
        <v>30-34</v>
      </c>
      <c r="D3640" t="s">
        <v>7</v>
      </c>
    </row>
    <row r="3641" spans="1:4">
      <c r="A3641" t="s">
        <v>6</v>
      </c>
      <c r="B3641">
        <v>34</v>
      </c>
      <c r="C3641" t="str">
        <f>CHOOSE(MATCH(B3641, {20,25,30,35,40,45,50,55,60,65,70,75,80,85}, 1), "20-24", "25-29", "30-34", "35-39", "40-44", "45-49", "50-54", "55-59", "60-64", "65-69", "70-74", "75-79", "80-84", "85+")</f>
        <v>30-34</v>
      </c>
      <c r="D3641" t="s">
        <v>7</v>
      </c>
    </row>
    <row r="3642" spans="1:4">
      <c r="A3642" t="s">
        <v>6</v>
      </c>
      <c r="B3642">
        <v>38</v>
      </c>
      <c r="C3642" t="str">
        <f>CHOOSE(MATCH(B3642, {20,25,30,35,40,45,50,55,60,65,70,75,80,85}, 1), "20-24", "25-29", "30-34", "35-39", "40-44", "45-49", "50-54", "55-59", "60-64", "65-69", "70-74", "75-79", "80-84", "85+")</f>
        <v>35-39</v>
      </c>
      <c r="D3642" t="s">
        <v>8</v>
      </c>
    </row>
    <row r="3643" spans="1:4">
      <c r="A3643" t="s">
        <v>6</v>
      </c>
      <c r="B3643">
        <v>55</v>
      </c>
      <c r="C3643" t="str">
        <f>CHOOSE(MATCH(B3643, {20,25,30,35,40,45,50,55,60,65,70,75,80,85}, 1), "20-24", "25-29", "30-34", "35-39", "40-44", "45-49", "50-54", "55-59", "60-64", "65-69", "70-74", "75-79", "80-84", "85+")</f>
        <v>55-59</v>
      </c>
      <c r="D3643" t="s">
        <v>7</v>
      </c>
    </row>
    <row r="3644" spans="1:4">
      <c r="A3644" t="s">
        <v>6</v>
      </c>
      <c r="B3644">
        <v>68</v>
      </c>
      <c r="C3644" t="str">
        <f>CHOOSE(MATCH(B3644, {20,25,30,35,40,45,50,55,60,65,70,75,80,85}, 1), "20-24", "25-29", "30-34", "35-39", "40-44", "45-49", "50-54", "55-59", "60-64", "65-69", "70-74", "75-79", "80-84", "85+")</f>
        <v>65-69</v>
      </c>
      <c r="D3644" t="s">
        <v>8</v>
      </c>
    </row>
    <row r="3645" spans="1:4">
      <c r="A3645" t="s">
        <v>6</v>
      </c>
      <c r="B3645">
        <v>54</v>
      </c>
      <c r="C3645" t="str">
        <f>CHOOSE(MATCH(B3645, {20,25,30,35,40,45,50,55,60,65,70,75,80,85}, 1), "20-24", "25-29", "30-34", "35-39", "40-44", "45-49", "50-54", "55-59", "60-64", "65-69", "70-74", "75-79", "80-84", "85+")</f>
        <v>50-54</v>
      </c>
      <c r="D3645" t="s">
        <v>7</v>
      </c>
    </row>
    <row r="3646" spans="1:4">
      <c r="A3646" t="s">
        <v>6</v>
      </c>
      <c r="B3646">
        <v>26</v>
      </c>
      <c r="C3646" t="str">
        <f>CHOOSE(MATCH(B3646, {20,25,30,35,40,45,50,55,60,65,70,75,80,85}, 1), "20-24", "25-29", "30-34", "35-39", "40-44", "45-49", "50-54", "55-59", "60-64", "65-69", "70-74", "75-79", "80-84", "85+")</f>
        <v>25-29</v>
      </c>
      <c r="D3646" t="s">
        <v>8</v>
      </c>
    </row>
    <row r="3647" spans="1:4">
      <c r="A3647" t="s">
        <v>6</v>
      </c>
      <c r="B3647">
        <v>61</v>
      </c>
      <c r="C3647" t="str">
        <f>CHOOSE(MATCH(B3647, {20,25,30,35,40,45,50,55,60,65,70,75,80,85}, 1), "20-24", "25-29", "30-34", "35-39", "40-44", "45-49", "50-54", "55-59", "60-64", "65-69", "70-74", "75-79", "80-84", "85+")</f>
        <v>60-64</v>
      </c>
      <c r="D3647" t="s">
        <v>8</v>
      </c>
    </row>
    <row r="3648" spans="1:4">
      <c r="A3648" t="s">
        <v>6</v>
      </c>
      <c r="B3648">
        <v>36</v>
      </c>
      <c r="C3648" t="str">
        <f>CHOOSE(MATCH(B3648, {20,25,30,35,40,45,50,55,60,65,70,75,80,85}, 1), "20-24", "25-29", "30-34", "35-39", "40-44", "45-49", "50-54", "55-59", "60-64", "65-69", "70-74", "75-79", "80-84", "85+")</f>
        <v>35-39</v>
      </c>
      <c r="D3648" t="s">
        <v>8</v>
      </c>
    </row>
    <row r="3649" spans="1:4">
      <c r="A3649" t="s">
        <v>6</v>
      </c>
      <c r="B3649">
        <v>38</v>
      </c>
      <c r="C3649" t="str">
        <f>CHOOSE(MATCH(B3649, {20,25,30,35,40,45,50,55,60,65,70,75,80,85}, 1), "20-24", "25-29", "30-34", "35-39", "40-44", "45-49", "50-54", "55-59", "60-64", "65-69", "70-74", "75-79", "80-84", "85+")</f>
        <v>35-39</v>
      </c>
      <c r="D3649" t="s">
        <v>7</v>
      </c>
    </row>
    <row r="3650" spans="1:4">
      <c r="A3650" t="s">
        <v>6</v>
      </c>
      <c r="B3650">
        <v>32</v>
      </c>
      <c r="C3650" t="str">
        <f>CHOOSE(MATCH(B3650, {20,25,30,35,40,45,50,55,60,65,70,75,80,85}, 1), "20-24", "25-29", "30-34", "35-39", "40-44", "45-49", "50-54", "55-59", "60-64", "65-69", "70-74", "75-79", "80-84", "85+")</f>
        <v>30-34</v>
      </c>
      <c r="D3650" t="s">
        <v>7</v>
      </c>
    </row>
    <row r="3651" spans="1:4">
      <c r="A3651" t="s">
        <v>6</v>
      </c>
      <c r="B3651">
        <v>72</v>
      </c>
      <c r="C3651" t="str">
        <f>CHOOSE(MATCH(B3651, {20,25,30,35,40,45,50,55,60,65,70,75,80,85}, 1), "20-24", "25-29", "30-34", "35-39", "40-44", "45-49", "50-54", "55-59", "60-64", "65-69", "70-74", "75-79", "80-84", "85+")</f>
        <v>70-74</v>
      </c>
      <c r="D3651" t="s">
        <v>7</v>
      </c>
    </row>
    <row r="3652" spans="1:4">
      <c r="A3652" t="s">
        <v>6</v>
      </c>
      <c r="B3652">
        <v>38</v>
      </c>
      <c r="C3652" t="str">
        <f>CHOOSE(MATCH(B3652, {20,25,30,35,40,45,50,55,60,65,70,75,80,85}, 1), "20-24", "25-29", "30-34", "35-39", "40-44", "45-49", "50-54", "55-59", "60-64", "65-69", "70-74", "75-79", "80-84", "85+")</f>
        <v>35-39</v>
      </c>
      <c r="D3652" t="s">
        <v>7</v>
      </c>
    </row>
    <row r="3653" spans="1:4">
      <c r="A3653" t="s">
        <v>6</v>
      </c>
      <c r="B3653">
        <v>29</v>
      </c>
      <c r="C3653" t="str">
        <f>CHOOSE(MATCH(B3653, {20,25,30,35,40,45,50,55,60,65,70,75,80,85}, 1), "20-24", "25-29", "30-34", "35-39", "40-44", "45-49", "50-54", "55-59", "60-64", "65-69", "70-74", "75-79", "80-84", "85+")</f>
        <v>25-29</v>
      </c>
      <c r="D3653" t="s">
        <v>8</v>
      </c>
    </row>
    <row r="3654" spans="1:4">
      <c r="A3654" t="s">
        <v>6</v>
      </c>
      <c r="B3654">
        <v>35</v>
      </c>
      <c r="C3654" t="str">
        <f>CHOOSE(MATCH(B3654, {20,25,30,35,40,45,50,55,60,65,70,75,80,85}, 1), "20-24", "25-29", "30-34", "35-39", "40-44", "45-49", "50-54", "55-59", "60-64", "65-69", "70-74", "75-79", "80-84", "85+")</f>
        <v>35-39</v>
      </c>
      <c r="D3654" t="s">
        <v>8</v>
      </c>
    </row>
    <row r="3655" spans="1:4">
      <c r="A3655" t="s">
        <v>6</v>
      </c>
      <c r="B3655">
        <v>22</v>
      </c>
      <c r="C3655" t="str">
        <f>CHOOSE(MATCH(B3655, {20,25,30,35,40,45,50,55,60,65,70,75,80,85}, 1), "20-24", "25-29", "30-34", "35-39", "40-44", "45-49", "50-54", "55-59", "60-64", "65-69", "70-74", "75-79", "80-84", "85+")</f>
        <v>20-24</v>
      </c>
      <c r="D3655" t="s">
        <v>7</v>
      </c>
    </row>
    <row r="3656" spans="1:4">
      <c r="A3656" t="s">
        <v>6</v>
      </c>
      <c r="B3656">
        <v>37</v>
      </c>
      <c r="C3656" t="str">
        <f>CHOOSE(MATCH(B3656, {20,25,30,35,40,45,50,55,60,65,70,75,80,85}, 1), "20-24", "25-29", "30-34", "35-39", "40-44", "45-49", "50-54", "55-59", "60-64", "65-69", "70-74", "75-79", "80-84", "85+")</f>
        <v>35-39</v>
      </c>
      <c r="D3656" t="s">
        <v>7</v>
      </c>
    </row>
    <row r="3657" spans="1:4">
      <c r="A3657" t="s">
        <v>6</v>
      </c>
      <c r="B3657">
        <v>59</v>
      </c>
      <c r="C3657" t="str">
        <f>CHOOSE(MATCH(B3657, {20,25,30,35,40,45,50,55,60,65,70,75,80,85}, 1), "20-24", "25-29", "30-34", "35-39", "40-44", "45-49", "50-54", "55-59", "60-64", "65-69", "70-74", "75-79", "80-84", "85+")</f>
        <v>55-59</v>
      </c>
      <c r="D3657" t="s">
        <v>7</v>
      </c>
    </row>
    <row r="3658" spans="1:4">
      <c r="A3658" t="s">
        <v>6</v>
      </c>
      <c r="B3658">
        <v>36</v>
      </c>
      <c r="C3658" t="str">
        <f>CHOOSE(MATCH(B3658, {20,25,30,35,40,45,50,55,60,65,70,75,80,85}, 1), "20-24", "25-29", "30-34", "35-39", "40-44", "45-49", "50-54", "55-59", "60-64", "65-69", "70-74", "75-79", "80-84", "85+")</f>
        <v>35-39</v>
      </c>
      <c r="D3658" t="s">
        <v>7</v>
      </c>
    </row>
    <row r="3659" spans="1:4">
      <c r="A3659" t="s">
        <v>6</v>
      </c>
      <c r="B3659">
        <v>44</v>
      </c>
      <c r="C3659" t="str">
        <f>CHOOSE(MATCH(B3659, {20,25,30,35,40,45,50,55,60,65,70,75,80,85}, 1), "20-24", "25-29", "30-34", "35-39", "40-44", "45-49", "50-54", "55-59", "60-64", "65-69", "70-74", "75-79", "80-84", "85+")</f>
        <v>40-44</v>
      </c>
      <c r="D3659" t="s">
        <v>8</v>
      </c>
    </row>
    <row r="3660" spans="1:4">
      <c r="A3660" t="s">
        <v>6</v>
      </c>
      <c r="B3660">
        <v>35</v>
      </c>
      <c r="C3660" t="str">
        <f>CHOOSE(MATCH(B3660, {20,25,30,35,40,45,50,55,60,65,70,75,80,85}, 1), "20-24", "25-29", "30-34", "35-39", "40-44", "45-49", "50-54", "55-59", "60-64", "65-69", "70-74", "75-79", "80-84", "85+")</f>
        <v>35-39</v>
      </c>
      <c r="D3660" t="s">
        <v>7</v>
      </c>
    </row>
    <row r="3661" spans="1:4">
      <c r="A3661" t="s">
        <v>6</v>
      </c>
      <c r="B3661">
        <v>34</v>
      </c>
      <c r="C3661" t="str">
        <f>CHOOSE(MATCH(B3661, {20,25,30,35,40,45,50,55,60,65,70,75,80,85}, 1), "20-24", "25-29", "30-34", "35-39", "40-44", "45-49", "50-54", "55-59", "60-64", "65-69", "70-74", "75-79", "80-84", "85+")</f>
        <v>30-34</v>
      </c>
      <c r="D3661" t="s">
        <v>8</v>
      </c>
    </row>
    <row r="3662" spans="1:4">
      <c r="A3662" t="s">
        <v>6</v>
      </c>
      <c r="B3662">
        <v>54</v>
      </c>
      <c r="C3662" t="str">
        <f>CHOOSE(MATCH(B3662, {20,25,30,35,40,45,50,55,60,65,70,75,80,85}, 1), "20-24", "25-29", "30-34", "35-39", "40-44", "45-49", "50-54", "55-59", "60-64", "65-69", "70-74", "75-79", "80-84", "85+")</f>
        <v>50-54</v>
      </c>
      <c r="D3662" t="s">
        <v>7</v>
      </c>
    </row>
    <row r="3663" spans="1:4">
      <c r="A3663" t="s">
        <v>6</v>
      </c>
      <c r="B3663">
        <v>57</v>
      </c>
      <c r="C3663" t="str">
        <f>CHOOSE(MATCH(B3663, {20,25,30,35,40,45,50,55,60,65,70,75,80,85}, 1), "20-24", "25-29", "30-34", "35-39", "40-44", "45-49", "50-54", "55-59", "60-64", "65-69", "70-74", "75-79", "80-84", "85+")</f>
        <v>55-59</v>
      </c>
      <c r="D3663" t="s">
        <v>8</v>
      </c>
    </row>
    <row r="3664" spans="1:4">
      <c r="A3664" t="s">
        <v>6</v>
      </c>
      <c r="B3664">
        <v>28</v>
      </c>
      <c r="C3664" t="str">
        <f>CHOOSE(MATCH(B3664, {20,25,30,35,40,45,50,55,60,65,70,75,80,85}, 1), "20-24", "25-29", "30-34", "35-39", "40-44", "45-49", "50-54", "55-59", "60-64", "65-69", "70-74", "75-79", "80-84", "85+")</f>
        <v>25-29</v>
      </c>
      <c r="D3664" t="s">
        <v>7</v>
      </c>
    </row>
    <row r="3665" spans="1:4">
      <c r="A3665" t="s">
        <v>6</v>
      </c>
      <c r="B3665">
        <v>68</v>
      </c>
      <c r="C3665" t="str">
        <f>CHOOSE(MATCH(B3665, {20,25,30,35,40,45,50,55,60,65,70,75,80,85}, 1), "20-24", "25-29", "30-34", "35-39", "40-44", "45-49", "50-54", "55-59", "60-64", "65-69", "70-74", "75-79", "80-84", "85+")</f>
        <v>65-69</v>
      </c>
      <c r="D3665" t="s">
        <v>7</v>
      </c>
    </row>
    <row r="3666" spans="1:4">
      <c r="A3666" t="s">
        <v>6</v>
      </c>
      <c r="B3666">
        <v>62</v>
      </c>
      <c r="C3666" t="str">
        <f>CHOOSE(MATCH(B3666, {20,25,30,35,40,45,50,55,60,65,70,75,80,85}, 1), "20-24", "25-29", "30-34", "35-39", "40-44", "45-49", "50-54", "55-59", "60-64", "65-69", "70-74", "75-79", "80-84", "85+")</f>
        <v>60-64</v>
      </c>
      <c r="D3666" t="s">
        <v>7</v>
      </c>
    </row>
    <row r="3667" spans="1:4">
      <c r="A3667" t="s">
        <v>6</v>
      </c>
      <c r="B3667">
        <v>35</v>
      </c>
      <c r="C3667" t="str">
        <f>CHOOSE(MATCH(B3667, {20,25,30,35,40,45,50,55,60,65,70,75,80,85}, 1), "20-24", "25-29", "30-34", "35-39", "40-44", "45-49", "50-54", "55-59", "60-64", "65-69", "70-74", "75-79", "80-84", "85+")</f>
        <v>35-39</v>
      </c>
      <c r="D3667" t="s">
        <v>8</v>
      </c>
    </row>
    <row r="3668" spans="1:4">
      <c r="A3668" t="s">
        <v>6</v>
      </c>
      <c r="B3668">
        <v>66</v>
      </c>
      <c r="C3668" t="str">
        <f>CHOOSE(MATCH(B3668, {20,25,30,35,40,45,50,55,60,65,70,75,80,85}, 1), "20-24", "25-29", "30-34", "35-39", "40-44", "45-49", "50-54", "55-59", "60-64", "65-69", "70-74", "75-79", "80-84", "85+")</f>
        <v>65-69</v>
      </c>
      <c r="D3668" t="s">
        <v>7</v>
      </c>
    </row>
    <row r="3669" spans="1:4">
      <c r="A3669" t="s">
        <v>6</v>
      </c>
      <c r="B3669">
        <v>50</v>
      </c>
      <c r="C3669" t="str">
        <f>CHOOSE(MATCH(B3669, {20,25,30,35,40,45,50,55,60,65,70,75,80,85}, 1), "20-24", "25-29", "30-34", "35-39", "40-44", "45-49", "50-54", "55-59", "60-64", "65-69", "70-74", "75-79", "80-84", "85+")</f>
        <v>50-54</v>
      </c>
      <c r="D3669" t="s">
        <v>7</v>
      </c>
    </row>
    <row r="3670" spans="1:4">
      <c r="A3670" t="s">
        <v>6</v>
      </c>
      <c r="B3670">
        <v>31</v>
      </c>
      <c r="C3670" t="str">
        <f>CHOOSE(MATCH(B3670, {20,25,30,35,40,45,50,55,60,65,70,75,80,85}, 1), "20-24", "25-29", "30-34", "35-39", "40-44", "45-49", "50-54", "55-59", "60-64", "65-69", "70-74", "75-79", "80-84", "85+")</f>
        <v>30-34</v>
      </c>
      <c r="D3670" t="s">
        <v>7</v>
      </c>
    </row>
    <row r="3671" spans="1:4">
      <c r="A3671" t="s">
        <v>6</v>
      </c>
      <c r="B3671">
        <v>29</v>
      </c>
      <c r="C3671" t="str">
        <f>CHOOSE(MATCH(B3671, {20,25,30,35,40,45,50,55,60,65,70,75,80,85}, 1), "20-24", "25-29", "30-34", "35-39", "40-44", "45-49", "50-54", "55-59", "60-64", "65-69", "70-74", "75-79", "80-84", "85+")</f>
        <v>25-29</v>
      </c>
      <c r="D3671" t="s">
        <v>7</v>
      </c>
    </row>
    <row r="3672" spans="1:4">
      <c r="A3672" t="s">
        <v>6</v>
      </c>
      <c r="B3672">
        <v>26</v>
      </c>
      <c r="C3672" t="str">
        <f>CHOOSE(MATCH(B3672, {20,25,30,35,40,45,50,55,60,65,70,75,80,85}, 1), "20-24", "25-29", "30-34", "35-39", "40-44", "45-49", "50-54", "55-59", "60-64", "65-69", "70-74", "75-79", "80-84", "85+")</f>
        <v>25-29</v>
      </c>
      <c r="D3672" t="s">
        <v>7</v>
      </c>
    </row>
    <row r="3673" spans="1:4">
      <c r="A3673" t="s">
        <v>6</v>
      </c>
      <c r="B3673">
        <v>36</v>
      </c>
      <c r="C3673" t="str">
        <f>CHOOSE(MATCH(B3673, {20,25,30,35,40,45,50,55,60,65,70,75,80,85}, 1), "20-24", "25-29", "30-34", "35-39", "40-44", "45-49", "50-54", "55-59", "60-64", "65-69", "70-74", "75-79", "80-84", "85+")</f>
        <v>35-39</v>
      </c>
      <c r="D3673" t="s">
        <v>7</v>
      </c>
    </row>
    <row r="3674" spans="1:4">
      <c r="A3674" t="s">
        <v>6</v>
      </c>
      <c r="B3674">
        <v>27</v>
      </c>
      <c r="C3674" t="str">
        <f>CHOOSE(MATCH(B3674, {20,25,30,35,40,45,50,55,60,65,70,75,80,85}, 1), "20-24", "25-29", "30-34", "35-39", "40-44", "45-49", "50-54", "55-59", "60-64", "65-69", "70-74", "75-79", "80-84", "85+")</f>
        <v>25-29</v>
      </c>
      <c r="D3674" t="s">
        <v>7</v>
      </c>
    </row>
    <row r="3675" spans="1:4">
      <c r="A3675" t="s">
        <v>6</v>
      </c>
      <c r="B3675">
        <v>32</v>
      </c>
      <c r="C3675" t="str">
        <f>CHOOSE(MATCH(B3675, {20,25,30,35,40,45,50,55,60,65,70,75,80,85}, 1), "20-24", "25-29", "30-34", "35-39", "40-44", "45-49", "50-54", "55-59", "60-64", "65-69", "70-74", "75-79", "80-84", "85+")</f>
        <v>30-34</v>
      </c>
      <c r="D3675" t="s">
        <v>7</v>
      </c>
    </row>
    <row r="3676" spans="1:4">
      <c r="A3676" t="s">
        <v>6</v>
      </c>
      <c r="B3676">
        <v>30</v>
      </c>
      <c r="C3676" t="str">
        <f>CHOOSE(MATCH(B3676, {20,25,30,35,40,45,50,55,60,65,70,75,80,85}, 1), "20-24", "25-29", "30-34", "35-39", "40-44", "45-49", "50-54", "55-59", "60-64", "65-69", "70-74", "75-79", "80-84", "85+")</f>
        <v>30-34</v>
      </c>
      <c r="D3676" t="s">
        <v>8</v>
      </c>
    </row>
    <row r="3677" spans="1:4">
      <c r="A3677" t="s">
        <v>6</v>
      </c>
      <c r="B3677">
        <v>27</v>
      </c>
      <c r="C3677" t="str">
        <f>CHOOSE(MATCH(B3677, {20,25,30,35,40,45,50,55,60,65,70,75,80,85}, 1), "20-24", "25-29", "30-34", "35-39", "40-44", "45-49", "50-54", "55-59", "60-64", "65-69", "70-74", "75-79", "80-84", "85+")</f>
        <v>25-29</v>
      </c>
      <c r="D3677" t="s">
        <v>7</v>
      </c>
    </row>
    <row r="3678" spans="1:4">
      <c r="A3678" t="s">
        <v>6</v>
      </c>
      <c r="B3678">
        <v>61</v>
      </c>
      <c r="C3678" t="str">
        <f>CHOOSE(MATCH(B3678, {20,25,30,35,40,45,50,55,60,65,70,75,80,85}, 1), "20-24", "25-29", "30-34", "35-39", "40-44", "45-49", "50-54", "55-59", "60-64", "65-69", "70-74", "75-79", "80-84", "85+")</f>
        <v>60-64</v>
      </c>
      <c r="D3678" t="s">
        <v>7</v>
      </c>
    </row>
    <row r="3679" spans="1:4">
      <c r="A3679" t="s">
        <v>6</v>
      </c>
      <c r="B3679">
        <v>23</v>
      </c>
      <c r="C3679" t="str">
        <f>CHOOSE(MATCH(B3679, {20,25,30,35,40,45,50,55,60,65,70,75,80,85}, 1), "20-24", "25-29", "30-34", "35-39", "40-44", "45-49", "50-54", "55-59", "60-64", "65-69", "70-74", "75-79", "80-84", "85+")</f>
        <v>20-24</v>
      </c>
      <c r="D3679" t="s">
        <v>8</v>
      </c>
    </row>
    <row r="3680" spans="1:4">
      <c r="A3680" t="s">
        <v>6</v>
      </c>
      <c r="B3680">
        <v>51</v>
      </c>
      <c r="C3680" t="str">
        <f>CHOOSE(MATCH(B3680, {20,25,30,35,40,45,50,55,60,65,70,75,80,85}, 1), "20-24", "25-29", "30-34", "35-39", "40-44", "45-49", "50-54", "55-59", "60-64", "65-69", "70-74", "75-79", "80-84", "85+")</f>
        <v>50-54</v>
      </c>
      <c r="D3680" t="s">
        <v>7</v>
      </c>
    </row>
    <row r="3681" spans="1:4">
      <c r="A3681" t="s">
        <v>6</v>
      </c>
      <c r="B3681">
        <v>48</v>
      </c>
      <c r="C3681" t="str">
        <f>CHOOSE(MATCH(B3681, {20,25,30,35,40,45,50,55,60,65,70,75,80,85}, 1), "20-24", "25-29", "30-34", "35-39", "40-44", "45-49", "50-54", "55-59", "60-64", "65-69", "70-74", "75-79", "80-84", "85+")</f>
        <v>45-49</v>
      </c>
      <c r="D3681" t="s">
        <v>8</v>
      </c>
    </row>
    <row r="3682" spans="1:4">
      <c r="A3682" t="s">
        <v>6</v>
      </c>
      <c r="B3682">
        <v>63</v>
      </c>
      <c r="C3682" t="str">
        <f>CHOOSE(MATCH(B3682, {20,25,30,35,40,45,50,55,60,65,70,75,80,85}, 1), "20-24", "25-29", "30-34", "35-39", "40-44", "45-49", "50-54", "55-59", "60-64", "65-69", "70-74", "75-79", "80-84", "85+")</f>
        <v>60-64</v>
      </c>
      <c r="D3682" t="s">
        <v>7</v>
      </c>
    </row>
    <row r="3683" spans="1:4">
      <c r="A3683" t="s">
        <v>6</v>
      </c>
      <c r="B3683">
        <v>25</v>
      </c>
      <c r="C3683" t="str">
        <f>CHOOSE(MATCH(B3683, {20,25,30,35,40,45,50,55,60,65,70,75,80,85}, 1), "20-24", "25-29", "30-34", "35-39", "40-44", "45-49", "50-54", "55-59", "60-64", "65-69", "70-74", "75-79", "80-84", "85+")</f>
        <v>25-29</v>
      </c>
      <c r="D3683" t="s">
        <v>7</v>
      </c>
    </row>
    <row r="3684" spans="1:4">
      <c r="A3684" t="s">
        <v>6</v>
      </c>
      <c r="B3684">
        <v>37</v>
      </c>
      <c r="C3684" t="str">
        <f>CHOOSE(MATCH(B3684, {20,25,30,35,40,45,50,55,60,65,70,75,80,85}, 1), "20-24", "25-29", "30-34", "35-39", "40-44", "45-49", "50-54", "55-59", "60-64", "65-69", "70-74", "75-79", "80-84", "85+")</f>
        <v>35-39</v>
      </c>
      <c r="D3684" t="s">
        <v>8</v>
      </c>
    </row>
    <row r="3685" spans="1:4">
      <c r="A3685" t="s">
        <v>6</v>
      </c>
      <c r="B3685">
        <v>35</v>
      </c>
      <c r="C3685" t="str">
        <f>CHOOSE(MATCH(B3685, {20,25,30,35,40,45,50,55,60,65,70,75,80,85}, 1), "20-24", "25-29", "30-34", "35-39", "40-44", "45-49", "50-54", "55-59", "60-64", "65-69", "70-74", "75-79", "80-84", "85+")</f>
        <v>35-39</v>
      </c>
      <c r="D3685" t="s">
        <v>8</v>
      </c>
    </row>
    <row r="3686" spans="1:4">
      <c r="A3686" t="s">
        <v>6</v>
      </c>
      <c r="B3686">
        <v>60</v>
      </c>
      <c r="C3686" t="str">
        <f>CHOOSE(MATCH(B3686, {20,25,30,35,40,45,50,55,60,65,70,75,80,85}, 1), "20-24", "25-29", "30-34", "35-39", "40-44", "45-49", "50-54", "55-59", "60-64", "65-69", "70-74", "75-79", "80-84", "85+")</f>
        <v>60-64</v>
      </c>
      <c r="D3686" t="s">
        <v>8</v>
      </c>
    </row>
    <row r="3687" spans="1:4">
      <c r="A3687" t="s">
        <v>6</v>
      </c>
      <c r="B3687">
        <v>42</v>
      </c>
      <c r="C3687" t="str">
        <f>CHOOSE(MATCH(B3687, {20,25,30,35,40,45,50,55,60,65,70,75,80,85}, 1), "20-24", "25-29", "30-34", "35-39", "40-44", "45-49", "50-54", "55-59", "60-64", "65-69", "70-74", "75-79", "80-84", "85+")</f>
        <v>40-44</v>
      </c>
      <c r="D3687" t="s">
        <v>7</v>
      </c>
    </row>
    <row r="3688" spans="1:4">
      <c r="A3688" t="s">
        <v>6</v>
      </c>
      <c r="B3688">
        <v>39</v>
      </c>
      <c r="C3688" t="str">
        <f>CHOOSE(MATCH(B3688, {20,25,30,35,40,45,50,55,60,65,70,75,80,85}, 1), "20-24", "25-29", "30-34", "35-39", "40-44", "45-49", "50-54", "55-59", "60-64", "65-69", "70-74", "75-79", "80-84", "85+")</f>
        <v>35-39</v>
      </c>
      <c r="D3688" t="s">
        <v>7</v>
      </c>
    </row>
    <row r="3689" spans="1:4">
      <c r="A3689" t="s">
        <v>6</v>
      </c>
      <c r="B3689">
        <v>50</v>
      </c>
      <c r="C3689" t="str">
        <f>CHOOSE(MATCH(B3689, {20,25,30,35,40,45,50,55,60,65,70,75,80,85}, 1), "20-24", "25-29", "30-34", "35-39", "40-44", "45-49", "50-54", "55-59", "60-64", "65-69", "70-74", "75-79", "80-84", "85+")</f>
        <v>50-54</v>
      </c>
      <c r="D3689" t="s">
        <v>7</v>
      </c>
    </row>
    <row r="3690" spans="1:4">
      <c r="A3690" t="s">
        <v>6</v>
      </c>
      <c r="B3690">
        <v>32</v>
      </c>
      <c r="C3690" t="str">
        <f>CHOOSE(MATCH(B3690, {20,25,30,35,40,45,50,55,60,65,70,75,80,85}, 1), "20-24", "25-29", "30-34", "35-39", "40-44", "45-49", "50-54", "55-59", "60-64", "65-69", "70-74", "75-79", "80-84", "85+")</f>
        <v>30-34</v>
      </c>
      <c r="D3690" t="s">
        <v>7</v>
      </c>
    </row>
    <row r="3691" spans="1:4">
      <c r="A3691" t="s">
        <v>6</v>
      </c>
      <c r="B3691">
        <v>29</v>
      </c>
      <c r="C3691" t="str">
        <f>CHOOSE(MATCH(B3691, {20,25,30,35,40,45,50,55,60,65,70,75,80,85}, 1), "20-24", "25-29", "30-34", "35-39", "40-44", "45-49", "50-54", "55-59", "60-64", "65-69", "70-74", "75-79", "80-84", "85+")</f>
        <v>25-29</v>
      </c>
      <c r="D3691" t="s">
        <v>7</v>
      </c>
    </row>
    <row r="3692" spans="1:4">
      <c r="A3692" t="s">
        <v>6</v>
      </c>
      <c r="B3692">
        <v>46</v>
      </c>
      <c r="C3692" t="str">
        <f>CHOOSE(MATCH(B3692, {20,25,30,35,40,45,50,55,60,65,70,75,80,85}, 1), "20-24", "25-29", "30-34", "35-39", "40-44", "45-49", "50-54", "55-59", "60-64", "65-69", "70-74", "75-79", "80-84", "85+")</f>
        <v>45-49</v>
      </c>
      <c r="D3692" t="s">
        <v>7</v>
      </c>
    </row>
    <row r="3693" spans="1:4">
      <c r="A3693" t="s">
        <v>6</v>
      </c>
      <c r="B3693">
        <v>40</v>
      </c>
      <c r="C3693" t="str">
        <f>CHOOSE(MATCH(B3693, {20,25,30,35,40,45,50,55,60,65,70,75,80,85}, 1), "20-24", "25-29", "30-34", "35-39", "40-44", "45-49", "50-54", "55-59", "60-64", "65-69", "70-74", "75-79", "80-84", "85+")</f>
        <v>40-44</v>
      </c>
      <c r="D3693" t="s">
        <v>7</v>
      </c>
    </row>
    <row r="3694" spans="1:4">
      <c r="A3694" t="s">
        <v>6</v>
      </c>
      <c r="B3694">
        <v>29</v>
      </c>
      <c r="C3694" t="str">
        <f>CHOOSE(MATCH(B3694, {20,25,30,35,40,45,50,55,60,65,70,75,80,85}, 1), "20-24", "25-29", "30-34", "35-39", "40-44", "45-49", "50-54", "55-59", "60-64", "65-69", "70-74", "75-79", "80-84", "85+")</f>
        <v>25-29</v>
      </c>
      <c r="D3694" t="s">
        <v>8</v>
      </c>
    </row>
    <row r="3695" spans="1:4">
      <c r="A3695" t="s">
        <v>6</v>
      </c>
      <c r="B3695">
        <v>28</v>
      </c>
      <c r="C3695" t="str">
        <f>CHOOSE(MATCH(B3695, {20,25,30,35,40,45,50,55,60,65,70,75,80,85}, 1), "20-24", "25-29", "30-34", "35-39", "40-44", "45-49", "50-54", "55-59", "60-64", "65-69", "70-74", "75-79", "80-84", "85+")</f>
        <v>25-29</v>
      </c>
      <c r="D3695" t="s">
        <v>7</v>
      </c>
    </row>
    <row r="3696" spans="1:4">
      <c r="A3696" t="s">
        <v>6</v>
      </c>
      <c r="B3696">
        <v>34</v>
      </c>
      <c r="C3696" t="str">
        <f>CHOOSE(MATCH(B3696, {20,25,30,35,40,45,50,55,60,65,70,75,80,85}, 1), "20-24", "25-29", "30-34", "35-39", "40-44", "45-49", "50-54", "55-59", "60-64", "65-69", "70-74", "75-79", "80-84", "85+")</f>
        <v>30-34</v>
      </c>
      <c r="D3696" t="s">
        <v>8</v>
      </c>
    </row>
    <row r="3697" spans="1:4">
      <c r="A3697" t="s">
        <v>6</v>
      </c>
      <c r="B3697">
        <v>38</v>
      </c>
      <c r="C3697" t="str">
        <f>CHOOSE(MATCH(B3697, {20,25,30,35,40,45,50,55,60,65,70,75,80,85}, 1), "20-24", "25-29", "30-34", "35-39", "40-44", "45-49", "50-54", "55-59", "60-64", "65-69", "70-74", "75-79", "80-84", "85+")</f>
        <v>35-39</v>
      </c>
      <c r="D3697" t="s">
        <v>7</v>
      </c>
    </row>
    <row r="3698" spans="1:4">
      <c r="A3698" t="s">
        <v>6</v>
      </c>
      <c r="B3698">
        <v>21</v>
      </c>
      <c r="C3698" t="str">
        <f>CHOOSE(MATCH(B3698, {20,25,30,35,40,45,50,55,60,65,70,75,80,85}, 1), "20-24", "25-29", "30-34", "35-39", "40-44", "45-49", "50-54", "55-59", "60-64", "65-69", "70-74", "75-79", "80-84", "85+")</f>
        <v>20-24</v>
      </c>
      <c r="D3698" t="s">
        <v>8</v>
      </c>
    </row>
    <row r="3699" spans="1:4">
      <c r="A3699" t="s">
        <v>6</v>
      </c>
      <c r="B3699">
        <v>38</v>
      </c>
      <c r="C3699" t="str">
        <f>CHOOSE(MATCH(B3699, {20,25,30,35,40,45,50,55,60,65,70,75,80,85}, 1), "20-24", "25-29", "30-34", "35-39", "40-44", "45-49", "50-54", "55-59", "60-64", "65-69", "70-74", "75-79", "80-84", "85+")</f>
        <v>35-39</v>
      </c>
      <c r="D3699" t="s">
        <v>7</v>
      </c>
    </row>
    <row r="3700" spans="1:4">
      <c r="A3700" t="s">
        <v>6</v>
      </c>
      <c r="B3700">
        <v>23</v>
      </c>
      <c r="C3700" t="str">
        <f>CHOOSE(MATCH(B3700, {20,25,30,35,40,45,50,55,60,65,70,75,80,85}, 1), "20-24", "25-29", "30-34", "35-39", "40-44", "45-49", "50-54", "55-59", "60-64", "65-69", "70-74", "75-79", "80-84", "85+")</f>
        <v>20-24</v>
      </c>
      <c r="D3700" t="s">
        <v>8</v>
      </c>
    </row>
    <row r="3701" spans="1:4">
      <c r="A3701" t="s">
        <v>6</v>
      </c>
      <c r="B3701">
        <v>26</v>
      </c>
      <c r="C3701" t="str">
        <f>CHOOSE(MATCH(B3701, {20,25,30,35,40,45,50,55,60,65,70,75,80,85}, 1), "20-24", "25-29", "30-34", "35-39", "40-44", "45-49", "50-54", "55-59", "60-64", "65-69", "70-74", "75-79", "80-84", "85+")</f>
        <v>25-29</v>
      </c>
      <c r="D3701" t="s">
        <v>8</v>
      </c>
    </row>
    <row r="3702" spans="1:4">
      <c r="A3702" t="s">
        <v>6</v>
      </c>
      <c r="B3702">
        <v>70</v>
      </c>
      <c r="C3702" t="str">
        <f>CHOOSE(MATCH(B3702, {20,25,30,35,40,45,50,55,60,65,70,75,80,85}, 1), "20-24", "25-29", "30-34", "35-39", "40-44", "45-49", "50-54", "55-59", "60-64", "65-69", "70-74", "75-79", "80-84", "85+")</f>
        <v>70-74</v>
      </c>
      <c r="D3702" t="s">
        <v>7</v>
      </c>
    </row>
    <row r="3703" spans="1:4">
      <c r="A3703" t="s">
        <v>6</v>
      </c>
      <c r="B3703">
        <v>52</v>
      </c>
      <c r="C3703" t="str">
        <f>CHOOSE(MATCH(B3703, {20,25,30,35,40,45,50,55,60,65,70,75,80,85}, 1), "20-24", "25-29", "30-34", "35-39", "40-44", "45-49", "50-54", "55-59", "60-64", "65-69", "70-74", "75-79", "80-84", "85+")</f>
        <v>50-54</v>
      </c>
      <c r="D3703" t="s">
        <v>8</v>
      </c>
    </row>
    <row r="3704" spans="1:4">
      <c r="A3704" t="s">
        <v>6</v>
      </c>
      <c r="B3704">
        <v>51</v>
      </c>
      <c r="C3704" t="str">
        <f>CHOOSE(MATCH(B3704, {20,25,30,35,40,45,50,55,60,65,70,75,80,85}, 1), "20-24", "25-29", "30-34", "35-39", "40-44", "45-49", "50-54", "55-59", "60-64", "65-69", "70-74", "75-79", "80-84", "85+")</f>
        <v>50-54</v>
      </c>
      <c r="D3704" t="s">
        <v>8</v>
      </c>
    </row>
    <row r="3705" spans="1:4">
      <c r="A3705" t="s">
        <v>6</v>
      </c>
      <c r="B3705">
        <v>35</v>
      </c>
      <c r="C3705" t="str">
        <f>CHOOSE(MATCH(B3705, {20,25,30,35,40,45,50,55,60,65,70,75,80,85}, 1), "20-24", "25-29", "30-34", "35-39", "40-44", "45-49", "50-54", "55-59", "60-64", "65-69", "70-74", "75-79", "80-84", "85+")</f>
        <v>35-39</v>
      </c>
      <c r="D3705" t="s">
        <v>7</v>
      </c>
    </row>
    <row r="3706" spans="1:4">
      <c r="A3706" t="s">
        <v>6</v>
      </c>
      <c r="B3706">
        <v>29</v>
      </c>
      <c r="C3706" t="str">
        <f>CHOOSE(MATCH(B3706, {20,25,30,35,40,45,50,55,60,65,70,75,80,85}, 1), "20-24", "25-29", "30-34", "35-39", "40-44", "45-49", "50-54", "55-59", "60-64", "65-69", "70-74", "75-79", "80-84", "85+")</f>
        <v>25-29</v>
      </c>
      <c r="D3706" t="s">
        <v>7</v>
      </c>
    </row>
    <row r="3707" spans="1:4">
      <c r="A3707" t="s">
        <v>6</v>
      </c>
      <c r="B3707">
        <v>69</v>
      </c>
      <c r="C3707" t="str">
        <f>CHOOSE(MATCH(B3707, {20,25,30,35,40,45,50,55,60,65,70,75,80,85}, 1), "20-24", "25-29", "30-34", "35-39", "40-44", "45-49", "50-54", "55-59", "60-64", "65-69", "70-74", "75-79", "80-84", "85+")</f>
        <v>65-69</v>
      </c>
      <c r="D3707" t="s">
        <v>7</v>
      </c>
    </row>
    <row r="3708" spans="1:4">
      <c r="A3708" t="s">
        <v>6</v>
      </c>
      <c r="B3708">
        <v>36</v>
      </c>
      <c r="C3708" t="str">
        <f>CHOOSE(MATCH(B3708, {20,25,30,35,40,45,50,55,60,65,70,75,80,85}, 1), "20-24", "25-29", "30-34", "35-39", "40-44", "45-49", "50-54", "55-59", "60-64", "65-69", "70-74", "75-79", "80-84", "85+")</f>
        <v>35-39</v>
      </c>
      <c r="D3708" t="s">
        <v>7</v>
      </c>
    </row>
    <row r="3709" spans="1:4">
      <c r="A3709" t="s">
        <v>6</v>
      </c>
      <c r="B3709">
        <v>23</v>
      </c>
      <c r="C3709" t="str">
        <f>CHOOSE(MATCH(B3709, {20,25,30,35,40,45,50,55,60,65,70,75,80,85}, 1), "20-24", "25-29", "30-34", "35-39", "40-44", "45-49", "50-54", "55-59", "60-64", "65-69", "70-74", "75-79", "80-84", "85+")</f>
        <v>20-24</v>
      </c>
      <c r="D3709" t="s">
        <v>8</v>
      </c>
    </row>
    <row r="3710" spans="1:4">
      <c r="A3710" t="s">
        <v>6</v>
      </c>
      <c r="B3710">
        <v>29</v>
      </c>
      <c r="C3710" t="str">
        <f>CHOOSE(MATCH(B3710, {20,25,30,35,40,45,50,55,60,65,70,75,80,85}, 1), "20-24", "25-29", "30-34", "35-39", "40-44", "45-49", "50-54", "55-59", "60-64", "65-69", "70-74", "75-79", "80-84", "85+")</f>
        <v>25-29</v>
      </c>
      <c r="D3710" t="s">
        <v>8</v>
      </c>
    </row>
    <row r="3711" spans="1:4">
      <c r="A3711" t="s">
        <v>6</v>
      </c>
      <c r="B3711">
        <v>39</v>
      </c>
      <c r="C3711" t="str">
        <f>CHOOSE(MATCH(B3711, {20,25,30,35,40,45,50,55,60,65,70,75,80,85}, 1), "20-24", "25-29", "30-34", "35-39", "40-44", "45-49", "50-54", "55-59", "60-64", "65-69", "70-74", "75-79", "80-84", "85+")</f>
        <v>35-39</v>
      </c>
      <c r="D3711" t="s">
        <v>8</v>
      </c>
    </row>
    <row r="3712" spans="1:4">
      <c r="A3712" t="s">
        <v>6</v>
      </c>
      <c r="B3712">
        <v>35</v>
      </c>
      <c r="C3712" t="str">
        <f>CHOOSE(MATCH(B3712, {20,25,30,35,40,45,50,55,60,65,70,75,80,85}, 1), "20-24", "25-29", "30-34", "35-39", "40-44", "45-49", "50-54", "55-59", "60-64", "65-69", "70-74", "75-79", "80-84", "85+")</f>
        <v>35-39</v>
      </c>
      <c r="D3712" t="s">
        <v>7</v>
      </c>
    </row>
    <row r="3713" spans="1:4">
      <c r="A3713" t="s">
        <v>6</v>
      </c>
      <c r="B3713">
        <v>35</v>
      </c>
      <c r="C3713" t="str">
        <f>CHOOSE(MATCH(B3713, {20,25,30,35,40,45,50,55,60,65,70,75,80,85}, 1), "20-24", "25-29", "30-34", "35-39", "40-44", "45-49", "50-54", "55-59", "60-64", "65-69", "70-74", "75-79", "80-84", "85+")</f>
        <v>35-39</v>
      </c>
      <c r="D3713" t="s">
        <v>7</v>
      </c>
    </row>
    <row r="3714" spans="1:4">
      <c r="A3714" t="s">
        <v>6</v>
      </c>
      <c r="B3714">
        <v>27</v>
      </c>
      <c r="C3714" t="str">
        <f>CHOOSE(MATCH(B3714, {20,25,30,35,40,45,50,55,60,65,70,75,80,85}, 1), "20-24", "25-29", "30-34", "35-39", "40-44", "45-49", "50-54", "55-59", "60-64", "65-69", "70-74", "75-79", "80-84", "85+")</f>
        <v>25-29</v>
      </c>
      <c r="D3714" t="s">
        <v>7</v>
      </c>
    </row>
    <row r="3715" spans="1:4">
      <c r="A3715" t="s">
        <v>6</v>
      </c>
      <c r="B3715">
        <v>60</v>
      </c>
      <c r="C3715" t="str">
        <f>CHOOSE(MATCH(B3715, {20,25,30,35,40,45,50,55,60,65,70,75,80,85}, 1), "20-24", "25-29", "30-34", "35-39", "40-44", "45-49", "50-54", "55-59", "60-64", "65-69", "70-74", "75-79", "80-84", "85+")</f>
        <v>60-64</v>
      </c>
      <c r="D3715" t="s">
        <v>8</v>
      </c>
    </row>
    <row r="3716" spans="1:4">
      <c r="A3716" t="s">
        <v>6</v>
      </c>
      <c r="B3716">
        <v>29</v>
      </c>
      <c r="C3716" t="str">
        <f>CHOOSE(MATCH(B3716, {20,25,30,35,40,45,50,55,60,65,70,75,80,85}, 1), "20-24", "25-29", "30-34", "35-39", "40-44", "45-49", "50-54", "55-59", "60-64", "65-69", "70-74", "75-79", "80-84", "85+")</f>
        <v>25-29</v>
      </c>
      <c r="D3716" t="s">
        <v>7</v>
      </c>
    </row>
    <row r="3717" spans="1:4">
      <c r="A3717" t="s">
        <v>6</v>
      </c>
      <c r="B3717">
        <v>40</v>
      </c>
      <c r="C3717" t="str">
        <f>CHOOSE(MATCH(B3717, {20,25,30,35,40,45,50,55,60,65,70,75,80,85}, 1), "20-24", "25-29", "30-34", "35-39", "40-44", "45-49", "50-54", "55-59", "60-64", "65-69", "70-74", "75-79", "80-84", "85+")</f>
        <v>40-44</v>
      </c>
      <c r="D3717" t="s">
        <v>7</v>
      </c>
    </row>
    <row r="3718" spans="1:4">
      <c r="A3718" t="s">
        <v>6</v>
      </c>
      <c r="B3718">
        <v>62</v>
      </c>
      <c r="C3718" t="str">
        <f>CHOOSE(MATCH(B3718, {20,25,30,35,40,45,50,55,60,65,70,75,80,85}, 1), "20-24", "25-29", "30-34", "35-39", "40-44", "45-49", "50-54", "55-59", "60-64", "65-69", "70-74", "75-79", "80-84", "85+")</f>
        <v>60-64</v>
      </c>
      <c r="D3718" t="s">
        <v>8</v>
      </c>
    </row>
    <row r="3719" spans="1:4">
      <c r="A3719" t="s">
        <v>6</v>
      </c>
      <c r="B3719">
        <v>64</v>
      </c>
      <c r="C3719" t="str">
        <f>CHOOSE(MATCH(B3719, {20,25,30,35,40,45,50,55,60,65,70,75,80,85}, 1), "20-24", "25-29", "30-34", "35-39", "40-44", "45-49", "50-54", "55-59", "60-64", "65-69", "70-74", "75-79", "80-84", "85+")</f>
        <v>60-64</v>
      </c>
      <c r="D3719" t="s">
        <v>8</v>
      </c>
    </row>
    <row r="3720" spans="1:4">
      <c r="A3720" t="s">
        <v>6</v>
      </c>
      <c r="B3720">
        <v>40</v>
      </c>
      <c r="C3720" t="str">
        <f>CHOOSE(MATCH(B3720, {20,25,30,35,40,45,50,55,60,65,70,75,80,85}, 1), "20-24", "25-29", "30-34", "35-39", "40-44", "45-49", "50-54", "55-59", "60-64", "65-69", "70-74", "75-79", "80-84", "85+")</f>
        <v>40-44</v>
      </c>
      <c r="D3720" t="s">
        <v>8</v>
      </c>
    </row>
    <row r="3721" spans="1:4">
      <c r="A3721" t="s">
        <v>6</v>
      </c>
      <c r="B3721">
        <v>32</v>
      </c>
      <c r="C3721" t="str">
        <f>CHOOSE(MATCH(B3721, {20,25,30,35,40,45,50,55,60,65,70,75,80,85}, 1), "20-24", "25-29", "30-34", "35-39", "40-44", "45-49", "50-54", "55-59", "60-64", "65-69", "70-74", "75-79", "80-84", "85+")</f>
        <v>30-34</v>
      </c>
      <c r="D3721" t="s">
        <v>7</v>
      </c>
    </row>
    <row r="3722" spans="1:4">
      <c r="A3722" t="s">
        <v>6</v>
      </c>
      <c r="B3722">
        <v>34</v>
      </c>
      <c r="C3722" t="str">
        <f>CHOOSE(MATCH(B3722, {20,25,30,35,40,45,50,55,60,65,70,75,80,85}, 1), "20-24", "25-29", "30-34", "35-39", "40-44", "45-49", "50-54", "55-59", "60-64", "65-69", "70-74", "75-79", "80-84", "85+")</f>
        <v>30-34</v>
      </c>
      <c r="D3722" t="s">
        <v>7</v>
      </c>
    </row>
    <row r="3723" spans="1:4">
      <c r="A3723" t="s">
        <v>6</v>
      </c>
      <c r="B3723">
        <v>69</v>
      </c>
      <c r="C3723" t="str">
        <f>CHOOSE(MATCH(B3723, {20,25,30,35,40,45,50,55,60,65,70,75,80,85}, 1), "20-24", "25-29", "30-34", "35-39", "40-44", "45-49", "50-54", "55-59", "60-64", "65-69", "70-74", "75-79", "80-84", "85+")</f>
        <v>65-69</v>
      </c>
      <c r="D3723" t="s">
        <v>7</v>
      </c>
    </row>
    <row r="3724" spans="1:4">
      <c r="A3724" t="s">
        <v>6</v>
      </c>
      <c r="B3724">
        <v>36</v>
      </c>
      <c r="C3724" t="str">
        <f>CHOOSE(MATCH(B3724, {20,25,30,35,40,45,50,55,60,65,70,75,80,85}, 1), "20-24", "25-29", "30-34", "35-39", "40-44", "45-49", "50-54", "55-59", "60-64", "65-69", "70-74", "75-79", "80-84", "85+")</f>
        <v>35-39</v>
      </c>
      <c r="D3724" t="s">
        <v>8</v>
      </c>
    </row>
    <row r="3725" spans="1:4">
      <c r="A3725" t="s">
        <v>6</v>
      </c>
      <c r="B3725">
        <v>57</v>
      </c>
      <c r="C3725" t="str">
        <f>CHOOSE(MATCH(B3725, {20,25,30,35,40,45,50,55,60,65,70,75,80,85}, 1), "20-24", "25-29", "30-34", "35-39", "40-44", "45-49", "50-54", "55-59", "60-64", "65-69", "70-74", "75-79", "80-84", "85+")</f>
        <v>55-59</v>
      </c>
      <c r="D3725" t="s">
        <v>7</v>
      </c>
    </row>
    <row r="3726" spans="1:4">
      <c r="A3726" t="s">
        <v>6</v>
      </c>
      <c r="B3726">
        <v>37</v>
      </c>
      <c r="C3726" t="str">
        <f>CHOOSE(MATCH(B3726, {20,25,30,35,40,45,50,55,60,65,70,75,80,85}, 1), "20-24", "25-29", "30-34", "35-39", "40-44", "45-49", "50-54", "55-59", "60-64", "65-69", "70-74", "75-79", "80-84", "85+")</f>
        <v>35-39</v>
      </c>
      <c r="D3726" t="s">
        <v>8</v>
      </c>
    </row>
    <row r="3727" spans="1:4">
      <c r="A3727" t="s">
        <v>6</v>
      </c>
      <c r="B3727">
        <v>45</v>
      </c>
      <c r="C3727" t="str">
        <f>CHOOSE(MATCH(B3727, {20,25,30,35,40,45,50,55,60,65,70,75,80,85}, 1), "20-24", "25-29", "30-34", "35-39", "40-44", "45-49", "50-54", "55-59", "60-64", "65-69", "70-74", "75-79", "80-84", "85+")</f>
        <v>45-49</v>
      </c>
      <c r="D3727" t="s">
        <v>7</v>
      </c>
    </row>
    <row r="3728" spans="1:4">
      <c r="A3728" t="s">
        <v>6</v>
      </c>
      <c r="B3728">
        <v>44</v>
      </c>
      <c r="C3728" t="str">
        <f>CHOOSE(MATCH(B3728, {20,25,30,35,40,45,50,55,60,65,70,75,80,85}, 1), "20-24", "25-29", "30-34", "35-39", "40-44", "45-49", "50-54", "55-59", "60-64", "65-69", "70-74", "75-79", "80-84", "85+")</f>
        <v>40-44</v>
      </c>
      <c r="D3728" t="s">
        <v>7</v>
      </c>
    </row>
    <row r="3729" spans="1:4">
      <c r="A3729" t="s">
        <v>6</v>
      </c>
      <c r="B3729">
        <v>30</v>
      </c>
      <c r="C3729" t="str">
        <f>CHOOSE(MATCH(B3729, {20,25,30,35,40,45,50,55,60,65,70,75,80,85}, 1), "20-24", "25-29", "30-34", "35-39", "40-44", "45-49", "50-54", "55-59", "60-64", "65-69", "70-74", "75-79", "80-84", "85+")</f>
        <v>30-34</v>
      </c>
      <c r="D3729" t="s">
        <v>7</v>
      </c>
    </row>
    <row r="3730" spans="1:4">
      <c r="A3730" t="s">
        <v>6</v>
      </c>
      <c r="B3730">
        <v>40</v>
      </c>
      <c r="C3730" t="str">
        <f>CHOOSE(MATCH(B3730, {20,25,30,35,40,45,50,55,60,65,70,75,80,85}, 1), "20-24", "25-29", "30-34", "35-39", "40-44", "45-49", "50-54", "55-59", "60-64", "65-69", "70-74", "75-79", "80-84", "85+")</f>
        <v>40-44</v>
      </c>
      <c r="D3730" t="s">
        <v>7</v>
      </c>
    </row>
    <row r="3731" spans="1:4">
      <c r="A3731" t="s">
        <v>6</v>
      </c>
      <c r="B3731">
        <v>58</v>
      </c>
      <c r="C3731" t="str">
        <f>CHOOSE(MATCH(B3731, {20,25,30,35,40,45,50,55,60,65,70,75,80,85}, 1), "20-24", "25-29", "30-34", "35-39", "40-44", "45-49", "50-54", "55-59", "60-64", "65-69", "70-74", "75-79", "80-84", "85+")</f>
        <v>55-59</v>
      </c>
      <c r="D3731" t="s">
        <v>8</v>
      </c>
    </row>
    <row r="3732" spans="1:4">
      <c r="A3732" t="s">
        <v>6</v>
      </c>
      <c r="B3732">
        <v>48</v>
      </c>
      <c r="C3732" t="str">
        <f>CHOOSE(MATCH(B3732, {20,25,30,35,40,45,50,55,60,65,70,75,80,85}, 1), "20-24", "25-29", "30-34", "35-39", "40-44", "45-49", "50-54", "55-59", "60-64", "65-69", "70-74", "75-79", "80-84", "85+")</f>
        <v>45-49</v>
      </c>
      <c r="D3732" t="s">
        <v>7</v>
      </c>
    </row>
    <row r="3733" spans="1:4">
      <c r="A3733" t="s">
        <v>6</v>
      </c>
      <c r="B3733">
        <v>23</v>
      </c>
      <c r="C3733" t="str">
        <f>CHOOSE(MATCH(B3733, {20,25,30,35,40,45,50,55,60,65,70,75,80,85}, 1), "20-24", "25-29", "30-34", "35-39", "40-44", "45-49", "50-54", "55-59", "60-64", "65-69", "70-74", "75-79", "80-84", "85+")</f>
        <v>20-24</v>
      </c>
      <c r="D3733" t="s">
        <v>7</v>
      </c>
    </row>
    <row r="3734" spans="1:4">
      <c r="A3734" t="s">
        <v>6</v>
      </c>
      <c r="B3734">
        <v>37</v>
      </c>
      <c r="C3734" t="str">
        <f>CHOOSE(MATCH(B3734, {20,25,30,35,40,45,50,55,60,65,70,75,80,85}, 1), "20-24", "25-29", "30-34", "35-39", "40-44", "45-49", "50-54", "55-59", "60-64", "65-69", "70-74", "75-79", "80-84", "85+")</f>
        <v>35-39</v>
      </c>
      <c r="D3734" t="s">
        <v>8</v>
      </c>
    </row>
    <row r="3735" spans="1:4">
      <c r="A3735" t="s">
        <v>6</v>
      </c>
      <c r="B3735">
        <v>37</v>
      </c>
      <c r="C3735" t="str">
        <f>CHOOSE(MATCH(B3735, {20,25,30,35,40,45,50,55,60,65,70,75,80,85}, 1), "20-24", "25-29", "30-34", "35-39", "40-44", "45-49", "50-54", "55-59", "60-64", "65-69", "70-74", "75-79", "80-84", "85+")</f>
        <v>35-39</v>
      </c>
      <c r="D3735" t="s">
        <v>7</v>
      </c>
    </row>
    <row r="3736" spans="1:4">
      <c r="A3736" t="s">
        <v>6</v>
      </c>
      <c r="B3736">
        <v>20</v>
      </c>
      <c r="C3736" t="str">
        <f>CHOOSE(MATCH(B3736, {20,25,30,35,40,45,50,55,60,65,70,75,80,85}, 1), "20-24", "25-29", "30-34", "35-39", "40-44", "45-49", "50-54", "55-59", "60-64", "65-69", "70-74", "75-79", "80-84", "85+")</f>
        <v>20-24</v>
      </c>
      <c r="D3736" t="s">
        <v>8</v>
      </c>
    </row>
    <row r="3737" spans="1:4">
      <c r="A3737" t="s">
        <v>6</v>
      </c>
      <c r="B3737">
        <v>67</v>
      </c>
      <c r="C3737" t="str">
        <f>CHOOSE(MATCH(B3737, {20,25,30,35,40,45,50,55,60,65,70,75,80,85}, 1), "20-24", "25-29", "30-34", "35-39", "40-44", "45-49", "50-54", "55-59", "60-64", "65-69", "70-74", "75-79", "80-84", "85+")</f>
        <v>65-69</v>
      </c>
      <c r="D3737" t="s">
        <v>8</v>
      </c>
    </row>
    <row r="3738" spans="1:4">
      <c r="A3738" t="s">
        <v>6</v>
      </c>
      <c r="B3738">
        <v>34</v>
      </c>
      <c r="C3738" t="str">
        <f>CHOOSE(MATCH(B3738, {20,25,30,35,40,45,50,55,60,65,70,75,80,85}, 1), "20-24", "25-29", "30-34", "35-39", "40-44", "45-49", "50-54", "55-59", "60-64", "65-69", "70-74", "75-79", "80-84", "85+")</f>
        <v>30-34</v>
      </c>
      <c r="D3738" t="s">
        <v>8</v>
      </c>
    </row>
    <row r="3739" spans="1:4">
      <c r="A3739" t="s">
        <v>6</v>
      </c>
      <c r="B3739">
        <v>33</v>
      </c>
      <c r="C3739" t="str">
        <f>CHOOSE(MATCH(B3739, {20,25,30,35,40,45,50,55,60,65,70,75,80,85}, 1), "20-24", "25-29", "30-34", "35-39", "40-44", "45-49", "50-54", "55-59", "60-64", "65-69", "70-74", "75-79", "80-84", "85+")</f>
        <v>30-34</v>
      </c>
      <c r="D3739" t="s">
        <v>7</v>
      </c>
    </row>
    <row r="3740" spans="1:4">
      <c r="A3740" t="s">
        <v>6</v>
      </c>
      <c r="B3740">
        <v>35</v>
      </c>
      <c r="C3740" t="str">
        <f>CHOOSE(MATCH(B3740, {20,25,30,35,40,45,50,55,60,65,70,75,80,85}, 1), "20-24", "25-29", "30-34", "35-39", "40-44", "45-49", "50-54", "55-59", "60-64", "65-69", "70-74", "75-79", "80-84", "85+")</f>
        <v>35-39</v>
      </c>
      <c r="D3740" t="s">
        <v>8</v>
      </c>
    </row>
    <row r="3741" spans="1:4">
      <c r="A3741" t="s">
        <v>6</v>
      </c>
      <c r="B3741">
        <v>59</v>
      </c>
      <c r="C3741" t="str">
        <f>CHOOSE(MATCH(B3741, {20,25,30,35,40,45,50,55,60,65,70,75,80,85}, 1), "20-24", "25-29", "30-34", "35-39", "40-44", "45-49", "50-54", "55-59", "60-64", "65-69", "70-74", "75-79", "80-84", "85+")</f>
        <v>55-59</v>
      </c>
      <c r="D3741" t="s">
        <v>7</v>
      </c>
    </row>
    <row r="3742" spans="1:4">
      <c r="A3742" t="s">
        <v>6</v>
      </c>
      <c r="B3742">
        <v>45</v>
      </c>
      <c r="C3742" t="str">
        <f>CHOOSE(MATCH(B3742, {20,25,30,35,40,45,50,55,60,65,70,75,80,85}, 1), "20-24", "25-29", "30-34", "35-39", "40-44", "45-49", "50-54", "55-59", "60-64", "65-69", "70-74", "75-79", "80-84", "85+")</f>
        <v>45-49</v>
      </c>
      <c r="D3742" t="s">
        <v>7</v>
      </c>
    </row>
    <row r="3743" spans="1:4">
      <c r="A3743" t="s">
        <v>6</v>
      </c>
      <c r="B3743">
        <v>35</v>
      </c>
      <c r="C3743" t="str">
        <f>CHOOSE(MATCH(B3743, {20,25,30,35,40,45,50,55,60,65,70,75,80,85}, 1), "20-24", "25-29", "30-34", "35-39", "40-44", "45-49", "50-54", "55-59", "60-64", "65-69", "70-74", "75-79", "80-84", "85+")</f>
        <v>35-39</v>
      </c>
      <c r="D3743" t="s">
        <v>8</v>
      </c>
    </row>
    <row r="3744" spans="1:4">
      <c r="A3744" t="s">
        <v>6</v>
      </c>
      <c r="B3744">
        <v>32</v>
      </c>
      <c r="C3744" t="str">
        <f>CHOOSE(MATCH(B3744, {20,25,30,35,40,45,50,55,60,65,70,75,80,85}, 1), "20-24", "25-29", "30-34", "35-39", "40-44", "45-49", "50-54", "55-59", "60-64", "65-69", "70-74", "75-79", "80-84", "85+")</f>
        <v>30-34</v>
      </c>
      <c r="D3744" t="s">
        <v>7</v>
      </c>
    </row>
    <row r="3745" spans="1:4">
      <c r="A3745" t="s">
        <v>6</v>
      </c>
      <c r="B3745">
        <v>27</v>
      </c>
      <c r="C3745" t="str">
        <f>CHOOSE(MATCH(B3745, {20,25,30,35,40,45,50,55,60,65,70,75,80,85}, 1), "20-24", "25-29", "30-34", "35-39", "40-44", "45-49", "50-54", "55-59", "60-64", "65-69", "70-74", "75-79", "80-84", "85+")</f>
        <v>25-29</v>
      </c>
      <c r="D3745" t="s">
        <v>7</v>
      </c>
    </row>
    <row r="3746" spans="1:4">
      <c r="A3746" t="s">
        <v>6</v>
      </c>
      <c r="B3746">
        <v>59</v>
      </c>
      <c r="C3746" t="str">
        <f>CHOOSE(MATCH(B3746, {20,25,30,35,40,45,50,55,60,65,70,75,80,85}, 1), "20-24", "25-29", "30-34", "35-39", "40-44", "45-49", "50-54", "55-59", "60-64", "65-69", "70-74", "75-79", "80-84", "85+")</f>
        <v>55-59</v>
      </c>
      <c r="D3746" t="s">
        <v>7</v>
      </c>
    </row>
    <row r="3747" spans="1:4">
      <c r="A3747" t="s">
        <v>6</v>
      </c>
      <c r="B3747">
        <v>37</v>
      </c>
      <c r="C3747" t="str">
        <f>CHOOSE(MATCH(B3747, {20,25,30,35,40,45,50,55,60,65,70,75,80,85}, 1), "20-24", "25-29", "30-34", "35-39", "40-44", "45-49", "50-54", "55-59", "60-64", "65-69", "70-74", "75-79", "80-84", "85+")</f>
        <v>35-39</v>
      </c>
      <c r="D3747" t="s">
        <v>7</v>
      </c>
    </row>
    <row r="3748" spans="1:4">
      <c r="A3748" t="s">
        <v>6</v>
      </c>
      <c r="B3748">
        <v>30</v>
      </c>
      <c r="C3748" t="str">
        <f>CHOOSE(MATCH(B3748, {20,25,30,35,40,45,50,55,60,65,70,75,80,85}, 1), "20-24", "25-29", "30-34", "35-39", "40-44", "45-49", "50-54", "55-59", "60-64", "65-69", "70-74", "75-79", "80-84", "85+")</f>
        <v>30-34</v>
      </c>
      <c r="D3748" t="s">
        <v>7</v>
      </c>
    </row>
    <row r="3749" spans="1:4">
      <c r="A3749" t="s">
        <v>6</v>
      </c>
      <c r="B3749">
        <v>83</v>
      </c>
      <c r="C3749" t="str">
        <f>CHOOSE(MATCH(B3749, {20,25,30,35,40,45,50,55,60,65,70,75,80,85}, 1), "20-24", "25-29", "30-34", "35-39", "40-44", "45-49", "50-54", "55-59", "60-64", "65-69", "70-74", "75-79", "80-84", "85+")</f>
        <v>80-84</v>
      </c>
      <c r="D3749" t="s">
        <v>7</v>
      </c>
    </row>
    <row r="3750" spans="1:4">
      <c r="A3750" t="s">
        <v>6</v>
      </c>
      <c r="B3750">
        <v>35</v>
      </c>
      <c r="C3750" t="str">
        <f>CHOOSE(MATCH(B3750, {20,25,30,35,40,45,50,55,60,65,70,75,80,85}, 1), "20-24", "25-29", "30-34", "35-39", "40-44", "45-49", "50-54", "55-59", "60-64", "65-69", "70-74", "75-79", "80-84", "85+")</f>
        <v>35-39</v>
      </c>
      <c r="D3750" t="s">
        <v>7</v>
      </c>
    </row>
    <row r="3751" spans="1:4">
      <c r="A3751" t="s">
        <v>6</v>
      </c>
      <c r="B3751">
        <v>34</v>
      </c>
      <c r="C3751" t="str">
        <f>CHOOSE(MATCH(B3751, {20,25,30,35,40,45,50,55,60,65,70,75,80,85}, 1), "20-24", "25-29", "30-34", "35-39", "40-44", "45-49", "50-54", "55-59", "60-64", "65-69", "70-74", "75-79", "80-84", "85+")</f>
        <v>30-34</v>
      </c>
      <c r="D3751" t="s">
        <v>7</v>
      </c>
    </row>
    <row r="3752" spans="1:4">
      <c r="A3752" t="s">
        <v>6</v>
      </c>
      <c r="B3752">
        <v>51</v>
      </c>
      <c r="C3752" t="str">
        <f>CHOOSE(MATCH(B3752, {20,25,30,35,40,45,50,55,60,65,70,75,80,85}, 1), "20-24", "25-29", "30-34", "35-39", "40-44", "45-49", "50-54", "55-59", "60-64", "65-69", "70-74", "75-79", "80-84", "85+")</f>
        <v>50-54</v>
      </c>
      <c r="D3752" t="s">
        <v>7</v>
      </c>
    </row>
    <row r="3753" spans="1:4">
      <c r="A3753" t="s">
        <v>6</v>
      </c>
      <c r="B3753">
        <v>49</v>
      </c>
      <c r="C3753" t="str">
        <f>CHOOSE(MATCH(B3753, {20,25,30,35,40,45,50,55,60,65,70,75,80,85}, 1), "20-24", "25-29", "30-34", "35-39", "40-44", "45-49", "50-54", "55-59", "60-64", "65-69", "70-74", "75-79", "80-84", "85+")</f>
        <v>45-49</v>
      </c>
      <c r="D3753" t="s">
        <v>8</v>
      </c>
    </row>
    <row r="3754" spans="1:4">
      <c r="A3754" t="s">
        <v>6</v>
      </c>
      <c r="B3754">
        <v>41</v>
      </c>
      <c r="C3754" t="str">
        <f>CHOOSE(MATCH(B3754, {20,25,30,35,40,45,50,55,60,65,70,75,80,85}, 1), "20-24", "25-29", "30-34", "35-39", "40-44", "45-49", "50-54", "55-59", "60-64", "65-69", "70-74", "75-79", "80-84", "85+")</f>
        <v>40-44</v>
      </c>
      <c r="D3754" t="s">
        <v>7</v>
      </c>
    </row>
    <row r="3755" spans="1:4">
      <c r="A3755" t="s">
        <v>6</v>
      </c>
      <c r="B3755">
        <v>42</v>
      </c>
      <c r="C3755" t="str">
        <f>CHOOSE(MATCH(B3755, {20,25,30,35,40,45,50,55,60,65,70,75,80,85}, 1), "20-24", "25-29", "30-34", "35-39", "40-44", "45-49", "50-54", "55-59", "60-64", "65-69", "70-74", "75-79", "80-84", "85+")</f>
        <v>40-44</v>
      </c>
      <c r="D3755" t="s">
        <v>7</v>
      </c>
    </row>
    <row r="3756" spans="1:4">
      <c r="A3756" t="s">
        <v>6</v>
      </c>
      <c r="B3756">
        <v>24</v>
      </c>
      <c r="C3756" t="str">
        <f>CHOOSE(MATCH(B3756, {20,25,30,35,40,45,50,55,60,65,70,75,80,85}, 1), "20-24", "25-29", "30-34", "35-39", "40-44", "45-49", "50-54", "55-59", "60-64", "65-69", "70-74", "75-79", "80-84", "85+")</f>
        <v>20-24</v>
      </c>
      <c r="D3756" t="s">
        <v>7</v>
      </c>
    </row>
    <row r="3757" spans="1:4">
      <c r="A3757" t="s">
        <v>6</v>
      </c>
      <c r="B3757">
        <v>27</v>
      </c>
      <c r="C3757" t="str">
        <f>CHOOSE(MATCH(B3757, {20,25,30,35,40,45,50,55,60,65,70,75,80,85}, 1), "20-24", "25-29", "30-34", "35-39", "40-44", "45-49", "50-54", "55-59", "60-64", "65-69", "70-74", "75-79", "80-84", "85+")</f>
        <v>25-29</v>
      </c>
      <c r="D3757" t="s">
        <v>7</v>
      </c>
    </row>
    <row r="3758" spans="1:4">
      <c r="A3758" t="s">
        <v>6</v>
      </c>
      <c r="B3758">
        <v>48</v>
      </c>
      <c r="C3758" t="str">
        <f>CHOOSE(MATCH(B3758, {20,25,30,35,40,45,50,55,60,65,70,75,80,85}, 1), "20-24", "25-29", "30-34", "35-39", "40-44", "45-49", "50-54", "55-59", "60-64", "65-69", "70-74", "75-79", "80-84", "85+")</f>
        <v>45-49</v>
      </c>
      <c r="D3758" t="s">
        <v>8</v>
      </c>
    </row>
    <row r="3759" spans="1:4">
      <c r="A3759" t="s">
        <v>6</v>
      </c>
      <c r="B3759">
        <v>32</v>
      </c>
      <c r="C3759" t="str">
        <f>CHOOSE(MATCH(B3759, {20,25,30,35,40,45,50,55,60,65,70,75,80,85}, 1), "20-24", "25-29", "30-34", "35-39", "40-44", "45-49", "50-54", "55-59", "60-64", "65-69", "70-74", "75-79", "80-84", "85+")</f>
        <v>30-34</v>
      </c>
      <c r="D3759" t="s">
        <v>7</v>
      </c>
    </row>
    <row r="3760" spans="1:4">
      <c r="A3760" t="s">
        <v>6</v>
      </c>
      <c r="B3760">
        <v>63</v>
      </c>
      <c r="C3760" t="str">
        <f>CHOOSE(MATCH(B3760, {20,25,30,35,40,45,50,55,60,65,70,75,80,85}, 1), "20-24", "25-29", "30-34", "35-39", "40-44", "45-49", "50-54", "55-59", "60-64", "65-69", "70-74", "75-79", "80-84", "85+")</f>
        <v>60-64</v>
      </c>
      <c r="D3760" t="s">
        <v>8</v>
      </c>
    </row>
    <row r="3761" spans="1:4">
      <c r="A3761" t="s">
        <v>6</v>
      </c>
      <c r="B3761">
        <v>25</v>
      </c>
      <c r="C3761" t="str">
        <f>CHOOSE(MATCH(B3761, {20,25,30,35,40,45,50,55,60,65,70,75,80,85}, 1), "20-24", "25-29", "30-34", "35-39", "40-44", "45-49", "50-54", "55-59", "60-64", "65-69", "70-74", "75-79", "80-84", "85+")</f>
        <v>25-29</v>
      </c>
      <c r="D3761" t="s">
        <v>7</v>
      </c>
    </row>
    <row r="3762" spans="1:4">
      <c r="A3762" t="s">
        <v>6</v>
      </c>
      <c r="B3762">
        <v>53</v>
      </c>
      <c r="C3762" t="str">
        <f>CHOOSE(MATCH(B3762, {20,25,30,35,40,45,50,55,60,65,70,75,80,85}, 1), "20-24", "25-29", "30-34", "35-39", "40-44", "45-49", "50-54", "55-59", "60-64", "65-69", "70-74", "75-79", "80-84", "85+")</f>
        <v>50-54</v>
      </c>
      <c r="D3762" t="s">
        <v>7</v>
      </c>
    </row>
    <row r="3763" spans="1:4">
      <c r="A3763" t="s">
        <v>6</v>
      </c>
      <c r="B3763">
        <v>26</v>
      </c>
      <c r="C3763" t="str">
        <f>CHOOSE(MATCH(B3763, {20,25,30,35,40,45,50,55,60,65,70,75,80,85}, 1), "20-24", "25-29", "30-34", "35-39", "40-44", "45-49", "50-54", "55-59", "60-64", "65-69", "70-74", "75-79", "80-84", "85+")</f>
        <v>25-29</v>
      </c>
      <c r="D3763" t="s">
        <v>8</v>
      </c>
    </row>
    <row r="3764" spans="1:4">
      <c r="A3764" t="s">
        <v>6</v>
      </c>
      <c r="B3764">
        <v>33</v>
      </c>
      <c r="C3764" t="str">
        <f>CHOOSE(MATCH(B3764, {20,25,30,35,40,45,50,55,60,65,70,75,80,85}, 1), "20-24", "25-29", "30-34", "35-39", "40-44", "45-49", "50-54", "55-59", "60-64", "65-69", "70-74", "75-79", "80-84", "85+")</f>
        <v>30-34</v>
      </c>
      <c r="D3764" t="s">
        <v>8</v>
      </c>
    </row>
    <row r="3765" spans="1:4">
      <c r="A3765" t="s">
        <v>6</v>
      </c>
      <c r="B3765">
        <v>51</v>
      </c>
      <c r="C3765" t="str">
        <f>CHOOSE(MATCH(B3765, {20,25,30,35,40,45,50,55,60,65,70,75,80,85}, 1), "20-24", "25-29", "30-34", "35-39", "40-44", "45-49", "50-54", "55-59", "60-64", "65-69", "70-74", "75-79", "80-84", "85+")</f>
        <v>50-54</v>
      </c>
      <c r="D3765" t="s">
        <v>7</v>
      </c>
    </row>
    <row r="3766" spans="1:4">
      <c r="A3766" t="s">
        <v>6</v>
      </c>
      <c r="B3766">
        <v>54</v>
      </c>
      <c r="C3766" t="str">
        <f>CHOOSE(MATCH(B3766, {20,25,30,35,40,45,50,55,60,65,70,75,80,85}, 1), "20-24", "25-29", "30-34", "35-39", "40-44", "45-49", "50-54", "55-59", "60-64", "65-69", "70-74", "75-79", "80-84", "85+")</f>
        <v>50-54</v>
      </c>
      <c r="D3766" t="s">
        <v>8</v>
      </c>
    </row>
    <row r="3767" spans="1:4">
      <c r="A3767" t="s">
        <v>6</v>
      </c>
      <c r="B3767">
        <v>39</v>
      </c>
      <c r="C3767" t="str">
        <f>CHOOSE(MATCH(B3767, {20,25,30,35,40,45,50,55,60,65,70,75,80,85}, 1), "20-24", "25-29", "30-34", "35-39", "40-44", "45-49", "50-54", "55-59", "60-64", "65-69", "70-74", "75-79", "80-84", "85+")</f>
        <v>35-39</v>
      </c>
      <c r="D3767" t="s">
        <v>7</v>
      </c>
    </row>
    <row r="3768" spans="1:4">
      <c r="A3768" t="s">
        <v>6</v>
      </c>
      <c r="B3768">
        <v>28</v>
      </c>
      <c r="C3768" t="str">
        <f>CHOOSE(MATCH(B3768, {20,25,30,35,40,45,50,55,60,65,70,75,80,85}, 1), "20-24", "25-29", "30-34", "35-39", "40-44", "45-49", "50-54", "55-59", "60-64", "65-69", "70-74", "75-79", "80-84", "85+")</f>
        <v>25-29</v>
      </c>
      <c r="D3768" t="s">
        <v>7</v>
      </c>
    </row>
    <row r="3769" spans="1:4">
      <c r="A3769" t="s">
        <v>6</v>
      </c>
      <c r="B3769">
        <v>32</v>
      </c>
      <c r="C3769" t="str">
        <f>CHOOSE(MATCH(B3769, {20,25,30,35,40,45,50,55,60,65,70,75,80,85}, 1), "20-24", "25-29", "30-34", "35-39", "40-44", "45-49", "50-54", "55-59", "60-64", "65-69", "70-74", "75-79", "80-84", "85+")</f>
        <v>30-34</v>
      </c>
      <c r="D3769" t="s">
        <v>8</v>
      </c>
    </row>
    <row r="3770" spans="1:4">
      <c r="A3770" t="s">
        <v>6</v>
      </c>
      <c r="B3770">
        <v>35</v>
      </c>
      <c r="C3770" t="str">
        <f>CHOOSE(MATCH(B3770, {20,25,30,35,40,45,50,55,60,65,70,75,80,85}, 1), "20-24", "25-29", "30-34", "35-39", "40-44", "45-49", "50-54", "55-59", "60-64", "65-69", "70-74", "75-79", "80-84", "85+")</f>
        <v>35-39</v>
      </c>
      <c r="D3770" t="s">
        <v>7</v>
      </c>
    </row>
    <row r="3771" spans="1:4">
      <c r="A3771" t="s">
        <v>6</v>
      </c>
      <c r="B3771">
        <v>30</v>
      </c>
      <c r="C3771" t="str">
        <f>CHOOSE(MATCH(B3771, {20,25,30,35,40,45,50,55,60,65,70,75,80,85}, 1), "20-24", "25-29", "30-34", "35-39", "40-44", "45-49", "50-54", "55-59", "60-64", "65-69", "70-74", "75-79", "80-84", "85+")</f>
        <v>30-34</v>
      </c>
      <c r="D3771" t="s">
        <v>7</v>
      </c>
    </row>
    <row r="3772" spans="1:4">
      <c r="A3772" t="s">
        <v>6</v>
      </c>
      <c r="B3772">
        <v>29</v>
      </c>
      <c r="C3772" t="str">
        <f>CHOOSE(MATCH(B3772, {20,25,30,35,40,45,50,55,60,65,70,75,80,85}, 1), "20-24", "25-29", "30-34", "35-39", "40-44", "45-49", "50-54", "55-59", "60-64", "65-69", "70-74", "75-79", "80-84", "85+")</f>
        <v>25-29</v>
      </c>
      <c r="D3772" t="s">
        <v>7</v>
      </c>
    </row>
    <row r="3773" spans="1:4">
      <c r="A3773" t="s">
        <v>6</v>
      </c>
      <c r="B3773">
        <v>36</v>
      </c>
      <c r="C3773" t="str">
        <f>CHOOSE(MATCH(B3773, {20,25,30,35,40,45,50,55,60,65,70,75,80,85}, 1), "20-24", "25-29", "30-34", "35-39", "40-44", "45-49", "50-54", "55-59", "60-64", "65-69", "70-74", "75-79", "80-84", "85+")</f>
        <v>35-39</v>
      </c>
      <c r="D3773" t="s">
        <v>7</v>
      </c>
    </row>
    <row r="3774" spans="1:4">
      <c r="A3774" t="s">
        <v>6</v>
      </c>
      <c r="B3774">
        <v>34</v>
      </c>
      <c r="C3774" t="str">
        <f>CHOOSE(MATCH(B3774, {20,25,30,35,40,45,50,55,60,65,70,75,80,85}, 1), "20-24", "25-29", "30-34", "35-39", "40-44", "45-49", "50-54", "55-59", "60-64", "65-69", "70-74", "75-79", "80-84", "85+")</f>
        <v>30-34</v>
      </c>
      <c r="D3774" t="s">
        <v>7</v>
      </c>
    </row>
    <row r="3775" spans="1:4">
      <c r="A3775" t="s">
        <v>6</v>
      </c>
      <c r="B3775">
        <v>30</v>
      </c>
      <c r="C3775" t="str">
        <f>CHOOSE(MATCH(B3775, {20,25,30,35,40,45,50,55,60,65,70,75,80,85}, 1), "20-24", "25-29", "30-34", "35-39", "40-44", "45-49", "50-54", "55-59", "60-64", "65-69", "70-74", "75-79", "80-84", "85+")</f>
        <v>30-34</v>
      </c>
      <c r="D3775" t="s">
        <v>8</v>
      </c>
    </row>
    <row r="3776" spans="1:4">
      <c r="A3776" t="s">
        <v>6</v>
      </c>
      <c r="B3776">
        <v>41</v>
      </c>
      <c r="C3776" t="str">
        <f>CHOOSE(MATCH(B3776, {20,25,30,35,40,45,50,55,60,65,70,75,80,85}, 1), "20-24", "25-29", "30-34", "35-39", "40-44", "45-49", "50-54", "55-59", "60-64", "65-69", "70-74", "75-79", "80-84", "85+")</f>
        <v>40-44</v>
      </c>
      <c r="D3776" t="s">
        <v>8</v>
      </c>
    </row>
    <row r="3777" spans="1:4">
      <c r="A3777" t="s">
        <v>6</v>
      </c>
      <c r="B3777">
        <v>40</v>
      </c>
      <c r="C3777" t="str">
        <f>CHOOSE(MATCH(B3777, {20,25,30,35,40,45,50,55,60,65,70,75,80,85}, 1), "20-24", "25-29", "30-34", "35-39", "40-44", "45-49", "50-54", "55-59", "60-64", "65-69", "70-74", "75-79", "80-84", "85+")</f>
        <v>40-44</v>
      </c>
      <c r="D3777" t="s">
        <v>8</v>
      </c>
    </row>
    <row r="3778" spans="1:4">
      <c r="A3778" t="s">
        <v>6</v>
      </c>
      <c r="B3778">
        <v>31</v>
      </c>
      <c r="C3778" t="str">
        <f>CHOOSE(MATCH(B3778, {20,25,30,35,40,45,50,55,60,65,70,75,80,85}, 1), "20-24", "25-29", "30-34", "35-39", "40-44", "45-49", "50-54", "55-59", "60-64", "65-69", "70-74", "75-79", "80-84", "85+")</f>
        <v>30-34</v>
      </c>
      <c r="D3778" t="s">
        <v>7</v>
      </c>
    </row>
    <row r="3779" spans="1:4">
      <c r="A3779" t="s">
        <v>6</v>
      </c>
      <c r="B3779">
        <v>51</v>
      </c>
      <c r="C3779" t="str">
        <f>CHOOSE(MATCH(B3779, {20,25,30,35,40,45,50,55,60,65,70,75,80,85}, 1), "20-24", "25-29", "30-34", "35-39", "40-44", "45-49", "50-54", "55-59", "60-64", "65-69", "70-74", "75-79", "80-84", "85+")</f>
        <v>50-54</v>
      </c>
      <c r="D3779" t="s">
        <v>7</v>
      </c>
    </row>
    <row r="3780" spans="1:4">
      <c r="A3780" t="s">
        <v>6</v>
      </c>
      <c r="B3780">
        <v>34</v>
      </c>
      <c r="C3780" t="str">
        <f>CHOOSE(MATCH(B3780, {20,25,30,35,40,45,50,55,60,65,70,75,80,85}, 1), "20-24", "25-29", "30-34", "35-39", "40-44", "45-49", "50-54", "55-59", "60-64", "65-69", "70-74", "75-79", "80-84", "85+")</f>
        <v>30-34</v>
      </c>
      <c r="D3780" t="s">
        <v>8</v>
      </c>
    </row>
    <row r="3781" spans="1:4">
      <c r="A3781" t="s">
        <v>6</v>
      </c>
      <c r="B3781">
        <v>44</v>
      </c>
      <c r="C3781" t="str">
        <f>CHOOSE(MATCH(B3781, {20,25,30,35,40,45,50,55,60,65,70,75,80,85}, 1), "20-24", "25-29", "30-34", "35-39", "40-44", "45-49", "50-54", "55-59", "60-64", "65-69", "70-74", "75-79", "80-84", "85+")</f>
        <v>40-44</v>
      </c>
      <c r="D3781" t="s">
        <v>8</v>
      </c>
    </row>
    <row r="3782" spans="1:4">
      <c r="A3782" t="s">
        <v>6</v>
      </c>
      <c r="B3782">
        <v>44</v>
      </c>
      <c r="C3782" t="str">
        <f>CHOOSE(MATCH(B3782, {20,25,30,35,40,45,50,55,60,65,70,75,80,85}, 1), "20-24", "25-29", "30-34", "35-39", "40-44", "45-49", "50-54", "55-59", "60-64", "65-69", "70-74", "75-79", "80-84", "85+")</f>
        <v>40-44</v>
      </c>
      <c r="D3782" t="s">
        <v>8</v>
      </c>
    </row>
    <row r="3783" spans="1:4">
      <c r="A3783" t="s">
        <v>6</v>
      </c>
      <c r="B3783">
        <v>32</v>
      </c>
      <c r="C3783" t="str">
        <f>CHOOSE(MATCH(B3783, {20,25,30,35,40,45,50,55,60,65,70,75,80,85}, 1), "20-24", "25-29", "30-34", "35-39", "40-44", "45-49", "50-54", "55-59", "60-64", "65-69", "70-74", "75-79", "80-84", "85+")</f>
        <v>30-34</v>
      </c>
      <c r="D3783" t="s">
        <v>7</v>
      </c>
    </row>
    <row r="3784" spans="1:4">
      <c r="A3784" t="s">
        <v>6</v>
      </c>
      <c r="B3784">
        <v>41</v>
      </c>
      <c r="C3784" t="str">
        <f>CHOOSE(MATCH(B3784, {20,25,30,35,40,45,50,55,60,65,70,75,80,85}, 1), "20-24", "25-29", "30-34", "35-39", "40-44", "45-49", "50-54", "55-59", "60-64", "65-69", "70-74", "75-79", "80-84", "85+")</f>
        <v>40-44</v>
      </c>
      <c r="D3784" t="s">
        <v>8</v>
      </c>
    </row>
    <row r="3785" spans="1:4">
      <c r="A3785" t="s">
        <v>6</v>
      </c>
      <c r="B3785">
        <v>27</v>
      </c>
      <c r="C3785" t="str">
        <f>CHOOSE(MATCH(B3785, {20,25,30,35,40,45,50,55,60,65,70,75,80,85}, 1), "20-24", "25-29", "30-34", "35-39", "40-44", "45-49", "50-54", "55-59", "60-64", "65-69", "70-74", "75-79", "80-84", "85+")</f>
        <v>25-29</v>
      </c>
      <c r="D3785" t="s">
        <v>8</v>
      </c>
    </row>
    <row r="3786" spans="1:4">
      <c r="A3786" t="s">
        <v>6</v>
      </c>
      <c r="B3786">
        <v>28</v>
      </c>
      <c r="C3786" t="str">
        <f>CHOOSE(MATCH(B3786, {20,25,30,35,40,45,50,55,60,65,70,75,80,85}, 1), "20-24", "25-29", "30-34", "35-39", "40-44", "45-49", "50-54", "55-59", "60-64", "65-69", "70-74", "75-79", "80-84", "85+")</f>
        <v>25-29</v>
      </c>
      <c r="D3786" t="s">
        <v>7</v>
      </c>
    </row>
    <row r="3787" spans="1:4">
      <c r="A3787" t="s">
        <v>6</v>
      </c>
      <c r="B3787">
        <v>47</v>
      </c>
      <c r="C3787" t="str">
        <f>CHOOSE(MATCH(B3787, {20,25,30,35,40,45,50,55,60,65,70,75,80,85}, 1), "20-24", "25-29", "30-34", "35-39", "40-44", "45-49", "50-54", "55-59", "60-64", "65-69", "70-74", "75-79", "80-84", "85+")</f>
        <v>45-49</v>
      </c>
      <c r="D3787" t="s">
        <v>8</v>
      </c>
    </row>
    <row r="3788" spans="1:4">
      <c r="A3788" t="s">
        <v>6</v>
      </c>
      <c r="B3788">
        <v>39</v>
      </c>
      <c r="C3788" t="str">
        <f>CHOOSE(MATCH(B3788, {20,25,30,35,40,45,50,55,60,65,70,75,80,85}, 1), "20-24", "25-29", "30-34", "35-39", "40-44", "45-49", "50-54", "55-59", "60-64", "65-69", "70-74", "75-79", "80-84", "85+")</f>
        <v>35-39</v>
      </c>
      <c r="D3788" t="s">
        <v>7</v>
      </c>
    </row>
    <row r="3789" spans="1:4">
      <c r="A3789" t="s">
        <v>6</v>
      </c>
      <c r="B3789">
        <v>54</v>
      </c>
      <c r="C3789" t="str">
        <f>CHOOSE(MATCH(B3789, {20,25,30,35,40,45,50,55,60,65,70,75,80,85}, 1), "20-24", "25-29", "30-34", "35-39", "40-44", "45-49", "50-54", "55-59", "60-64", "65-69", "70-74", "75-79", "80-84", "85+")</f>
        <v>50-54</v>
      </c>
      <c r="D3789" t="s">
        <v>8</v>
      </c>
    </row>
    <row r="3790" spans="1:4">
      <c r="A3790" t="s">
        <v>6</v>
      </c>
      <c r="B3790">
        <v>25</v>
      </c>
      <c r="C3790" t="str">
        <f>CHOOSE(MATCH(B3790, {20,25,30,35,40,45,50,55,60,65,70,75,80,85}, 1), "20-24", "25-29", "30-34", "35-39", "40-44", "45-49", "50-54", "55-59", "60-64", "65-69", "70-74", "75-79", "80-84", "85+")</f>
        <v>25-29</v>
      </c>
      <c r="D3790" t="s">
        <v>7</v>
      </c>
    </row>
    <row r="3791" spans="1:4">
      <c r="A3791" t="s">
        <v>6</v>
      </c>
      <c r="B3791">
        <v>62</v>
      </c>
      <c r="C3791" t="str">
        <f>CHOOSE(MATCH(B3791, {20,25,30,35,40,45,50,55,60,65,70,75,80,85}, 1), "20-24", "25-29", "30-34", "35-39", "40-44", "45-49", "50-54", "55-59", "60-64", "65-69", "70-74", "75-79", "80-84", "85+")</f>
        <v>60-64</v>
      </c>
      <c r="D3791" t="s">
        <v>7</v>
      </c>
    </row>
    <row r="3792" spans="1:4">
      <c r="A3792" t="s">
        <v>6</v>
      </c>
      <c r="B3792">
        <v>67</v>
      </c>
      <c r="C3792" t="str">
        <f>CHOOSE(MATCH(B3792, {20,25,30,35,40,45,50,55,60,65,70,75,80,85}, 1), "20-24", "25-29", "30-34", "35-39", "40-44", "45-49", "50-54", "55-59", "60-64", "65-69", "70-74", "75-79", "80-84", "85+")</f>
        <v>65-69</v>
      </c>
      <c r="D3792" t="s">
        <v>8</v>
      </c>
    </row>
    <row r="3793" spans="1:4">
      <c r="A3793" t="s">
        <v>6</v>
      </c>
      <c r="B3793">
        <v>85</v>
      </c>
      <c r="C3793" t="str">
        <f>CHOOSE(MATCH(B3793, {20,25,30,35,40,45,50,55,60,65,70,75,80,85}, 1), "20-24", "25-29", "30-34", "35-39", "40-44", "45-49", "50-54", "55-59", "60-64", "65-69", "70-74", "75-79", "80-84", "85+")</f>
        <v>85+</v>
      </c>
      <c r="D3793" t="s">
        <v>8</v>
      </c>
    </row>
    <row r="3794" spans="1:4">
      <c r="A3794" t="s">
        <v>6</v>
      </c>
      <c r="B3794">
        <v>27</v>
      </c>
      <c r="C3794" t="str">
        <f>CHOOSE(MATCH(B3794, {20,25,30,35,40,45,50,55,60,65,70,75,80,85}, 1), "20-24", "25-29", "30-34", "35-39", "40-44", "45-49", "50-54", "55-59", "60-64", "65-69", "70-74", "75-79", "80-84", "85+")</f>
        <v>25-29</v>
      </c>
      <c r="D3794" t="s">
        <v>8</v>
      </c>
    </row>
    <row r="3795" spans="1:4">
      <c r="A3795" t="s">
        <v>6</v>
      </c>
      <c r="B3795">
        <v>28</v>
      </c>
      <c r="C3795" t="str">
        <f>CHOOSE(MATCH(B3795, {20,25,30,35,40,45,50,55,60,65,70,75,80,85}, 1), "20-24", "25-29", "30-34", "35-39", "40-44", "45-49", "50-54", "55-59", "60-64", "65-69", "70-74", "75-79", "80-84", "85+")</f>
        <v>25-29</v>
      </c>
      <c r="D3795" t="s">
        <v>7</v>
      </c>
    </row>
    <row r="3796" spans="1:4">
      <c r="A3796" t="s">
        <v>6</v>
      </c>
      <c r="B3796">
        <v>36</v>
      </c>
      <c r="C3796" t="str">
        <f>CHOOSE(MATCH(B3796, {20,25,30,35,40,45,50,55,60,65,70,75,80,85}, 1), "20-24", "25-29", "30-34", "35-39", "40-44", "45-49", "50-54", "55-59", "60-64", "65-69", "70-74", "75-79", "80-84", "85+")</f>
        <v>35-39</v>
      </c>
      <c r="D3796" t="s">
        <v>7</v>
      </c>
    </row>
    <row r="3797" spans="1:4">
      <c r="A3797" t="s">
        <v>6</v>
      </c>
      <c r="B3797">
        <v>61</v>
      </c>
      <c r="C3797" t="str">
        <f>CHOOSE(MATCH(B3797, {20,25,30,35,40,45,50,55,60,65,70,75,80,85}, 1), "20-24", "25-29", "30-34", "35-39", "40-44", "45-49", "50-54", "55-59", "60-64", "65-69", "70-74", "75-79", "80-84", "85+")</f>
        <v>60-64</v>
      </c>
      <c r="D3797" t="s">
        <v>7</v>
      </c>
    </row>
    <row r="3798" spans="1:4">
      <c r="A3798" t="s">
        <v>6</v>
      </c>
      <c r="B3798">
        <v>36</v>
      </c>
      <c r="C3798" t="str">
        <f>CHOOSE(MATCH(B3798, {20,25,30,35,40,45,50,55,60,65,70,75,80,85}, 1), "20-24", "25-29", "30-34", "35-39", "40-44", "45-49", "50-54", "55-59", "60-64", "65-69", "70-74", "75-79", "80-84", "85+")</f>
        <v>35-39</v>
      </c>
      <c r="D3798" t="s">
        <v>7</v>
      </c>
    </row>
    <row r="3799" spans="1:4">
      <c r="A3799" t="s">
        <v>6</v>
      </c>
      <c r="B3799">
        <v>53</v>
      </c>
      <c r="C3799" t="str">
        <f>CHOOSE(MATCH(B3799, {20,25,30,35,40,45,50,55,60,65,70,75,80,85}, 1), "20-24", "25-29", "30-34", "35-39", "40-44", "45-49", "50-54", "55-59", "60-64", "65-69", "70-74", "75-79", "80-84", "85+")</f>
        <v>50-54</v>
      </c>
      <c r="D3799" t="s">
        <v>8</v>
      </c>
    </row>
    <row r="3800" spans="1:4">
      <c r="A3800" t="s">
        <v>6</v>
      </c>
      <c r="B3800">
        <v>83</v>
      </c>
      <c r="C3800" t="str">
        <f>CHOOSE(MATCH(B3800, {20,25,30,35,40,45,50,55,60,65,70,75,80,85}, 1), "20-24", "25-29", "30-34", "35-39", "40-44", "45-49", "50-54", "55-59", "60-64", "65-69", "70-74", "75-79", "80-84", "85+")</f>
        <v>80-84</v>
      </c>
      <c r="D3800" t="s">
        <v>8</v>
      </c>
    </row>
    <row r="3801" spans="1:4">
      <c r="A3801" t="s">
        <v>6</v>
      </c>
      <c r="B3801">
        <v>28</v>
      </c>
      <c r="C3801" t="str">
        <f>CHOOSE(MATCH(B3801, {20,25,30,35,40,45,50,55,60,65,70,75,80,85}, 1), "20-24", "25-29", "30-34", "35-39", "40-44", "45-49", "50-54", "55-59", "60-64", "65-69", "70-74", "75-79", "80-84", "85+")</f>
        <v>25-29</v>
      </c>
      <c r="D3801" t="s">
        <v>7</v>
      </c>
    </row>
    <row r="3802" spans="1:4">
      <c r="A3802" t="s">
        <v>6</v>
      </c>
      <c r="B3802">
        <v>58</v>
      </c>
      <c r="C3802" t="str">
        <f>CHOOSE(MATCH(B3802, {20,25,30,35,40,45,50,55,60,65,70,75,80,85}, 1), "20-24", "25-29", "30-34", "35-39", "40-44", "45-49", "50-54", "55-59", "60-64", "65-69", "70-74", "75-79", "80-84", "85+")</f>
        <v>55-59</v>
      </c>
      <c r="D3802" t="s">
        <v>8</v>
      </c>
    </row>
    <row r="3803" spans="1:4">
      <c r="A3803" t="s">
        <v>6</v>
      </c>
      <c r="B3803">
        <v>27</v>
      </c>
      <c r="C3803" t="str">
        <f>CHOOSE(MATCH(B3803, {20,25,30,35,40,45,50,55,60,65,70,75,80,85}, 1), "20-24", "25-29", "30-34", "35-39", "40-44", "45-49", "50-54", "55-59", "60-64", "65-69", "70-74", "75-79", "80-84", "85+")</f>
        <v>25-29</v>
      </c>
      <c r="D3803" t="s">
        <v>7</v>
      </c>
    </row>
    <row r="3804" spans="1:4">
      <c r="A3804" t="s">
        <v>6</v>
      </c>
      <c r="B3804">
        <v>48</v>
      </c>
      <c r="C3804" t="str">
        <f>CHOOSE(MATCH(B3804, {20,25,30,35,40,45,50,55,60,65,70,75,80,85}, 1), "20-24", "25-29", "30-34", "35-39", "40-44", "45-49", "50-54", "55-59", "60-64", "65-69", "70-74", "75-79", "80-84", "85+")</f>
        <v>45-49</v>
      </c>
      <c r="D3804" t="s">
        <v>7</v>
      </c>
    </row>
    <row r="3805" spans="1:4">
      <c r="A3805" t="s">
        <v>6</v>
      </c>
      <c r="B3805">
        <v>43</v>
      </c>
      <c r="C3805" t="str">
        <f>CHOOSE(MATCH(B3805, {20,25,30,35,40,45,50,55,60,65,70,75,80,85}, 1), "20-24", "25-29", "30-34", "35-39", "40-44", "45-49", "50-54", "55-59", "60-64", "65-69", "70-74", "75-79", "80-84", "85+")</f>
        <v>40-44</v>
      </c>
      <c r="D3805" t="s">
        <v>7</v>
      </c>
    </row>
    <row r="3806" spans="1:4">
      <c r="A3806" t="s">
        <v>6</v>
      </c>
      <c r="B3806">
        <v>64</v>
      </c>
      <c r="C3806" t="str">
        <f>CHOOSE(MATCH(B3806, {20,25,30,35,40,45,50,55,60,65,70,75,80,85}, 1), "20-24", "25-29", "30-34", "35-39", "40-44", "45-49", "50-54", "55-59", "60-64", "65-69", "70-74", "75-79", "80-84", "85+")</f>
        <v>60-64</v>
      </c>
      <c r="D3806" t="s">
        <v>8</v>
      </c>
    </row>
    <row r="3807" spans="1:4">
      <c r="A3807" t="s">
        <v>6</v>
      </c>
      <c r="B3807">
        <v>53</v>
      </c>
      <c r="C3807" t="str">
        <f>CHOOSE(MATCH(B3807, {20,25,30,35,40,45,50,55,60,65,70,75,80,85}, 1), "20-24", "25-29", "30-34", "35-39", "40-44", "45-49", "50-54", "55-59", "60-64", "65-69", "70-74", "75-79", "80-84", "85+")</f>
        <v>50-54</v>
      </c>
      <c r="D3807" t="s">
        <v>8</v>
      </c>
    </row>
    <row r="3808" spans="1:4">
      <c r="A3808" t="s">
        <v>6</v>
      </c>
      <c r="B3808">
        <v>32</v>
      </c>
      <c r="C3808" t="str">
        <f>CHOOSE(MATCH(B3808, {20,25,30,35,40,45,50,55,60,65,70,75,80,85}, 1), "20-24", "25-29", "30-34", "35-39", "40-44", "45-49", "50-54", "55-59", "60-64", "65-69", "70-74", "75-79", "80-84", "85+")</f>
        <v>30-34</v>
      </c>
      <c r="D3808" t="s">
        <v>7</v>
      </c>
    </row>
    <row r="3809" spans="1:4">
      <c r="A3809" t="s">
        <v>6</v>
      </c>
      <c r="B3809">
        <v>31</v>
      </c>
      <c r="C3809" t="str">
        <f>CHOOSE(MATCH(B3809, {20,25,30,35,40,45,50,55,60,65,70,75,80,85}, 1), "20-24", "25-29", "30-34", "35-39", "40-44", "45-49", "50-54", "55-59", "60-64", "65-69", "70-74", "75-79", "80-84", "85+")</f>
        <v>30-34</v>
      </c>
      <c r="D3809" t="s">
        <v>7</v>
      </c>
    </row>
    <row r="3810" spans="1:4">
      <c r="A3810" t="s">
        <v>6</v>
      </c>
      <c r="B3810">
        <v>34</v>
      </c>
      <c r="C3810" t="str">
        <f>CHOOSE(MATCH(B3810, {20,25,30,35,40,45,50,55,60,65,70,75,80,85}, 1), "20-24", "25-29", "30-34", "35-39", "40-44", "45-49", "50-54", "55-59", "60-64", "65-69", "70-74", "75-79", "80-84", "85+")</f>
        <v>30-34</v>
      </c>
      <c r="D3810" t="s">
        <v>7</v>
      </c>
    </row>
    <row r="3811" spans="1:4">
      <c r="A3811" t="s">
        <v>6</v>
      </c>
      <c r="B3811">
        <v>38</v>
      </c>
      <c r="C3811" t="str">
        <f>CHOOSE(MATCH(B3811, {20,25,30,35,40,45,50,55,60,65,70,75,80,85}, 1), "20-24", "25-29", "30-34", "35-39", "40-44", "45-49", "50-54", "55-59", "60-64", "65-69", "70-74", "75-79", "80-84", "85+")</f>
        <v>35-39</v>
      </c>
      <c r="D3811" t="s">
        <v>7</v>
      </c>
    </row>
    <row r="3812" spans="1:4">
      <c r="A3812" t="s">
        <v>6</v>
      </c>
      <c r="B3812">
        <v>38</v>
      </c>
      <c r="C3812" t="str">
        <f>CHOOSE(MATCH(B3812, {20,25,30,35,40,45,50,55,60,65,70,75,80,85}, 1), "20-24", "25-29", "30-34", "35-39", "40-44", "45-49", "50-54", "55-59", "60-64", "65-69", "70-74", "75-79", "80-84", "85+")</f>
        <v>35-39</v>
      </c>
      <c r="D3812" t="s">
        <v>7</v>
      </c>
    </row>
    <row r="3813" spans="1:4">
      <c r="A3813" t="s">
        <v>6</v>
      </c>
      <c r="B3813">
        <v>21</v>
      </c>
      <c r="C3813" t="str">
        <f>CHOOSE(MATCH(B3813, {20,25,30,35,40,45,50,55,60,65,70,75,80,85}, 1), "20-24", "25-29", "30-34", "35-39", "40-44", "45-49", "50-54", "55-59", "60-64", "65-69", "70-74", "75-79", "80-84", "85+")</f>
        <v>20-24</v>
      </c>
      <c r="D3813" t="s">
        <v>7</v>
      </c>
    </row>
    <row r="3814" spans="1:4">
      <c r="A3814" t="s">
        <v>6</v>
      </c>
      <c r="B3814">
        <v>33</v>
      </c>
      <c r="C3814" t="str">
        <f>CHOOSE(MATCH(B3814, {20,25,30,35,40,45,50,55,60,65,70,75,80,85}, 1), "20-24", "25-29", "30-34", "35-39", "40-44", "45-49", "50-54", "55-59", "60-64", "65-69", "70-74", "75-79", "80-84", "85+")</f>
        <v>30-34</v>
      </c>
      <c r="D3814" t="s">
        <v>7</v>
      </c>
    </row>
    <row r="3815" spans="1:4">
      <c r="A3815" t="s">
        <v>6</v>
      </c>
      <c r="B3815">
        <v>60</v>
      </c>
      <c r="C3815" t="str">
        <f>CHOOSE(MATCH(B3815, {20,25,30,35,40,45,50,55,60,65,70,75,80,85}, 1), "20-24", "25-29", "30-34", "35-39", "40-44", "45-49", "50-54", "55-59", "60-64", "65-69", "70-74", "75-79", "80-84", "85+")</f>
        <v>60-64</v>
      </c>
      <c r="D3815" t="s">
        <v>8</v>
      </c>
    </row>
    <row r="3816" spans="1:4">
      <c r="A3816" t="s">
        <v>6</v>
      </c>
      <c r="B3816">
        <v>77</v>
      </c>
      <c r="C3816" t="str">
        <f>CHOOSE(MATCH(B3816, {20,25,30,35,40,45,50,55,60,65,70,75,80,85}, 1), "20-24", "25-29", "30-34", "35-39", "40-44", "45-49", "50-54", "55-59", "60-64", "65-69", "70-74", "75-79", "80-84", "85+")</f>
        <v>75-79</v>
      </c>
      <c r="D3816" t="s">
        <v>8</v>
      </c>
    </row>
    <row r="3817" spans="1:4">
      <c r="A3817" t="s">
        <v>6</v>
      </c>
      <c r="B3817">
        <v>27</v>
      </c>
      <c r="C3817" t="str">
        <f>CHOOSE(MATCH(B3817, {20,25,30,35,40,45,50,55,60,65,70,75,80,85}, 1), "20-24", "25-29", "30-34", "35-39", "40-44", "45-49", "50-54", "55-59", "60-64", "65-69", "70-74", "75-79", "80-84", "85+")</f>
        <v>25-29</v>
      </c>
      <c r="D3817" t="s">
        <v>7</v>
      </c>
    </row>
    <row r="3818" spans="1:4">
      <c r="A3818" t="s">
        <v>6</v>
      </c>
      <c r="B3818">
        <v>28</v>
      </c>
      <c r="C3818" t="str">
        <f>CHOOSE(MATCH(B3818, {20,25,30,35,40,45,50,55,60,65,70,75,80,85}, 1), "20-24", "25-29", "30-34", "35-39", "40-44", "45-49", "50-54", "55-59", "60-64", "65-69", "70-74", "75-79", "80-84", "85+")</f>
        <v>25-29</v>
      </c>
      <c r="D3818" t="s">
        <v>7</v>
      </c>
    </row>
    <row r="3819" spans="1:4">
      <c r="A3819" t="s">
        <v>6</v>
      </c>
      <c r="B3819">
        <v>23</v>
      </c>
      <c r="C3819" t="str">
        <f>CHOOSE(MATCH(B3819, {20,25,30,35,40,45,50,55,60,65,70,75,80,85}, 1), "20-24", "25-29", "30-34", "35-39", "40-44", "45-49", "50-54", "55-59", "60-64", "65-69", "70-74", "75-79", "80-84", "85+")</f>
        <v>20-24</v>
      </c>
      <c r="D3819" t="s">
        <v>8</v>
      </c>
    </row>
    <row r="3820" spans="1:4">
      <c r="A3820" t="s">
        <v>6</v>
      </c>
      <c r="B3820">
        <v>27</v>
      </c>
      <c r="C3820" t="str">
        <f>CHOOSE(MATCH(B3820, {20,25,30,35,40,45,50,55,60,65,70,75,80,85}, 1), "20-24", "25-29", "30-34", "35-39", "40-44", "45-49", "50-54", "55-59", "60-64", "65-69", "70-74", "75-79", "80-84", "85+")</f>
        <v>25-29</v>
      </c>
      <c r="D3820" t="s">
        <v>7</v>
      </c>
    </row>
    <row r="3821" spans="1:4">
      <c r="A3821" t="s">
        <v>6</v>
      </c>
      <c r="B3821">
        <v>22</v>
      </c>
      <c r="C3821" t="str">
        <f>CHOOSE(MATCH(B3821, {20,25,30,35,40,45,50,55,60,65,70,75,80,85}, 1), "20-24", "25-29", "30-34", "35-39", "40-44", "45-49", "50-54", "55-59", "60-64", "65-69", "70-74", "75-79", "80-84", "85+")</f>
        <v>20-24</v>
      </c>
      <c r="D3821" t="s">
        <v>8</v>
      </c>
    </row>
    <row r="3822" spans="1:4">
      <c r="A3822" t="s">
        <v>6</v>
      </c>
      <c r="B3822">
        <v>26</v>
      </c>
      <c r="C3822" t="str">
        <f>CHOOSE(MATCH(B3822, {20,25,30,35,40,45,50,55,60,65,70,75,80,85}, 1), "20-24", "25-29", "30-34", "35-39", "40-44", "45-49", "50-54", "55-59", "60-64", "65-69", "70-74", "75-79", "80-84", "85+")</f>
        <v>25-29</v>
      </c>
      <c r="D3822" t="s">
        <v>7</v>
      </c>
    </row>
    <row r="3823" spans="1:4">
      <c r="A3823" t="s">
        <v>6</v>
      </c>
      <c r="B3823">
        <v>75</v>
      </c>
      <c r="C3823" t="str">
        <f>CHOOSE(MATCH(B3823, {20,25,30,35,40,45,50,55,60,65,70,75,80,85}, 1), "20-24", "25-29", "30-34", "35-39", "40-44", "45-49", "50-54", "55-59", "60-64", "65-69", "70-74", "75-79", "80-84", "85+")</f>
        <v>75-79</v>
      </c>
      <c r="D3823" t="s">
        <v>8</v>
      </c>
    </row>
    <row r="3824" spans="1:4">
      <c r="A3824" t="s">
        <v>6</v>
      </c>
      <c r="B3824">
        <v>30</v>
      </c>
      <c r="C3824" t="str">
        <f>CHOOSE(MATCH(B3824, {20,25,30,35,40,45,50,55,60,65,70,75,80,85}, 1), "20-24", "25-29", "30-34", "35-39", "40-44", "45-49", "50-54", "55-59", "60-64", "65-69", "70-74", "75-79", "80-84", "85+")</f>
        <v>30-34</v>
      </c>
      <c r="D3824" t="s">
        <v>7</v>
      </c>
    </row>
    <row r="3825" spans="1:4">
      <c r="A3825" t="s">
        <v>6</v>
      </c>
      <c r="B3825">
        <v>30</v>
      </c>
      <c r="C3825" t="str">
        <f>CHOOSE(MATCH(B3825, {20,25,30,35,40,45,50,55,60,65,70,75,80,85}, 1), "20-24", "25-29", "30-34", "35-39", "40-44", "45-49", "50-54", "55-59", "60-64", "65-69", "70-74", "75-79", "80-84", "85+")</f>
        <v>30-34</v>
      </c>
      <c r="D3825" t="s">
        <v>7</v>
      </c>
    </row>
    <row r="3826" spans="1:4">
      <c r="A3826" t="s">
        <v>6</v>
      </c>
      <c r="B3826">
        <v>58</v>
      </c>
      <c r="C3826" t="str">
        <f>CHOOSE(MATCH(B3826, {20,25,30,35,40,45,50,55,60,65,70,75,80,85}, 1), "20-24", "25-29", "30-34", "35-39", "40-44", "45-49", "50-54", "55-59", "60-64", "65-69", "70-74", "75-79", "80-84", "85+")</f>
        <v>55-59</v>
      </c>
      <c r="D3826" t="s">
        <v>8</v>
      </c>
    </row>
    <row r="3827" spans="1:4">
      <c r="A3827" t="s">
        <v>6</v>
      </c>
      <c r="B3827">
        <v>32</v>
      </c>
      <c r="C3827" t="str">
        <f>CHOOSE(MATCH(B3827, {20,25,30,35,40,45,50,55,60,65,70,75,80,85}, 1), "20-24", "25-29", "30-34", "35-39", "40-44", "45-49", "50-54", "55-59", "60-64", "65-69", "70-74", "75-79", "80-84", "85+")</f>
        <v>30-34</v>
      </c>
      <c r="D3827" t="s">
        <v>8</v>
      </c>
    </row>
    <row r="3828" spans="1:4">
      <c r="A3828" t="s">
        <v>6</v>
      </c>
      <c r="B3828">
        <v>58</v>
      </c>
      <c r="C3828" t="str">
        <f>CHOOSE(MATCH(B3828, {20,25,30,35,40,45,50,55,60,65,70,75,80,85}, 1), "20-24", "25-29", "30-34", "35-39", "40-44", "45-49", "50-54", "55-59", "60-64", "65-69", "70-74", "75-79", "80-84", "85+")</f>
        <v>55-59</v>
      </c>
      <c r="D3828" t="s">
        <v>7</v>
      </c>
    </row>
    <row r="3829" spans="1:4">
      <c r="A3829" t="s">
        <v>6</v>
      </c>
      <c r="B3829">
        <v>31</v>
      </c>
      <c r="C3829" t="str">
        <f>CHOOSE(MATCH(B3829, {20,25,30,35,40,45,50,55,60,65,70,75,80,85}, 1), "20-24", "25-29", "30-34", "35-39", "40-44", "45-49", "50-54", "55-59", "60-64", "65-69", "70-74", "75-79", "80-84", "85+")</f>
        <v>30-34</v>
      </c>
      <c r="D3829" t="s">
        <v>7</v>
      </c>
    </row>
    <row r="3830" spans="1:4">
      <c r="A3830" t="s">
        <v>6</v>
      </c>
      <c r="B3830">
        <v>47</v>
      </c>
      <c r="C3830" t="str">
        <f>CHOOSE(MATCH(B3830, {20,25,30,35,40,45,50,55,60,65,70,75,80,85}, 1), "20-24", "25-29", "30-34", "35-39", "40-44", "45-49", "50-54", "55-59", "60-64", "65-69", "70-74", "75-79", "80-84", "85+")</f>
        <v>45-49</v>
      </c>
      <c r="D3830" t="s">
        <v>7</v>
      </c>
    </row>
    <row r="3831" spans="1:4">
      <c r="A3831" t="s">
        <v>6</v>
      </c>
      <c r="B3831">
        <v>45</v>
      </c>
      <c r="C3831" t="str">
        <f>CHOOSE(MATCH(B3831, {20,25,30,35,40,45,50,55,60,65,70,75,80,85}, 1), "20-24", "25-29", "30-34", "35-39", "40-44", "45-49", "50-54", "55-59", "60-64", "65-69", "70-74", "75-79", "80-84", "85+")</f>
        <v>45-49</v>
      </c>
      <c r="D3831" t="s">
        <v>7</v>
      </c>
    </row>
    <row r="3832" spans="1:4">
      <c r="A3832" t="s">
        <v>6</v>
      </c>
      <c r="B3832">
        <v>54</v>
      </c>
      <c r="C3832" t="str">
        <f>CHOOSE(MATCH(B3832, {20,25,30,35,40,45,50,55,60,65,70,75,80,85}, 1), "20-24", "25-29", "30-34", "35-39", "40-44", "45-49", "50-54", "55-59", "60-64", "65-69", "70-74", "75-79", "80-84", "85+")</f>
        <v>50-54</v>
      </c>
      <c r="D3832" t="s">
        <v>8</v>
      </c>
    </row>
    <row r="3833" spans="1:4">
      <c r="A3833" t="s">
        <v>6</v>
      </c>
      <c r="B3833">
        <v>60</v>
      </c>
      <c r="C3833" t="str">
        <f>CHOOSE(MATCH(B3833, {20,25,30,35,40,45,50,55,60,65,70,75,80,85}, 1), "20-24", "25-29", "30-34", "35-39", "40-44", "45-49", "50-54", "55-59", "60-64", "65-69", "70-74", "75-79", "80-84", "85+")</f>
        <v>60-64</v>
      </c>
      <c r="D3833" t="s">
        <v>8</v>
      </c>
    </row>
    <row r="3834" spans="1:4">
      <c r="A3834" t="s">
        <v>6</v>
      </c>
      <c r="B3834">
        <v>62</v>
      </c>
      <c r="C3834" t="str">
        <f>CHOOSE(MATCH(B3834, {20,25,30,35,40,45,50,55,60,65,70,75,80,85}, 1), "20-24", "25-29", "30-34", "35-39", "40-44", "45-49", "50-54", "55-59", "60-64", "65-69", "70-74", "75-79", "80-84", "85+")</f>
        <v>60-64</v>
      </c>
      <c r="D3834" t="s">
        <v>8</v>
      </c>
    </row>
    <row r="3835" spans="1:4">
      <c r="A3835" t="s">
        <v>6</v>
      </c>
      <c r="B3835">
        <v>35</v>
      </c>
      <c r="C3835" t="str">
        <f>CHOOSE(MATCH(B3835, {20,25,30,35,40,45,50,55,60,65,70,75,80,85}, 1), "20-24", "25-29", "30-34", "35-39", "40-44", "45-49", "50-54", "55-59", "60-64", "65-69", "70-74", "75-79", "80-84", "85+")</f>
        <v>35-39</v>
      </c>
      <c r="D3835" t="s">
        <v>7</v>
      </c>
    </row>
    <row r="3836" spans="1:4">
      <c r="A3836" t="s">
        <v>6</v>
      </c>
      <c r="B3836">
        <v>44</v>
      </c>
      <c r="C3836" t="str">
        <f>CHOOSE(MATCH(B3836, {20,25,30,35,40,45,50,55,60,65,70,75,80,85}, 1), "20-24", "25-29", "30-34", "35-39", "40-44", "45-49", "50-54", "55-59", "60-64", "65-69", "70-74", "75-79", "80-84", "85+")</f>
        <v>40-44</v>
      </c>
      <c r="D3836" t="s">
        <v>8</v>
      </c>
    </row>
    <row r="3837" spans="1:4">
      <c r="A3837" t="s">
        <v>6</v>
      </c>
      <c r="B3837">
        <v>47</v>
      </c>
      <c r="C3837" t="str">
        <f>CHOOSE(MATCH(B3837, {20,25,30,35,40,45,50,55,60,65,70,75,80,85}, 1), "20-24", "25-29", "30-34", "35-39", "40-44", "45-49", "50-54", "55-59", "60-64", "65-69", "70-74", "75-79", "80-84", "85+")</f>
        <v>45-49</v>
      </c>
      <c r="D3837" t="s">
        <v>8</v>
      </c>
    </row>
    <row r="3838" spans="1:4">
      <c r="A3838" t="s">
        <v>6</v>
      </c>
      <c r="B3838">
        <v>66</v>
      </c>
      <c r="C3838" t="str">
        <f>CHOOSE(MATCH(B3838, {20,25,30,35,40,45,50,55,60,65,70,75,80,85}, 1), "20-24", "25-29", "30-34", "35-39", "40-44", "45-49", "50-54", "55-59", "60-64", "65-69", "70-74", "75-79", "80-84", "85+")</f>
        <v>65-69</v>
      </c>
      <c r="D3838" t="s">
        <v>7</v>
      </c>
    </row>
    <row r="3839" spans="1:4">
      <c r="A3839" t="s">
        <v>6</v>
      </c>
      <c r="B3839">
        <v>23</v>
      </c>
      <c r="C3839" t="str">
        <f>CHOOSE(MATCH(B3839, {20,25,30,35,40,45,50,55,60,65,70,75,80,85}, 1), "20-24", "25-29", "30-34", "35-39", "40-44", "45-49", "50-54", "55-59", "60-64", "65-69", "70-74", "75-79", "80-84", "85+")</f>
        <v>20-24</v>
      </c>
      <c r="D3839" t="s">
        <v>7</v>
      </c>
    </row>
    <row r="3840" spans="1:4">
      <c r="A3840" t="s">
        <v>6</v>
      </c>
      <c r="B3840">
        <v>54</v>
      </c>
      <c r="C3840" t="str">
        <f>CHOOSE(MATCH(B3840, {20,25,30,35,40,45,50,55,60,65,70,75,80,85}, 1), "20-24", "25-29", "30-34", "35-39", "40-44", "45-49", "50-54", "55-59", "60-64", "65-69", "70-74", "75-79", "80-84", "85+")</f>
        <v>50-54</v>
      </c>
      <c r="D3840" t="s">
        <v>7</v>
      </c>
    </row>
    <row r="3841" spans="1:4">
      <c r="A3841" t="s">
        <v>6</v>
      </c>
      <c r="B3841">
        <v>20</v>
      </c>
      <c r="C3841" t="str">
        <f>CHOOSE(MATCH(B3841, {20,25,30,35,40,45,50,55,60,65,70,75,80,85}, 1), "20-24", "25-29", "30-34", "35-39", "40-44", "45-49", "50-54", "55-59", "60-64", "65-69", "70-74", "75-79", "80-84", "85+")</f>
        <v>20-24</v>
      </c>
      <c r="D3841" t="s">
        <v>7</v>
      </c>
    </row>
    <row r="3842" spans="1:4">
      <c r="A3842" t="s">
        <v>6</v>
      </c>
      <c r="B3842">
        <v>25</v>
      </c>
      <c r="C3842" t="str">
        <f>CHOOSE(MATCH(B3842, {20,25,30,35,40,45,50,55,60,65,70,75,80,85}, 1), "20-24", "25-29", "30-34", "35-39", "40-44", "45-49", "50-54", "55-59", "60-64", "65-69", "70-74", "75-79", "80-84", "85+")</f>
        <v>25-29</v>
      </c>
      <c r="D3842" t="s">
        <v>7</v>
      </c>
    </row>
    <row r="3843" spans="1:4">
      <c r="A3843" t="s">
        <v>6</v>
      </c>
      <c r="B3843">
        <v>58</v>
      </c>
      <c r="C3843" t="str">
        <f>CHOOSE(MATCH(B3843, {20,25,30,35,40,45,50,55,60,65,70,75,80,85}, 1), "20-24", "25-29", "30-34", "35-39", "40-44", "45-49", "50-54", "55-59", "60-64", "65-69", "70-74", "75-79", "80-84", "85+")</f>
        <v>55-59</v>
      </c>
      <c r="D3843" t="s">
        <v>7</v>
      </c>
    </row>
    <row r="3844" spans="1:4">
      <c r="A3844" t="s">
        <v>6</v>
      </c>
      <c r="B3844">
        <v>29</v>
      </c>
      <c r="C3844" t="str">
        <f>CHOOSE(MATCH(B3844, {20,25,30,35,40,45,50,55,60,65,70,75,80,85}, 1), "20-24", "25-29", "30-34", "35-39", "40-44", "45-49", "50-54", "55-59", "60-64", "65-69", "70-74", "75-79", "80-84", "85+")</f>
        <v>25-29</v>
      </c>
      <c r="D3844" t="s">
        <v>8</v>
      </c>
    </row>
    <row r="3845" spans="1:4">
      <c r="A3845" t="s">
        <v>6</v>
      </c>
      <c r="B3845">
        <v>41</v>
      </c>
      <c r="C3845" t="str">
        <f>CHOOSE(MATCH(B3845, {20,25,30,35,40,45,50,55,60,65,70,75,80,85}, 1), "20-24", "25-29", "30-34", "35-39", "40-44", "45-49", "50-54", "55-59", "60-64", "65-69", "70-74", "75-79", "80-84", "85+")</f>
        <v>40-44</v>
      </c>
      <c r="D3845" t="s">
        <v>8</v>
      </c>
    </row>
    <row r="3846" spans="1:4">
      <c r="A3846" t="s">
        <v>6</v>
      </c>
      <c r="B3846">
        <v>29</v>
      </c>
      <c r="C3846" t="str">
        <f>CHOOSE(MATCH(B3846, {20,25,30,35,40,45,50,55,60,65,70,75,80,85}, 1), "20-24", "25-29", "30-34", "35-39", "40-44", "45-49", "50-54", "55-59", "60-64", "65-69", "70-74", "75-79", "80-84", "85+")</f>
        <v>25-29</v>
      </c>
      <c r="D3846" t="s">
        <v>7</v>
      </c>
    </row>
    <row r="3847" spans="1:4">
      <c r="A3847" t="s">
        <v>6</v>
      </c>
      <c r="B3847">
        <v>34</v>
      </c>
      <c r="C3847" t="str">
        <f>CHOOSE(MATCH(B3847, {20,25,30,35,40,45,50,55,60,65,70,75,80,85}, 1), "20-24", "25-29", "30-34", "35-39", "40-44", "45-49", "50-54", "55-59", "60-64", "65-69", "70-74", "75-79", "80-84", "85+")</f>
        <v>30-34</v>
      </c>
      <c r="D3847" t="s">
        <v>7</v>
      </c>
    </row>
    <row r="3848" spans="1:4">
      <c r="A3848" t="s">
        <v>6</v>
      </c>
      <c r="B3848">
        <v>33</v>
      </c>
      <c r="C3848" t="str">
        <f>CHOOSE(MATCH(B3848, {20,25,30,35,40,45,50,55,60,65,70,75,80,85}, 1), "20-24", "25-29", "30-34", "35-39", "40-44", "45-49", "50-54", "55-59", "60-64", "65-69", "70-74", "75-79", "80-84", "85+")</f>
        <v>30-34</v>
      </c>
      <c r="D3848" t="s">
        <v>7</v>
      </c>
    </row>
    <row r="3849" spans="1:4">
      <c r="A3849" t="s">
        <v>6</v>
      </c>
      <c r="B3849">
        <v>79</v>
      </c>
      <c r="C3849" t="str">
        <f>CHOOSE(MATCH(B3849, {20,25,30,35,40,45,50,55,60,65,70,75,80,85}, 1), "20-24", "25-29", "30-34", "35-39", "40-44", "45-49", "50-54", "55-59", "60-64", "65-69", "70-74", "75-79", "80-84", "85+")</f>
        <v>75-79</v>
      </c>
      <c r="D3849" t="s">
        <v>8</v>
      </c>
    </row>
    <row r="3850" spans="1:4">
      <c r="A3850" t="s">
        <v>6</v>
      </c>
      <c r="B3850">
        <v>43</v>
      </c>
      <c r="C3850" t="str">
        <f>CHOOSE(MATCH(B3850, {20,25,30,35,40,45,50,55,60,65,70,75,80,85}, 1), "20-24", "25-29", "30-34", "35-39", "40-44", "45-49", "50-54", "55-59", "60-64", "65-69", "70-74", "75-79", "80-84", "85+")</f>
        <v>40-44</v>
      </c>
      <c r="D3850" t="s">
        <v>7</v>
      </c>
    </row>
    <row r="3851" spans="1:4">
      <c r="A3851" t="s">
        <v>6</v>
      </c>
      <c r="B3851">
        <v>59</v>
      </c>
      <c r="C3851" t="str">
        <f>CHOOSE(MATCH(B3851, {20,25,30,35,40,45,50,55,60,65,70,75,80,85}, 1), "20-24", "25-29", "30-34", "35-39", "40-44", "45-49", "50-54", "55-59", "60-64", "65-69", "70-74", "75-79", "80-84", "85+")</f>
        <v>55-59</v>
      </c>
      <c r="D3851" t="s">
        <v>8</v>
      </c>
    </row>
    <row r="3852" spans="1:4">
      <c r="A3852" t="s">
        <v>6</v>
      </c>
      <c r="B3852">
        <v>27</v>
      </c>
      <c r="C3852" t="str">
        <f>CHOOSE(MATCH(B3852, {20,25,30,35,40,45,50,55,60,65,70,75,80,85}, 1), "20-24", "25-29", "30-34", "35-39", "40-44", "45-49", "50-54", "55-59", "60-64", "65-69", "70-74", "75-79", "80-84", "85+")</f>
        <v>25-29</v>
      </c>
      <c r="D3852" t="s">
        <v>7</v>
      </c>
    </row>
    <row r="3853" spans="1:4">
      <c r="A3853" t="s">
        <v>6</v>
      </c>
      <c r="B3853">
        <v>63</v>
      </c>
      <c r="C3853" t="str">
        <f>CHOOSE(MATCH(B3853, {20,25,30,35,40,45,50,55,60,65,70,75,80,85}, 1), "20-24", "25-29", "30-34", "35-39", "40-44", "45-49", "50-54", "55-59", "60-64", "65-69", "70-74", "75-79", "80-84", "85+")</f>
        <v>60-64</v>
      </c>
      <c r="D3853" t="s">
        <v>7</v>
      </c>
    </row>
    <row r="3854" spans="1:4">
      <c r="A3854" t="s">
        <v>6</v>
      </c>
      <c r="B3854">
        <v>65</v>
      </c>
      <c r="C3854" t="str">
        <f>CHOOSE(MATCH(B3854, {20,25,30,35,40,45,50,55,60,65,70,75,80,85}, 1), "20-24", "25-29", "30-34", "35-39", "40-44", "45-49", "50-54", "55-59", "60-64", "65-69", "70-74", "75-79", "80-84", "85+")</f>
        <v>65-69</v>
      </c>
      <c r="D3854" t="s">
        <v>7</v>
      </c>
    </row>
    <row r="3855" spans="1:4">
      <c r="A3855" t="s">
        <v>6</v>
      </c>
      <c r="B3855">
        <v>63</v>
      </c>
      <c r="C3855" t="str">
        <f>CHOOSE(MATCH(B3855, {20,25,30,35,40,45,50,55,60,65,70,75,80,85}, 1), "20-24", "25-29", "30-34", "35-39", "40-44", "45-49", "50-54", "55-59", "60-64", "65-69", "70-74", "75-79", "80-84", "85+")</f>
        <v>60-64</v>
      </c>
      <c r="D3855" t="s">
        <v>7</v>
      </c>
    </row>
    <row r="3856" spans="1:4">
      <c r="A3856" t="s">
        <v>6</v>
      </c>
      <c r="B3856">
        <v>32</v>
      </c>
      <c r="C3856" t="str">
        <f>CHOOSE(MATCH(B3856, {20,25,30,35,40,45,50,55,60,65,70,75,80,85}, 1), "20-24", "25-29", "30-34", "35-39", "40-44", "45-49", "50-54", "55-59", "60-64", "65-69", "70-74", "75-79", "80-84", "85+")</f>
        <v>30-34</v>
      </c>
      <c r="D3856" t="s">
        <v>7</v>
      </c>
    </row>
    <row r="3857" spans="1:4">
      <c r="A3857" t="s">
        <v>6</v>
      </c>
      <c r="B3857">
        <v>28</v>
      </c>
      <c r="C3857" t="str">
        <f>CHOOSE(MATCH(B3857, {20,25,30,35,40,45,50,55,60,65,70,75,80,85}, 1), "20-24", "25-29", "30-34", "35-39", "40-44", "45-49", "50-54", "55-59", "60-64", "65-69", "70-74", "75-79", "80-84", "85+")</f>
        <v>25-29</v>
      </c>
      <c r="D3857" t="s">
        <v>8</v>
      </c>
    </row>
    <row r="3858" spans="1:4">
      <c r="A3858" t="s">
        <v>6</v>
      </c>
      <c r="B3858">
        <v>35</v>
      </c>
      <c r="C3858" t="str">
        <f>CHOOSE(MATCH(B3858, {20,25,30,35,40,45,50,55,60,65,70,75,80,85}, 1), "20-24", "25-29", "30-34", "35-39", "40-44", "45-49", "50-54", "55-59", "60-64", "65-69", "70-74", "75-79", "80-84", "85+")</f>
        <v>35-39</v>
      </c>
      <c r="D3858" t="s">
        <v>7</v>
      </c>
    </row>
    <row r="3859" spans="1:4">
      <c r="A3859" t="s">
        <v>6</v>
      </c>
      <c r="B3859">
        <v>41</v>
      </c>
      <c r="C3859" t="str">
        <f>CHOOSE(MATCH(B3859, {20,25,30,35,40,45,50,55,60,65,70,75,80,85}, 1), "20-24", "25-29", "30-34", "35-39", "40-44", "45-49", "50-54", "55-59", "60-64", "65-69", "70-74", "75-79", "80-84", "85+")</f>
        <v>40-44</v>
      </c>
      <c r="D3859" t="s">
        <v>8</v>
      </c>
    </row>
    <row r="3860" spans="1:4">
      <c r="A3860" t="s">
        <v>6</v>
      </c>
      <c r="B3860">
        <v>71</v>
      </c>
      <c r="C3860" t="str">
        <f>CHOOSE(MATCH(B3860, {20,25,30,35,40,45,50,55,60,65,70,75,80,85}, 1), "20-24", "25-29", "30-34", "35-39", "40-44", "45-49", "50-54", "55-59", "60-64", "65-69", "70-74", "75-79", "80-84", "85+")</f>
        <v>70-74</v>
      </c>
      <c r="D3860" t="s">
        <v>7</v>
      </c>
    </row>
    <row r="3861" spans="1:4">
      <c r="A3861" t="s">
        <v>6</v>
      </c>
      <c r="B3861">
        <v>36</v>
      </c>
      <c r="C3861" t="str">
        <f>CHOOSE(MATCH(B3861, {20,25,30,35,40,45,50,55,60,65,70,75,80,85}, 1), "20-24", "25-29", "30-34", "35-39", "40-44", "45-49", "50-54", "55-59", "60-64", "65-69", "70-74", "75-79", "80-84", "85+")</f>
        <v>35-39</v>
      </c>
      <c r="D3861" t="s">
        <v>7</v>
      </c>
    </row>
    <row r="3862" spans="1:4">
      <c r="A3862" t="s">
        <v>6</v>
      </c>
      <c r="B3862">
        <v>35</v>
      </c>
      <c r="C3862" t="str">
        <f>CHOOSE(MATCH(B3862, {20,25,30,35,40,45,50,55,60,65,70,75,80,85}, 1), "20-24", "25-29", "30-34", "35-39", "40-44", "45-49", "50-54", "55-59", "60-64", "65-69", "70-74", "75-79", "80-84", "85+")</f>
        <v>35-39</v>
      </c>
      <c r="D3862" t="s">
        <v>7</v>
      </c>
    </row>
    <row r="3863" spans="1:4">
      <c r="A3863" t="s">
        <v>6</v>
      </c>
      <c r="B3863">
        <v>38</v>
      </c>
      <c r="C3863" t="str">
        <f>CHOOSE(MATCH(B3863, {20,25,30,35,40,45,50,55,60,65,70,75,80,85}, 1), "20-24", "25-29", "30-34", "35-39", "40-44", "45-49", "50-54", "55-59", "60-64", "65-69", "70-74", "75-79", "80-84", "85+")</f>
        <v>35-39</v>
      </c>
      <c r="D3863" t="s">
        <v>8</v>
      </c>
    </row>
    <row r="3864" spans="1:4">
      <c r="A3864" t="s">
        <v>6</v>
      </c>
      <c r="B3864">
        <v>34</v>
      </c>
      <c r="C3864" t="str">
        <f>CHOOSE(MATCH(B3864, {20,25,30,35,40,45,50,55,60,65,70,75,80,85}, 1), "20-24", "25-29", "30-34", "35-39", "40-44", "45-49", "50-54", "55-59", "60-64", "65-69", "70-74", "75-79", "80-84", "85+")</f>
        <v>30-34</v>
      </c>
      <c r="D3864" t="s">
        <v>8</v>
      </c>
    </row>
    <row r="3865" spans="1:4">
      <c r="A3865" t="s">
        <v>6</v>
      </c>
      <c r="B3865">
        <v>31</v>
      </c>
      <c r="C3865" t="str">
        <f>CHOOSE(MATCH(B3865, {20,25,30,35,40,45,50,55,60,65,70,75,80,85}, 1), "20-24", "25-29", "30-34", "35-39", "40-44", "45-49", "50-54", "55-59", "60-64", "65-69", "70-74", "75-79", "80-84", "85+")</f>
        <v>30-34</v>
      </c>
      <c r="D3865" t="s">
        <v>7</v>
      </c>
    </row>
    <row r="3866" spans="1:4">
      <c r="A3866" t="s">
        <v>6</v>
      </c>
      <c r="B3866">
        <v>36</v>
      </c>
      <c r="C3866" t="str">
        <f>CHOOSE(MATCH(B3866, {20,25,30,35,40,45,50,55,60,65,70,75,80,85}, 1), "20-24", "25-29", "30-34", "35-39", "40-44", "45-49", "50-54", "55-59", "60-64", "65-69", "70-74", "75-79", "80-84", "85+")</f>
        <v>35-39</v>
      </c>
      <c r="D3866" t="s">
        <v>7</v>
      </c>
    </row>
    <row r="3867" spans="1:4">
      <c r="A3867" t="s">
        <v>6</v>
      </c>
      <c r="B3867">
        <v>54</v>
      </c>
      <c r="C3867" t="str">
        <f>CHOOSE(MATCH(B3867, {20,25,30,35,40,45,50,55,60,65,70,75,80,85}, 1), "20-24", "25-29", "30-34", "35-39", "40-44", "45-49", "50-54", "55-59", "60-64", "65-69", "70-74", "75-79", "80-84", "85+")</f>
        <v>50-54</v>
      </c>
      <c r="D3867" t="s">
        <v>7</v>
      </c>
    </row>
    <row r="3868" spans="1:4">
      <c r="A3868" t="s">
        <v>6</v>
      </c>
      <c r="B3868">
        <v>62</v>
      </c>
      <c r="C3868" t="str">
        <f>CHOOSE(MATCH(B3868, {20,25,30,35,40,45,50,55,60,65,70,75,80,85}, 1), "20-24", "25-29", "30-34", "35-39", "40-44", "45-49", "50-54", "55-59", "60-64", "65-69", "70-74", "75-79", "80-84", "85+")</f>
        <v>60-64</v>
      </c>
      <c r="D3868" t="s">
        <v>8</v>
      </c>
    </row>
    <row r="3869" spans="1:4">
      <c r="A3869" t="s">
        <v>6</v>
      </c>
      <c r="B3869">
        <v>50</v>
      </c>
      <c r="C3869" t="str">
        <f>CHOOSE(MATCH(B3869, {20,25,30,35,40,45,50,55,60,65,70,75,80,85}, 1), "20-24", "25-29", "30-34", "35-39", "40-44", "45-49", "50-54", "55-59", "60-64", "65-69", "70-74", "75-79", "80-84", "85+")</f>
        <v>50-54</v>
      </c>
      <c r="D3869" t="s">
        <v>7</v>
      </c>
    </row>
    <row r="3870" spans="1:4">
      <c r="A3870" t="s">
        <v>6</v>
      </c>
      <c r="B3870">
        <v>27</v>
      </c>
      <c r="C3870" t="str">
        <f>CHOOSE(MATCH(B3870, {20,25,30,35,40,45,50,55,60,65,70,75,80,85}, 1), "20-24", "25-29", "30-34", "35-39", "40-44", "45-49", "50-54", "55-59", "60-64", "65-69", "70-74", "75-79", "80-84", "85+")</f>
        <v>25-29</v>
      </c>
      <c r="D3870" t="s">
        <v>7</v>
      </c>
    </row>
    <row r="3871" spans="1:4">
      <c r="A3871" t="s">
        <v>6</v>
      </c>
      <c r="B3871">
        <v>21</v>
      </c>
      <c r="C3871" t="str">
        <f>CHOOSE(MATCH(B3871, {20,25,30,35,40,45,50,55,60,65,70,75,80,85}, 1), "20-24", "25-29", "30-34", "35-39", "40-44", "45-49", "50-54", "55-59", "60-64", "65-69", "70-74", "75-79", "80-84", "85+")</f>
        <v>20-24</v>
      </c>
      <c r="D3871" t="s">
        <v>7</v>
      </c>
    </row>
    <row r="3872" spans="1:4">
      <c r="A3872" t="s">
        <v>6</v>
      </c>
      <c r="B3872">
        <v>35</v>
      </c>
      <c r="C3872" t="str">
        <f>CHOOSE(MATCH(B3872, {20,25,30,35,40,45,50,55,60,65,70,75,80,85}, 1), "20-24", "25-29", "30-34", "35-39", "40-44", "45-49", "50-54", "55-59", "60-64", "65-69", "70-74", "75-79", "80-84", "85+")</f>
        <v>35-39</v>
      </c>
      <c r="D3872" t="s">
        <v>7</v>
      </c>
    </row>
    <row r="3873" spans="1:4">
      <c r="A3873" t="s">
        <v>6</v>
      </c>
      <c r="B3873">
        <v>32</v>
      </c>
      <c r="C3873" t="str">
        <f>CHOOSE(MATCH(B3873, {20,25,30,35,40,45,50,55,60,65,70,75,80,85}, 1), "20-24", "25-29", "30-34", "35-39", "40-44", "45-49", "50-54", "55-59", "60-64", "65-69", "70-74", "75-79", "80-84", "85+")</f>
        <v>30-34</v>
      </c>
      <c r="D3873" t="s">
        <v>7</v>
      </c>
    </row>
    <row r="3874" spans="1:4">
      <c r="A3874" t="s">
        <v>6</v>
      </c>
      <c r="B3874">
        <v>34</v>
      </c>
      <c r="C3874" t="str">
        <f>CHOOSE(MATCH(B3874, {20,25,30,35,40,45,50,55,60,65,70,75,80,85}, 1), "20-24", "25-29", "30-34", "35-39", "40-44", "45-49", "50-54", "55-59", "60-64", "65-69", "70-74", "75-79", "80-84", "85+")</f>
        <v>30-34</v>
      </c>
      <c r="D3874" t="s">
        <v>7</v>
      </c>
    </row>
    <row r="3875" spans="1:4">
      <c r="A3875" t="s">
        <v>6</v>
      </c>
      <c r="B3875">
        <v>26</v>
      </c>
      <c r="C3875" t="str">
        <f>CHOOSE(MATCH(B3875, {20,25,30,35,40,45,50,55,60,65,70,75,80,85}, 1), "20-24", "25-29", "30-34", "35-39", "40-44", "45-49", "50-54", "55-59", "60-64", "65-69", "70-74", "75-79", "80-84", "85+")</f>
        <v>25-29</v>
      </c>
      <c r="D3875" t="s">
        <v>8</v>
      </c>
    </row>
    <row r="3876" spans="1:4">
      <c r="A3876" t="s">
        <v>6</v>
      </c>
      <c r="B3876">
        <v>27</v>
      </c>
      <c r="C3876" t="str">
        <f>CHOOSE(MATCH(B3876, {20,25,30,35,40,45,50,55,60,65,70,75,80,85}, 1), "20-24", "25-29", "30-34", "35-39", "40-44", "45-49", "50-54", "55-59", "60-64", "65-69", "70-74", "75-79", "80-84", "85+")</f>
        <v>25-29</v>
      </c>
      <c r="D3876" t="s">
        <v>8</v>
      </c>
    </row>
    <row r="3877" spans="1:4">
      <c r="A3877" t="s">
        <v>6</v>
      </c>
      <c r="B3877">
        <v>35</v>
      </c>
      <c r="C3877" t="str">
        <f>CHOOSE(MATCH(B3877, {20,25,30,35,40,45,50,55,60,65,70,75,80,85}, 1), "20-24", "25-29", "30-34", "35-39", "40-44", "45-49", "50-54", "55-59", "60-64", "65-69", "70-74", "75-79", "80-84", "85+")</f>
        <v>35-39</v>
      </c>
      <c r="D3877" t="s">
        <v>8</v>
      </c>
    </row>
    <row r="3878" spans="1:4">
      <c r="A3878" t="s">
        <v>6</v>
      </c>
      <c r="B3878">
        <v>30</v>
      </c>
      <c r="C3878" t="str">
        <f>CHOOSE(MATCH(B3878, {20,25,30,35,40,45,50,55,60,65,70,75,80,85}, 1), "20-24", "25-29", "30-34", "35-39", "40-44", "45-49", "50-54", "55-59", "60-64", "65-69", "70-74", "75-79", "80-84", "85+")</f>
        <v>30-34</v>
      </c>
      <c r="D3878" t="s">
        <v>8</v>
      </c>
    </row>
    <row r="3879" spans="1:4">
      <c r="A3879" t="s">
        <v>6</v>
      </c>
      <c r="B3879">
        <v>41</v>
      </c>
      <c r="C3879" t="str">
        <f>CHOOSE(MATCH(B3879, {20,25,30,35,40,45,50,55,60,65,70,75,80,85}, 1), "20-24", "25-29", "30-34", "35-39", "40-44", "45-49", "50-54", "55-59", "60-64", "65-69", "70-74", "75-79", "80-84", "85+")</f>
        <v>40-44</v>
      </c>
      <c r="D3879" t="s">
        <v>8</v>
      </c>
    </row>
    <row r="3880" spans="1:4">
      <c r="A3880" t="s">
        <v>6</v>
      </c>
      <c r="B3880">
        <v>48</v>
      </c>
      <c r="C3880" t="str">
        <f>CHOOSE(MATCH(B3880, {20,25,30,35,40,45,50,55,60,65,70,75,80,85}, 1), "20-24", "25-29", "30-34", "35-39", "40-44", "45-49", "50-54", "55-59", "60-64", "65-69", "70-74", "75-79", "80-84", "85+")</f>
        <v>45-49</v>
      </c>
      <c r="D3880" t="s">
        <v>8</v>
      </c>
    </row>
    <row r="3881" spans="1:4">
      <c r="A3881" t="s">
        <v>6</v>
      </c>
      <c r="B3881">
        <v>42</v>
      </c>
      <c r="C3881" t="str">
        <f>CHOOSE(MATCH(B3881, {20,25,30,35,40,45,50,55,60,65,70,75,80,85}, 1), "20-24", "25-29", "30-34", "35-39", "40-44", "45-49", "50-54", "55-59", "60-64", "65-69", "70-74", "75-79", "80-84", "85+")</f>
        <v>40-44</v>
      </c>
      <c r="D3881" t="s">
        <v>7</v>
      </c>
    </row>
    <row r="3882" spans="1:4">
      <c r="A3882" t="s">
        <v>6</v>
      </c>
      <c r="B3882">
        <v>71</v>
      </c>
      <c r="C3882" t="str">
        <f>CHOOSE(MATCH(B3882, {20,25,30,35,40,45,50,55,60,65,70,75,80,85}, 1), "20-24", "25-29", "30-34", "35-39", "40-44", "45-49", "50-54", "55-59", "60-64", "65-69", "70-74", "75-79", "80-84", "85+")</f>
        <v>70-74</v>
      </c>
      <c r="D3882" t="s">
        <v>8</v>
      </c>
    </row>
    <row r="3883" spans="1:4">
      <c r="A3883" t="s">
        <v>6</v>
      </c>
      <c r="B3883">
        <v>33</v>
      </c>
      <c r="C3883" t="str">
        <f>CHOOSE(MATCH(B3883, {20,25,30,35,40,45,50,55,60,65,70,75,80,85}, 1), "20-24", "25-29", "30-34", "35-39", "40-44", "45-49", "50-54", "55-59", "60-64", "65-69", "70-74", "75-79", "80-84", "85+")</f>
        <v>30-34</v>
      </c>
      <c r="D3883" t="s">
        <v>8</v>
      </c>
    </row>
    <row r="3884" spans="1:4">
      <c r="A3884" t="s">
        <v>6</v>
      </c>
      <c r="B3884">
        <v>30</v>
      </c>
      <c r="C3884" t="str">
        <f>CHOOSE(MATCH(B3884, {20,25,30,35,40,45,50,55,60,65,70,75,80,85}, 1), "20-24", "25-29", "30-34", "35-39", "40-44", "45-49", "50-54", "55-59", "60-64", "65-69", "70-74", "75-79", "80-84", "85+")</f>
        <v>30-34</v>
      </c>
      <c r="D3884" t="s">
        <v>8</v>
      </c>
    </row>
    <row r="3885" spans="1:4">
      <c r="A3885" t="s">
        <v>6</v>
      </c>
      <c r="B3885">
        <v>36</v>
      </c>
      <c r="C3885" t="str">
        <f>CHOOSE(MATCH(B3885, {20,25,30,35,40,45,50,55,60,65,70,75,80,85}, 1), "20-24", "25-29", "30-34", "35-39", "40-44", "45-49", "50-54", "55-59", "60-64", "65-69", "70-74", "75-79", "80-84", "85+")</f>
        <v>35-39</v>
      </c>
      <c r="D3885" t="s">
        <v>7</v>
      </c>
    </row>
    <row r="3886" spans="1:4">
      <c r="A3886" t="s">
        <v>6</v>
      </c>
      <c r="B3886">
        <v>31</v>
      </c>
      <c r="C3886" t="str">
        <f>CHOOSE(MATCH(B3886, {20,25,30,35,40,45,50,55,60,65,70,75,80,85}, 1), "20-24", "25-29", "30-34", "35-39", "40-44", "45-49", "50-54", "55-59", "60-64", "65-69", "70-74", "75-79", "80-84", "85+")</f>
        <v>30-34</v>
      </c>
      <c r="D3886" t="s">
        <v>7</v>
      </c>
    </row>
    <row r="3887" spans="1:4">
      <c r="A3887" t="s">
        <v>6</v>
      </c>
      <c r="B3887">
        <v>64</v>
      </c>
      <c r="C3887" t="str">
        <f>CHOOSE(MATCH(B3887, {20,25,30,35,40,45,50,55,60,65,70,75,80,85}, 1), "20-24", "25-29", "30-34", "35-39", "40-44", "45-49", "50-54", "55-59", "60-64", "65-69", "70-74", "75-79", "80-84", "85+")</f>
        <v>60-64</v>
      </c>
      <c r="D3887" t="s">
        <v>8</v>
      </c>
    </row>
    <row r="3888" spans="1:4">
      <c r="A3888" t="s">
        <v>6</v>
      </c>
      <c r="B3888">
        <v>84</v>
      </c>
      <c r="C3888" t="str">
        <f>CHOOSE(MATCH(B3888, {20,25,30,35,40,45,50,55,60,65,70,75,80,85}, 1), "20-24", "25-29", "30-34", "35-39", "40-44", "45-49", "50-54", "55-59", "60-64", "65-69", "70-74", "75-79", "80-84", "85+")</f>
        <v>80-84</v>
      </c>
      <c r="D3888" t="s">
        <v>7</v>
      </c>
    </row>
    <row r="3889" spans="1:4">
      <c r="A3889" t="s">
        <v>6</v>
      </c>
      <c r="B3889">
        <v>32</v>
      </c>
      <c r="C3889" t="str">
        <f>CHOOSE(MATCH(B3889, {20,25,30,35,40,45,50,55,60,65,70,75,80,85}, 1), "20-24", "25-29", "30-34", "35-39", "40-44", "45-49", "50-54", "55-59", "60-64", "65-69", "70-74", "75-79", "80-84", "85+")</f>
        <v>30-34</v>
      </c>
      <c r="D3889" t="s">
        <v>7</v>
      </c>
    </row>
    <row r="3890" spans="1:4">
      <c r="A3890" t="s">
        <v>6</v>
      </c>
      <c r="B3890">
        <v>23</v>
      </c>
      <c r="C3890" t="str">
        <f>CHOOSE(MATCH(B3890, {20,25,30,35,40,45,50,55,60,65,70,75,80,85}, 1), "20-24", "25-29", "30-34", "35-39", "40-44", "45-49", "50-54", "55-59", "60-64", "65-69", "70-74", "75-79", "80-84", "85+")</f>
        <v>20-24</v>
      </c>
      <c r="D3890" t="s">
        <v>7</v>
      </c>
    </row>
    <row r="3891" spans="1:4">
      <c r="A3891" t="s">
        <v>6</v>
      </c>
      <c r="B3891">
        <v>26</v>
      </c>
      <c r="C3891" t="str">
        <f>CHOOSE(MATCH(B3891, {20,25,30,35,40,45,50,55,60,65,70,75,80,85}, 1), "20-24", "25-29", "30-34", "35-39", "40-44", "45-49", "50-54", "55-59", "60-64", "65-69", "70-74", "75-79", "80-84", "85+")</f>
        <v>25-29</v>
      </c>
      <c r="D3891" t="s">
        <v>8</v>
      </c>
    </row>
    <row r="3892" spans="1:4">
      <c r="A3892" t="s">
        <v>6</v>
      </c>
      <c r="B3892">
        <v>48</v>
      </c>
      <c r="C3892" t="str">
        <f>CHOOSE(MATCH(B3892, {20,25,30,35,40,45,50,55,60,65,70,75,80,85}, 1), "20-24", "25-29", "30-34", "35-39", "40-44", "45-49", "50-54", "55-59", "60-64", "65-69", "70-74", "75-79", "80-84", "85+")</f>
        <v>45-49</v>
      </c>
      <c r="D3892" t="s">
        <v>7</v>
      </c>
    </row>
    <row r="3893" spans="1:4">
      <c r="A3893" t="s">
        <v>6</v>
      </c>
      <c r="B3893">
        <v>35</v>
      </c>
      <c r="C3893" t="str">
        <f>CHOOSE(MATCH(B3893, {20,25,30,35,40,45,50,55,60,65,70,75,80,85}, 1), "20-24", "25-29", "30-34", "35-39", "40-44", "45-49", "50-54", "55-59", "60-64", "65-69", "70-74", "75-79", "80-84", "85+")</f>
        <v>35-39</v>
      </c>
      <c r="D3893" t="s">
        <v>8</v>
      </c>
    </row>
    <row r="3894" spans="1:4">
      <c r="A3894" t="s">
        <v>6</v>
      </c>
      <c r="B3894">
        <v>54</v>
      </c>
      <c r="C3894" t="str">
        <f>CHOOSE(MATCH(B3894, {20,25,30,35,40,45,50,55,60,65,70,75,80,85}, 1), "20-24", "25-29", "30-34", "35-39", "40-44", "45-49", "50-54", "55-59", "60-64", "65-69", "70-74", "75-79", "80-84", "85+")</f>
        <v>50-54</v>
      </c>
      <c r="D3894" t="s">
        <v>7</v>
      </c>
    </row>
    <row r="3895" spans="1:4">
      <c r="A3895" t="s">
        <v>6</v>
      </c>
      <c r="B3895">
        <v>44</v>
      </c>
      <c r="C3895" t="str">
        <f>CHOOSE(MATCH(B3895, {20,25,30,35,40,45,50,55,60,65,70,75,80,85}, 1), "20-24", "25-29", "30-34", "35-39", "40-44", "45-49", "50-54", "55-59", "60-64", "65-69", "70-74", "75-79", "80-84", "85+")</f>
        <v>40-44</v>
      </c>
      <c r="D3895" t="s">
        <v>7</v>
      </c>
    </row>
    <row r="3896" spans="1:4">
      <c r="A3896" t="s">
        <v>6</v>
      </c>
      <c r="B3896">
        <v>38</v>
      </c>
      <c r="C3896" t="str">
        <f>CHOOSE(MATCH(B3896, {20,25,30,35,40,45,50,55,60,65,70,75,80,85}, 1), "20-24", "25-29", "30-34", "35-39", "40-44", "45-49", "50-54", "55-59", "60-64", "65-69", "70-74", "75-79", "80-84", "85+")</f>
        <v>35-39</v>
      </c>
      <c r="D3896" t="s">
        <v>7</v>
      </c>
    </row>
    <row r="3897" spans="1:4">
      <c r="A3897" t="s">
        <v>6</v>
      </c>
      <c r="B3897">
        <v>43</v>
      </c>
      <c r="C3897" t="str">
        <f>CHOOSE(MATCH(B3897, {20,25,30,35,40,45,50,55,60,65,70,75,80,85}, 1), "20-24", "25-29", "30-34", "35-39", "40-44", "45-49", "50-54", "55-59", "60-64", "65-69", "70-74", "75-79", "80-84", "85+")</f>
        <v>40-44</v>
      </c>
      <c r="D3897" t="s">
        <v>8</v>
      </c>
    </row>
    <row r="3898" spans="1:4">
      <c r="A3898" t="s">
        <v>6</v>
      </c>
      <c r="B3898">
        <v>32</v>
      </c>
      <c r="C3898" t="str">
        <f>CHOOSE(MATCH(B3898, {20,25,30,35,40,45,50,55,60,65,70,75,80,85}, 1), "20-24", "25-29", "30-34", "35-39", "40-44", "45-49", "50-54", "55-59", "60-64", "65-69", "70-74", "75-79", "80-84", "85+")</f>
        <v>30-34</v>
      </c>
      <c r="D3898" t="s">
        <v>7</v>
      </c>
    </row>
    <row r="3899" spans="1:4">
      <c r="A3899" t="s">
        <v>6</v>
      </c>
      <c r="B3899">
        <v>43</v>
      </c>
      <c r="C3899" t="str">
        <f>CHOOSE(MATCH(B3899, {20,25,30,35,40,45,50,55,60,65,70,75,80,85}, 1), "20-24", "25-29", "30-34", "35-39", "40-44", "45-49", "50-54", "55-59", "60-64", "65-69", "70-74", "75-79", "80-84", "85+")</f>
        <v>40-44</v>
      </c>
      <c r="D3899" t="s">
        <v>7</v>
      </c>
    </row>
    <row r="3900" spans="1:4">
      <c r="A3900" t="s">
        <v>6</v>
      </c>
      <c r="B3900">
        <v>33</v>
      </c>
      <c r="C3900" t="str">
        <f>CHOOSE(MATCH(B3900, {20,25,30,35,40,45,50,55,60,65,70,75,80,85}, 1), "20-24", "25-29", "30-34", "35-39", "40-44", "45-49", "50-54", "55-59", "60-64", "65-69", "70-74", "75-79", "80-84", "85+")</f>
        <v>30-34</v>
      </c>
      <c r="D3900" t="s">
        <v>7</v>
      </c>
    </row>
    <row r="3901" spans="1:4">
      <c r="A3901" t="s">
        <v>6</v>
      </c>
      <c r="B3901">
        <v>40</v>
      </c>
      <c r="C3901" t="str">
        <f>CHOOSE(MATCH(B3901, {20,25,30,35,40,45,50,55,60,65,70,75,80,85}, 1), "20-24", "25-29", "30-34", "35-39", "40-44", "45-49", "50-54", "55-59", "60-64", "65-69", "70-74", "75-79", "80-84", "85+")</f>
        <v>40-44</v>
      </c>
      <c r="D3901" t="s">
        <v>7</v>
      </c>
    </row>
    <row r="3902" spans="1:4">
      <c r="A3902" t="s">
        <v>6</v>
      </c>
      <c r="B3902">
        <v>45</v>
      </c>
      <c r="C3902" t="str">
        <f>CHOOSE(MATCH(B3902, {20,25,30,35,40,45,50,55,60,65,70,75,80,85}, 1), "20-24", "25-29", "30-34", "35-39", "40-44", "45-49", "50-54", "55-59", "60-64", "65-69", "70-74", "75-79", "80-84", "85+")</f>
        <v>45-49</v>
      </c>
      <c r="D3902" t="s">
        <v>8</v>
      </c>
    </row>
    <row r="3903" spans="1:4">
      <c r="A3903" t="s">
        <v>6</v>
      </c>
      <c r="B3903">
        <v>27</v>
      </c>
      <c r="C3903" t="str">
        <f>CHOOSE(MATCH(B3903, {20,25,30,35,40,45,50,55,60,65,70,75,80,85}, 1), "20-24", "25-29", "30-34", "35-39", "40-44", "45-49", "50-54", "55-59", "60-64", "65-69", "70-74", "75-79", "80-84", "85+")</f>
        <v>25-29</v>
      </c>
      <c r="D3903" t="s">
        <v>8</v>
      </c>
    </row>
    <row r="3904" spans="1:4">
      <c r="A3904" t="s">
        <v>6</v>
      </c>
      <c r="B3904">
        <v>28</v>
      </c>
      <c r="C3904" t="str">
        <f>CHOOSE(MATCH(B3904, {20,25,30,35,40,45,50,55,60,65,70,75,80,85}, 1), "20-24", "25-29", "30-34", "35-39", "40-44", "45-49", "50-54", "55-59", "60-64", "65-69", "70-74", "75-79", "80-84", "85+")</f>
        <v>25-29</v>
      </c>
      <c r="D3904" t="s">
        <v>7</v>
      </c>
    </row>
    <row r="3905" spans="1:4">
      <c r="A3905" t="s">
        <v>6</v>
      </c>
      <c r="B3905">
        <v>59</v>
      </c>
      <c r="C3905" t="str">
        <f>CHOOSE(MATCH(B3905, {20,25,30,35,40,45,50,55,60,65,70,75,80,85}, 1), "20-24", "25-29", "30-34", "35-39", "40-44", "45-49", "50-54", "55-59", "60-64", "65-69", "70-74", "75-79", "80-84", "85+")</f>
        <v>55-59</v>
      </c>
      <c r="D3905" t="s">
        <v>8</v>
      </c>
    </row>
    <row r="3906" spans="1:4">
      <c r="A3906" t="s">
        <v>6</v>
      </c>
      <c r="B3906">
        <v>51</v>
      </c>
      <c r="C3906" t="str">
        <f>CHOOSE(MATCH(B3906, {20,25,30,35,40,45,50,55,60,65,70,75,80,85}, 1), "20-24", "25-29", "30-34", "35-39", "40-44", "45-49", "50-54", "55-59", "60-64", "65-69", "70-74", "75-79", "80-84", "85+")</f>
        <v>50-54</v>
      </c>
      <c r="D3906" t="s">
        <v>7</v>
      </c>
    </row>
    <row r="3907" spans="1:4">
      <c r="A3907" t="s">
        <v>6</v>
      </c>
      <c r="B3907">
        <v>34</v>
      </c>
      <c r="C3907" t="str">
        <f>CHOOSE(MATCH(B3907, {20,25,30,35,40,45,50,55,60,65,70,75,80,85}, 1), "20-24", "25-29", "30-34", "35-39", "40-44", "45-49", "50-54", "55-59", "60-64", "65-69", "70-74", "75-79", "80-84", "85+")</f>
        <v>30-34</v>
      </c>
      <c r="D3907" t="s">
        <v>7</v>
      </c>
    </row>
    <row r="3908" spans="1:4">
      <c r="A3908" t="s">
        <v>6</v>
      </c>
      <c r="B3908">
        <v>25</v>
      </c>
      <c r="C3908" t="str">
        <f>CHOOSE(MATCH(B3908, {20,25,30,35,40,45,50,55,60,65,70,75,80,85}, 1), "20-24", "25-29", "30-34", "35-39", "40-44", "45-49", "50-54", "55-59", "60-64", "65-69", "70-74", "75-79", "80-84", "85+")</f>
        <v>25-29</v>
      </c>
      <c r="D3908" t="s">
        <v>7</v>
      </c>
    </row>
    <row r="3909" spans="1:4">
      <c r="A3909" t="s">
        <v>6</v>
      </c>
      <c r="B3909">
        <v>55</v>
      </c>
      <c r="C3909" t="str">
        <f>CHOOSE(MATCH(B3909, {20,25,30,35,40,45,50,55,60,65,70,75,80,85}, 1), "20-24", "25-29", "30-34", "35-39", "40-44", "45-49", "50-54", "55-59", "60-64", "65-69", "70-74", "75-79", "80-84", "85+")</f>
        <v>55-59</v>
      </c>
      <c r="D3909" t="s">
        <v>8</v>
      </c>
    </row>
    <row r="3910" spans="1:4">
      <c r="A3910" t="s">
        <v>6</v>
      </c>
      <c r="B3910">
        <v>67</v>
      </c>
      <c r="C3910" t="str">
        <f>CHOOSE(MATCH(B3910, {20,25,30,35,40,45,50,55,60,65,70,75,80,85}, 1), "20-24", "25-29", "30-34", "35-39", "40-44", "45-49", "50-54", "55-59", "60-64", "65-69", "70-74", "75-79", "80-84", "85+")</f>
        <v>65-69</v>
      </c>
      <c r="D3910" t="s">
        <v>8</v>
      </c>
    </row>
    <row r="3911" spans="1:4">
      <c r="A3911" t="s">
        <v>6</v>
      </c>
      <c r="B3911">
        <v>58</v>
      </c>
      <c r="C3911" t="str">
        <f>CHOOSE(MATCH(B3911, {20,25,30,35,40,45,50,55,60,65,70,75,80,85}, 1), "20-24", "25-29", "30-34", "35-39", "40-44", "45-49", "50-54", "55-59", "60-64", "65-69", "70-74", "75-79", "80-84", "85+")</f>
        <v>55-59</v>
      </c>
      <c r="D3911" t="s">
        <v>7</v>
      </c>
    </row>
    <row r="3912" spans="1:4">
      <c r="A3912" t="s">
        <v>6</v>
      </c>
      <c r="B3912">
        <v>32</v>
      </c>
      <c r="C3912" t="str">
        <f>CHOOSE(MATCH(B3912, {20,25,30,35,40,45,50,55,60,65,70,75,80,85}, 1), "20-24", "25-29", "30-34", "35-39", "40-44", "45-49", "50-54", "55-59", "60-64", "65-69", "70-74", "75-79", "80-84", "85+")</f>
        <v>30-34</v>
      </c>
      <c r="D3912" t="s">
        <v>7</v>
      </c>
    </row>
    <row r="3913" spans="1:4">
      <c r="A3913" t="s">
        <v>6</v>
      </c>
      <c r="B3913">
        <v>55</v>
      </c>
      <c r="C3913" t="str">
        <f>CHOOSE(MATCH(B3913, {20,25,30,35,40,45,50,55,60,65,70,75,80,85}, 1), "20-24", "25-29", "30-34", "35-39", "40-44", "45-49", "50-54", "55-59", "60-64", "65-69", "70-74", "75-79", "80-84", "85+")</f>
        <v>55-59</v>
      </c>
      <c r="D3913" t="s">
        <v>7</v>
      </c>
    </row>
    <row r="3914" spans="1:4">
      <c r="A3914" t="s">
        <v>6</v>
      </c>
      <c r="B3914">
        <v>27</v>
      </c>
      <c r="C3914" t="str">
        <f>CHOOSE(MATCH(B3914, {20,25,30,35,40,45,50,55,60,65,70,75,80,85}, 1), "20-24", "25-29", "30-34", "35-39", "40-44", "45-49", "50-54", "55-59", "60-64", "65-69", "70-74", "75-79", "80-84", "85+")</f>
        <v>25-29</v>
      </c>
      <c r="D3914" t="s">
        <v>8</v>
      </c>
    </row>
    <row r="3915" spans="1:4">
      <c r="A3915" t="s">
        <v>6</v>
      </c>
      <c r="B3915">
        <v>27</v>
      </c>
      <c r="C3915" t="str">
        <f>CHOOSE(MATCH(B3915, {20,25,30,35,40,45,50,55,60,65,70,75,80,85}, 1), "20-24", "25-29", "30-34", "35-39", "40-44", "45-49", "50-54", "55-59", "60-64", "65-69", "70-74", "75-79", "80-84", "85+")</f>
        <v>25-29</v>
      </c>
      <c r="D3915" t="s">
        <v>7</v>
      </c>
    </row>
    <row r="3916" spans="1:4">
      <c r="A3916" t="s">
        <v>6</v>
      </c>
      <c r="B3916">
        <v>26</v>
      </c>
      <c r="C3916" t="str">
        <f>CHOOSE(MATCH(B3916, {20,25,30,35,40,45,50,55,60,65,70,75,80,85}, 1), "20-24", "25-29", "30-34", "35-39", "40-44", "45-49", "50-54", "55-59", "60-64", "65-69", "70-74", "75-79", "80-84", "85+")</f>
        <v>25-29</v>
      </c>
      <c r="D3916" t="s">
        <v>8</v>
      </c>
    </row>
    <row r="3917" spans="1:4">
      <c r="A3917" t="s">
        <v>6</v>
      </c>
      <c r="B3917">
        <v>35</v>
      </c>
      <c r="C3917" t="str">
        <f>CHOOSE(MATCH(B3917, {20,25,30,35,40,45,50,55,60,65,70,75,80,85}, 1), "20-24", "25-29", "30-34", "35-39", "40-44", "45-49", "50-54", "55-59", "60-64", "65-69", "70-74", "75-79", "80-84", "85+")</f>
        <v>35-39</v>
      </c>
      <c r="D3917" t="s">
        <v>7</v>
      </c>
    </row>
    <row r="3918" spans="1:4">
      <c r="A3918" t="s">
        <v>6</v>
      </c>
      <c r="B3918">
        <v>30</v>
      </c>
      <c r="C3918" t="str">
        <f>CHOOSE(MATCH(B3918, {20,25,30,35,40,45,50,55,60,65,70,75,80,85}, 1), "20-24", "25-29", "30-34", "35-39", "40-44", "45-49", "50-54", "55-59", "60-64", "65-69", "70-74", "75-79", "80-84", "85+")</f>
        <v>30-34</v>
      </c>
      <c r="D3918" t="s">
        <v>7</v>
      </c>
    </row>
    <row r="3919" spans="1:4">
      <c r="A3919" t="s">
        <v>6</v>
      </c>
      <c r="B3919">
        <v>40</v>
      </c>
      <c r="C3919" t="str">
        <f>CHOOSE(MATCH(B3919, {20,25,30,35,40,45,50,55,60,65,70,75,80,85}, 1), "20-24", "25-29", "30-34", "35-39", "40-44", "45-49", "50-54", "55-59", "60-64", "65-69", "70-74", "75-79", "80-84", "85+")</f>
        <v>40-44</v>
      </c>
      <c r="D3919" t="s">
        <v>7</v>
      </c>
    </row>
    <row r="3920" spans="1:4">
      <c r="A3920" t="s">
        <v>6</v>
      </c>
      <c r="B3920">
        <v>37</v>
      </c>
      <c r="C3920" t="str">
        <f>CHOOSE(MATCH(B3920, {20,25,30,35,40,45,50,55,60,65,70,75,80,85}, 1), "20-24", "25-29", "30-34", "35-39", "40-44", "45-49", "50-54", "55-59", "60-64", "65-69", "70-74", "75-79", "80-84", "85+")</f>
        <v>35-39</v>
      </c>
      <c r="D3920" t="s">
        <v>8</v>
      </c>
    </row>
    <row r="3921" spans="1:4">
      <c r="A3921" t="s">
        <v>6</v>
      </c>
      <c r="B3921">
        <v>33</v>
      </c>
      <c r="C3921" t="str">
        <f>CHOOSE(MATCH(B3921, {20,25,30,35,40,45,50,55,60,65,70,75,80,85}, 1), "20-24", "25-29", "30-34", "35-39", "40-44", "45-49", "50-54", "55-59", "60-64", "65-69", "70-74", "75-79", "80-84", "85+")</f>
        <v>30-34</v>
      </c>
      <c r="D3921" t="s">
        <v>7</v>
      </c>
    </row>
    <row r="3922" spans="1:4">
      <c r="A3922" t="s">
        <v>6</v>
      </c>
      <c r="B3922">
        <v>37</v>
      </c>
      <c r="C3922" t="str">
        <f>CHOOSE(MATCH(B3922, {20,25,30,35,40,45,50,55,60,65,70,75,80,85}, 1), "20-24", "25-29", "30-34", "35-39", "40-44", "45-49", "50-54", "55-59", "60-64", "65-69", "70-74", "75-79", "80-84", "85+")</f>
        <v>35-39</v>
      </c>
      <c r="D3922" t="s">
        <v>8</v>
      </c>
    </row>
    <row r="3923" spans="1:4">
      <c r="A3923" t="s">
        <v>6</v>
      </c>
      <c r="B3923">
        <v>51</v>
      </c>
      <c r="C3923" t="str">
        <f>CHOOSE(MATCH(B3923, {20,25,30,35,40,45,50,55,60,65,70,75,80,85}, 1), "20-24", "25-29", "30-34", "35-39", "40-44", "45-49", "50-54", "55-59", "60-64", "65-69", "70-74", "75-79", "80-84", "85+")</f>
        <v>50-54</v>
      </c>
      <c r="D3923" t="s">
        <v>8</v>
      </c>
    </row>
    <row r="3924" spans="1:4">
      <c r="A3924" t="s">
        <v>6</v>
      </c>
      <c r="B3924">
        <v>48</v>
      </c>
      <c r="C3924" t="str">
        <f>CHOOSE(MATCH(B3924, {20,25,30,35,40,45,50,55,60,65,70,75,80,85}, 1), "20-24", "25-29", "30-34", "35-39", "40-44", "45-49", "50-54", "55-59", "60-64", "65-69", "70-74", "75-79", "80-84", "85+")</f>
        <v>45-49</v>
      </c>
      <c r="D3924" t="s">
        <v>8</v>
      </c>
    </row>
    <row r="3925" spans="1:4">
      <c r="A3925" t="s">
        <v>6</v>
      </c>
      <c r="B3925">
        <v>32</v>
      </c>
      <c r="C3925" t="str">
        <f>CHOOSE(MATCH(B3925, {20,25,30,35,40,45,50,55,60,65,70,75,80,85}, 1), "20-24", "25-29", "30-34", "35-39", "40-44", "45-49", "50-54", "55-59", "60-64", "65-69", "70-74", "75-79", "80-84", "85+")</f>
        <v>30-34</v>
      </c>
      <c r="D3925" t="s">
        <v>7</v>
      </c>
    </row>
    <row r="3926" spans="1:4">
      <c r="A3926" t="s">
        <v>6</v>
      </c>
      <c r="B3926">
        <v>22</v>
      </c>
      <c r="C3926" t="str">
        <f>CHOOSE(MATCH(B3926, {20,25,30,35,40,45,50,55,60,65,70,75,80,85}, 1), "20-24", "25-29", "30-34", "35-39", "40-44", "45-49", "50-54", "55-59", "60-64", "65-69", "70-74", "75-79", "80-84", "85+")</f>
        <v>20-24</v>
      </c>
      <c r="D3926" t="s">
        <v>7</v>
      </c>
    </row>
    <row r="3927" spans="1:4">
      <c r="A3927" t="s">
        <v>6</v>
      </c>
      <c r="B3927">
        <v>34</v>
      </c>
      <c r="C3927" t="str">
        <f>CHOOSE(MATCH(B3927, {20,25,30,35,40,45,50,55,60,65,70,75,80,85}, 1), "20-24", "25-29", "30-34", "35-39", "40-44", "45-49", "50-54", "55-59", "60-64", "65-69", "70-74", "75-79", "80-84", "85+")</f>
        <v>30-34</v>
      </c>
      <c r="D3927" t="s">
        <v>7</v>
      </c>
    </row>
    <row r="3928" spans="1:4">
      <c r="A3928" t="s">
        <v>6</v>
      </c>
      <c r="B3928">
        <v>50</v>
      </c>
      <c r="C3928" t="str">
        <f>CHOOSE(MATCH(B3928, {20,25,30,35,40,45,50,55,60,65,70,75,80,85}, 1), "20-24", "25-29", "30-34", "35-39", "40-44", "45-49", "50-54", "55-59", "60-64", "65-69", "70-74", "75-79", "80-84", "85+")</f>
        <v>50-54</v>
      </c>
      <c r="D3928" t="s">
        <v>8</v>
      </c>
    </row>
    <row r="3929" spans="1:4">
      <c r="A3929" t="s">
        <v>6</v>
      </c>
      <c r="B3929">
        <v>35</v>
      </c>
      <c r="C3929" t="str">
        <f>CHOOSE(MATCH(B3929, {20,25,30,35,40,45,50,55,60,65,70,75,80,85}, 1), "20-24", "25-29", "30-34", "35-39", "40-44", "45-49", "50-54", "55-59", "60-64", "65-69", "70-74", "75-79", "80-84", "85+")</f>
        <v>35-39</v>
      </c>
      <c r="D3929" t="s">
        <v>7</v>
      </c>
    </row>
    <row r="3930" spans="1:4">
      <c r="A3930" t="s">
        <v>6</v>
      </c>
      <c r="B3930">
        <v>46</v>
      </c>
      <c r="C3930" t="str">
        <f>CHOOSE(MATCH(B3930, {20,25,30,35,40,45,50,55,60,65,70,75,80,85}, 1), "20-24", "25-29", "30-34", "35-39", "40-44", "45-49", "50-54", "55-59", "60-64", "65-69", "70-74", "75-79", "80-84", "85+")</f>
        <v>45-49</v>
      </c>
      <c r="D3930" t="s">
        <v>7</v>
      </c>
    </row>
    <row r="3931" spans="1:4">
      <c r="A3931" t="s">
        <v>6</v>
      </c>
      <c r="B3931">
        <v>24</v>
      </c>
      <c r="C3931" t="str">
        <f>CHOOSE(MATCH(B3931, {20,25,30,35,40,45,50,55,60,65,70,75,80,85}, 1), "20-24", "25-29", "30-34", "35-39", "40-44", "45-49", "50-54", "55-59", "60-64", "65-69", "70-74", "75-79", "80-84", "85+")</f>
        <v>20-24</v>
      </c>
      <c r="D3931" t="s">
        <v>8</v>
      </c>
    </row>
    <row r="3932" spans="1:4">
      <c r="A3932" t="s">
        <v>6</v>
      </c>
      <c r="B3932">
        <v>37</v>
      </c>
      <c r="C3932" t="str">
        <f>CHOOSE(MATCH(B3932, {20,25,30,35,40,45,50,55,60,65,70,75,80,85}, 1), "20-24", "25-29", "30-34", "35-39", "40-44", "45-49", "50-54", "55-59", "60-64", "65-69", "70-74", "75-79", "80-84", "85+")</f>
        <v>35-39</v>
      </c>
      <c r="D3932" t="s">
        <v>8</v>
      </c>
    </row>
    <row r="3933" spans="1:4">
      <c r="A3933" t="s">
        <v>6</v>
      </c>
      <c r="B3933">
        <v>40</v>
      </c>
      <c r="C3933" t="str">
        <f>CHOOSE(MATCH(B3933, {20,25,30,35,40,45,50,55,60,65,70,75,80,85}, 1), "20-24", "25-29", "30-34", "35-39", "40-44", "45-49", "50-54", "55-59", "60-64", "65-69", "70-74", "75-79", "80-84", "85+")</f>
        <v>40-44</v>
      </c>
      <c r="D3933" t="s">
        <v>8</v>
      </c>
    </row>
    <row r="3934" spans="1:4">
      <c r="A3934" t="s">
        <v>6</v>
      </c>
      <c r="B3934">
        <v>33</v>
      </c>
      <c r="C3934" t="str">
        <f>CHOOSE(MATCH(B3934, {20,25,30,35,40,45,50,55,60,65,70,75,80,85}, 1), "20-24", "25-29", "30-34", "35-39", "40-44", "45-49", "50-54", "55-59", "60-64", "65-69", "70-74", "75-79", "80-84", "85+")</f>
        <v>30-34</v>
      </c>
      <c r="D3934" t="s">
        <v>7</v>
      </c>
    </row>
    <row r="3935" spans="1:4">
      <c r="A3935" t="s">
        <v>6</v>
      </c>
      <c r="B3935">
        <v>61</v>
      </c>
      <c r="C3935" t="str">
        <f>CHOOSE(MATCH(B3935, {20,25,30,35,40,45,50,55,60,65,70,75,80,85}, 1), "20-24", "25-29", "30-34", "35-39", "40-44", "45-49", "50-54", "55-59", "60-64", "65-69", "70-74", "75-79", "80-84", "85+")</f>
        <v>60-64</v>
      </c>
      <c r="D3935" t="s">
        <v>7</v>
      </c>
    </row>
    <row r="3936" spans="1:4">
      <c r="A3936" t="s">
        <v>6</v>
      </c>
      <c r="B3936">
        <v>50</v>
      </c>
      <c r="C3936" t="str">
        <f>CHOOSE(MATCH(B3936, {20,25,30,35,40,45,50,55,60,65,70,75,80,85}, 1), "20-24", "25-29", "30-34", "35-39", "40-44", "45-49", "50-54", "55-59", "60-64", "65-69", "70-74", "75-79", "80-84", "85+")</f>
        <v>50-54</v>
      </c>
      <c r="D3936" t="s">
        <v>7</v>
      </c>
    </row>
    <row r="3937" spans="1:4">
      <c r="A3937" t="s">
        <v>6</v>
      </c>
      <c r="B3937">
        <v>53</v>
      </c>
      <c r="C3937" t="str">
        <f>CHOOSE(MATCH(B3937, {20,25,30,35,40,45,50,55,60,65,70,75,80,85}, 1), "20-24", "25-29", "30-34", "35-39", "40-44", "45-49", "50-54", "55-59", "60-64", "65-69", "70-74", "75-79", "80-84", "85+")</f>
        <v>50-54</v>
      </c>
      <c r="D3937" t="s">
        <v>7</v>
      </c>
    </row>
    <row r="3938" spans="1:4">
      <c r="A3938" t="s">
        <v>6</v>
      </c>
      <c r="B3938">
        <v>34</v>
      </c>
      <c r="C3938" t="str">
        <f>CHOOSE(MATCH(B3938, {20,25,30,35,40,45,50,55,60,65,70,75,80,85}, 1), "20-24", "25-29", "30-34", "35-39", "40-44", "45-49", "50-54", "55-59", "60-64", "65-69", "70-74", "75-79", "80-84", "85+")</f>
        <v>30-34</v>
      </c>
      <c r="D3938" t="s">
        <v>7</v>
      </c>
    </row>
    <row r="3939" spans="1:4">
      <c r="A3939" t="s">
        <v>6</v>
      </c>
      <c r="B3939">
        <v>64</v>
      </c>
      <c r="C3939" t="str">
        <f>CHOOSE(MATCH(B3939, {20,25,30,35,40,45,50,55,60,65,70,75,80,85}, 1), "20-24", "25-29", "30-34", "35-39", "40-44", "45-49", "50-54", "55-59", "60-64", "65-69", "70-74", "75-79", "80-84", "85+")</f>
        <v>60-64</v>
      </c>
      <c r="D3939" t="s">
        <v>7</v>
      </c>
    </row>
    <row r="3940" spans="1:4">
      <c r="A3940" t="s">
        <v>6</v>
      </c>
      <c r="B3940">
        <v>36</v>
      </c>
      <c r="C3940" t="str">
        <f>CHOOSE(MATCH(B3940, {20,25,30,35,40,45,50,55,60,65,70,75,80,85}, 1), "20-24", "25-29", "30-34", "35-39", "40-44", "45-49", "50-54", "55-59", "60-64", "65-69", "70-74", "75-79", "80-84", "85+")</f>
        <v>35-39</v>
      </c>
      <c r="D3940" t="s">
        <v>7</v>
      </c>
    </row>
    <row r="3941" spans="1:4">
      <c r="A3941" t="s">
        <v>6</v>
      </c>
      <c r="B3941">
        <v>30</v>
      </c>
      <c r="C3941" t="str">
        <f>CHOOSE(MATCH(B3941, {20,25,30,35,40,45,50,55,60,65,70,75,80,85}, 1), "20-24", "25-29", "30-34", "35-39", "40-44", "45-49", "50-54", "55-59", "60-64", "65-69", "70-74", "75-79", "80-84", "85+")</f>
        <v>30-34</v>
      </c>
      <c r="D3941" t="s">
        <v>7</v>
      </c>
    </row>
    <row r="3942" spans="1:4">
      <c r="A3942" t="s">
        <v>6</v>
      </c>
      <c r="B3942">
        <v>55</v>
      </c>
      <c r="C3942" t="str">
        <f>CHOOSE(MATCH(B3942, {20,25,30,35,40,45,50,55,60,65,70,75,80,85}, 1), "20-24", "25-29", "30-34", "35-39", "40-44", "45-49", "50-54", "55-59", "60-64", "65-69", "70-74", "75-79", "80-84", "85+")</f>
        <v>55-59</v>
      </c>
      <c r="D3942" t="s">
        <v>8</v>
      </c>
    </row>
    <row r="3943" spans="1:4">
      <c r="A3943" t="s">
        <v>6</v>
      </c>
      <c r="B3943">
        <v>33</v>
      </c>
      <c r="C3943" t="str">
        <f>CHOOSE(MATCH(B3943, {20,25,30,35,40,45,50,55,60,65,70,75,80,85}, 1), "20-24", "25-29", "30-34", "35-39", "40-44", "45-49", "50-54", "55-59", "60-64", "65-69", "70-74", "75-79", "80-84", "85+")</f>
        <v>30-34</v>
      </c>
      <c r="D3943" t="s">
        <v>7</v>
      </c>
    </row>
    <row r="3944" spans="1:4">
      <c r="A3944" t="s">
        <v>6</v>
      </c>
      <c r="B3944">
        <v>41</v>
      </c>
      <c r="C3944" t="str">
        <f>CHOOSE(MATCH(B3944, {20,25,30,35,40,45,50,55,60,65,70,75,80,85}, 1), "20-24", "25-29", "30-34", "35-39", "40-44", "45-49", "50-54", "55-59", "60-64", "65-69", "70-74", "75-79", "80-84", "85+")</f>
        <v>40-44</v>
      </c>
      <c r="D3944" t="s">
        <v>7</v>
      </c>
    </row>
    <row r="3945" spans="1:4">
      <c r="A3945" t="s">
        <v>6</v>
      </c>
      <c r="B3945">
        <v>26</v>
      </c>
      <c r="C3945" t="str">
        <f>CHOOSE(MATCH(B3945, {20,25,30,35,40,45,50,55,60,65,70,75,80,85}, 1), "20-24", "25-29", "30-34", "35-39", "40-44", "45-49", "50-54", "55-59", "60-64", "65-69", "70-74", "75-79", "80-84", "85+")</f>
        <v>25-29</v>
      </c>
      <c r="D3945" t="s">
        <v>8</v>
      </c>
    </row>
    <row r="3946" spans="1:4">
      <c r="A3946" t="s">
        <v>6</v>
      </c>
      <c r="B3946">
        <v>87</v>
      </c>
      <c r="C3946" t="str">
        <f>CHOOSE(MATCH(B3946, {20,25,30,35,40,45,50,55,60,65,70,75,80,85}, 1), "20-24", "25-29", "30-34", "35-39", "40-44", "45-49", "50-54", "55-59", "60-64", "65-69", "70-74", "75-79", "80-84", "85+")</f>
        <v>85+</v>
      </c>
      <c r="D3946" t="s">
        <v>7</v>
      </c>
    </row>
    <row r="3947" spans="1:4">
      <c r="A3947" t="s">
        <v>6</v>
      </c>
      <c r="B3947">
        <v>28</v>
      </c>
      <c r="C3947" t="str">
        <f>CHOOSE(MATCH(B3947, {20,25,30,35,40,45,50,55,60,65,70,75,80,85}, 1), "20-24", "25-29", "30-34", "35-39", "40-44", "45-49", "50-54", "55-59", "60-64", "65-69", "70-74", "75-79", "80-84", "85+")</f>
        <v>25-29</v>
      </c>
      <c r="D3947" t="s">
        <v>7</v>
      </c>
    </row>
    <row r="3948" spans="1:4">
      <c r="A3948" t="s">
        <v>6</v>
      </c>
      <c r="B3948">
        <v>37</v>
      </c>
      <c r="C3948" t="str">
        <f>CHOOSE(MATCH(B3948, {20,25,30,35,40,45,50,55,60,65,70,75,80,85}, 1), "20-24", "25-29", "30-34", "35-39", "40-44", "45-49", "50-54", "55-59", "60-64", "65-69", "70-74", "75-79", "80-84", "85+")</f>
        <v>35-39</v>
      </c>
      <c r="D3948" t="s">
        <v>8</v>
      </c>
    </row>
    <row r="3949" spans="1:4">
      <c r="A3949" t="s">
        <v>6</v>
      </c>
      <c r="B3949">
        <v>78</v>
      </c>
      <c r="C3949" t="str">
        <f>CHOOSE(MATCH(B3949, {20,25,30,35,40,45,50,55,60,65,70,75,80,85}, 1), "20-24", "25-29", "30-34", "35-39", "40-44", "45-49", "50-54", "55-59", "60-64", "65-69", "70-74", "75-79", "80-84", "85+")</f>
        <v>75-79</v>
      </c>
      <c r="D3949" t="s">
        <v>8</v>
      </c>
    </row>
    <row r="3950" spans="1:4">
      <c r="A3950" t="s">
        <v>6</v>
      </c>
      <c r="B3950">
        <v>59</v>
      </c>
      <c r="C3950" t="str">
        <f>CHOOSE(MATCH(B3950, {20,25,30,35,40,45,50,55,60,65,70,75,80,85}, 1), "20-24", "25-29", "30-34", "35-39", "40-44", "45-49", "50-54", "55-59", "60-64", "65-69", "70-74", "75-79", "80-84", "85+")</f>
        <v>55-59</v>
      </c>
      <c r="D3950" t="s">
        <v>8</v>
      </c>
    </row>
    <row r="3951" spans="1:4">
      <c r="A3951" t="s">
        <v>6</v>
      </c>
      <c r="B3951">
        <v>38</v>
      </c>
      <c r="C3951" t="str">
        <f>CHOOSE(MATCH(B3951, {20,25,30,35,40,45,50,55,60,65,70,75,80,85}, 1), "20-24", "25-29", "30-34", "35-39", "40-44", "45-49", "50-54", "55-59", "60-64", "65-69", "70-74", "75-79", "80-84", "85+")</f>
        <v>35-39</v>
      </c>
      <c r="D3951" t="s">
        <v>7</v>
      </c>
    </row>
    <row r="3952" spans="1:4">
      <c r="A3952" t="s">
        <v>6</v>
      </c>
      <c r="B3952">
        <v>59</v>
      </c>
      <c r="C3952" t="str">
        <f>CHOOSE(MATCH(B3952, {20,25,30,35,40,45,50,55,60,65,70,75,80,85}, 1), "20-24", "25-29", "30-34", "35-39", "40-44", "45-49", "50-54", "55-59", "60-64", "65-69", "70-74", "75-79", "80-84", "85+")</f>
        <v>55-59</v>
      </c>
      <c r="D3952" t="s">
        <v>8</v>
      </c>
    </row>
    <row r="3953" spans="1:4">
      <c r="A3953" t="s">
        <v>6</v>
      </c>
      <c r="B3953">
        <v>44</v>
      </c>
      <c r="C3953" t="str">
        <f>CHOOSE(MATCH(B3953, {20,25,30,35,40,45,50,55,60,65,70,75,80,85}, 1), "20-24", "25-29", "30-34", "35-39", "40-44", "45-49", "50-54", "55-59", "60-64", "65-69", "70-74", "75-79", "80-84", "85+")</f>
        <v>40-44</v>
      </c>
      <c r="D3953" t="s">
        <v>7</v>
      </c>
    </row>
    <row r="3954" spans="1:4">
      <c r="A3954" t="s">
        <v>6</v>
      </c>
      <c r="B3954">
        <v>47</v>
      </c>
      <c r="C3954" t="str">
        <f>CHOOSE(MATCH(B3954, {20,25,30,35,40,45,50,55,60,65,70,75,80,85}, 1), "20-24", "25-29", "30-34", "35-39", "40-44", "45-49", "50-54", "55-59", "60-64", "65-69", "70-74", "75-79", "80-84", "85+")</f>
        <v>45-49</v>
      </c>
      <c r="D3954" t="s">
        <v>8</v>
      </c>
    </row>
    <row r="3955" spans="1:4">
      <c r="A3955" t="s">
        <v>6</v>
      </c>
      <c r="B3955">
        <v>40</v>
      </c>
      <c r="C3955" t="str">
        <f>CHOOSE(MATCH(B3955, {20,25,30,35,40,45,50,55,60,65,70,75,80,85}, 1), "20-24", "25-29", "30-34", "35-39", "40-44", "45-49", "50-54", "55-59", "60-64", "65-69", "70-74", "75-79", "80-84", "85+")</f>
        <v>40-44</v>
      </c>
      <c r="D3955" t="s">
        <v>7</v>
      </c>
    </row>
    <row r="3956" spans="1:4">
      <c r="A3956" t="s">
        <v>6</v>
      </c>
      <c r="B3956">
        <v>24</v>
      </c>
      <c r="C3956" t="str">
        <f>CHOOSE(MATCH(B3956, {20,25,30,35,40,45,50,55,60,65,70,75,80,85}, 1), "20-24", "25-29", "30-34", "35-39", "40-44", "45-49", "50-54", "55-59", "60-64", "65-69", "70-74", "75-79", "80-84", "85+")</f>
        <v>20-24</v>
      </c>
      <c r="D3956" t="s">
        <v>7</v>
      </c>
    </row>
    <row r="3957" spans="1:4">
      <c r="A3957" t="s">
        <v>6</v>
      </c>
      <c r="B3957">
        <v>22</v>
      </c>
      <c r="C3957" t="str">
        <f>CHOOSE(MATCH(B3957, {20,25,30,35,40,45,50,55,60,65,70,75,80,85}, 1), "20-24", "25-29", "30-34", "35-39", "40-44", "45-49", "50-54", "55-59", "60-64", "65-69", "70-74", "75-79", "80-84", "85+")</f>
        <v>20-24</v>
      </c>
      <c r="D3957" t="s">
        <v>8</v>
      </c>
    </row>
    <row r="3958" spans="1:4">
      <c r="A3958" t="s">
        <v>6</v>
      </c>
      <c r="B3958">
        <v>35</v>
      </c>
      <c r="C3958" t="str">
        <f>CHOOSE(MATCH(B3958, {20,25,30,35,40,45,50,55,60,65,70,75,80,85}, 1), "20-24", "25-29", "30-34", "35-39", "40-44", "45-49", "50-54", "55-59", "60-64", "65-69", "70-74", "75-79", "80-84", "85+")</f>
        <v>35-39</v>
      </c>
      <c r="D3958" t="s">
        <v>7</v>
      </c>
    </row>
    <row r="3959" spans="1:4">
      <c r="A3959" t="s">
        <v>6</v>
      </c>
      <c r="B3959">
        <v>64</v>
      </c>
      <c r="C3959" t="str">
        <f>CHOOSE(MATCH(B3959, {20,25,30,35,40,45,50,55,60,65,70,75,80,85}, 1), "20-24", "25-29", "30-34", "35-39", "40-44", "45-49", "50-54", "55-59", "60-64", "65-69", "70-74", "75-79", "80-84", "85+")</f>
        <v>60-64</v>
      </c>
      <c r="D3959" t="s">
        <v>8</v>
      </c>
    </row>
    <row r="3960" spans="1:4">
      <c r="A3960" t="s">
        <v>6</v>
      </c>
      <c r="B3960">
        <v>22</v>
      </c>
      <c r="C3960" t="str">
        <f>CHOOSE(MATCH(B3960, {20,25,30,35,40,45,50,55,60,65,70,75,80,85}, 1), "20-24", "25-29", "30-34", "35-39", "40-44", "45-49", "50-54", "55-59", "60-64", "65-69", "70-74", "75-79", "80-84", "85+")</f>
        <v>20-24</v>
      </c>
      <c r="D3960" t="s">
        <v>7</v>
      </c>
    </row>
    <row r="3961" spans="1:4">
      <c r="A3961" t="s">
        <v>6</v>
      </c>
      <c r="B3961">
        <v>28</v>
      </c>
      <c r="C3961" t="str">
        <f>CHOOSE(MATCH(B3961, {20,25,30,35,40,45,50,55,60,65,70,75,80,85}, 1), "20-24", "25-29", "30-34", "35-39", "40-44", "45-49", "50-54", "55-59", "60-64", "65-69", "70-74", "75-79", "80-84", "85+")</f>
        <v>25-29</v>
      </c>
      <c r="D3961" t="s">
        <v>7</v>
      </c>
    </row>
    <row r="3962" spans="1:4">
      <c r="A3962" t="s">
        <v>6</v>
      </c>
      <c r="B3962">
        <v>55</v>
      </c>
      <c r="C3962" t="str">
        <f>CHOOSE(MATCH(B3962, {20,25,30,35,40,45,50,55,60,65,70,75,80,85}, 1), "20-24", "25-29", "30-34", "35-39", "40-44", "45-49", "50-54", "55-59", "60-64", "65-69", "70-74", "75-79", "80-84", "85+")</f>
        <v>55-59</v>
      </c>
      <c r="D3962" t="s">
        <v>7</v>
      </c>
    </row>
    <row r="3963" spans="1:4">
      <c r="A3963" t="s">
        <v>6</v>
      </c>
      <c r="B3963">
        <v>56</v>
      </c>
      <c r="C3963" t="str">
        <f>CHOOSE(MATCH(B3963, {20,25,30,35,40,45,50,55,60,65,70,75,80,85}, 1), "20-24", "25-29", "30-34", "35-39", "40-44", "45-49", "50-54", "55-59", "60-64", "65-69", "70-74", "75-79", "80-84", "85+")</f>
        <v>55-59</v>
      </c>
      <c r="D3963" t="s">
        <v>7</v>
      </c>
    </row>
    <row r="3964" spans="1:4">
      <c r="A3964" t="s">
        <v>6</v>
      </c>
      <c r="B3964">
        <v>30</v>
      </c>
      <c r="C3964" t="str">
        <f>CHOOSE(MATCH(B3964, {20,25,30,35,40,45,50,55,60,65,70,75,80,85}, 1), "20-24", "25-29", "30-34", "35-39", "40-44", "45-49", "50-54", "55-59", "60-64", "65-69", "70-74", "75-79", "80-84", "85+")</f>
        <v>30-34</v>
      </c>
      <c r="D3964" t="s">
        <v>7</v>
      </c>
    </row>
    <row r="3965" spans="1:4">
      <c r="A3965" t="s">
        <v>6</v>
      </c>
      <c r="B3965">
        <v>49</v>
      </c>
      <c r="C3965" t="str">
        <f>CHOOSE(MATCH(B3965, {20,25,30,35,40,45,50,55,60,65,70,75,80,85}, 1), "20-24", "25-29", "30-34", "35-39", "40-44", "45-49", "50-54", "55-59", "60-64", "65-69", "70-74", "75-79", "80-84", "85+")</f>
        <v>45-49</v>
      </c>
      <c r="D3965" t="s">
        <v>7</v>
      </c>
    </row>
    <row r="3966" spans="1:4">
      <c r="A3966" t="s">
        <v>6</v>
      </c>
      <c r="B3966">
        <v>45</v>
      </c>
      <c r="C3966" t="str">
        <f>CHOOSE(MATCH(B3966, {20,25,30,35,40,45,50,55,60,65,70,75,80,85}, 1), "20-24", "25-29", "30-34", "35-39", "40-44", "45-49", "50-54", "55-59", "60-64", "65-69", "70-74", "75-79", "80-84", "85+")</f>
        <v>45-49</v>
      </c>
      <c r="D3966" t="s">
        <v>8</v>
      </c>
    </row>
    <row r="3967" spans="1:4">
      <c r="A3967" t="s">
        <v>6</v>
      </c>
      <c r="B3967">
        <v>58</v>
      </c>
      <c r="C3967" t="str">
        <f>CHOOSE(MATCH(B3967, {20,25,30,35,40,45,50,55,60,65,70,75,80,85}, 1), "20-24", "25-29", "30-34", "35-39", "40-44", "45-49", "50-54", "55-59", "60-64", "65-69", "70-74", "75-79", "80-84", "85+")</f>
        <v>55-59</v>
      </c>
      <c r="D3967" t="s">
        <v>7</v>
      </c>
    </row>
    <row r="3968" spans="1:4">
      <c r="A3968" t="s">
        <v>6</v>
      </c>
      <c r="B3968">
        <v>43</v>
      </c>
      <c r="C3968" t="str">
        <f>CHOOSE(MATCH(B3968, {20,25,30,35,40,45,50,55,60,65,70,75,80,85}, 1), "20-24", "25-29", "30-34", "35-39", "40-44", "45-49", "50-54", "55-59", "60-64", "65-69", "70-74", "75-79", "80-84", "85+")</f>
        <v>40-44</v>
      </c>
      <c r="D3968" t="s">
        <v>7</v>
      </c>
    </row>
    <row r="3969" spans="1:4">
      <c r="A3969" t="s">
        <v>6</v>
      </c>
      <c r="B3969">
        <v>67</v>
      </c>
      <c r="C3969" t="str">
        <f>CHOOSE(MATCH(B3969, {20,25,30,35,40,45,50,55,60,65,70,75,80,85}, 1), "20-24", "25-29", "30-34", "35-39", "40-44", "45-49", "50-54", "55-59", "60-64", "65-69", "70-74", "75-79", "80-84", "85+")</f>
        <v>65-69</v>
      </c>
      <c r="D3969" t="s">
        <v>8</v>
      </c>
    </row>
    <row r="3970" spans="1:4">
      <c r="A3970" t="s">
        <v>6</v>
      </c>
      <c r="B3970">
        <v>41</v>
      </c>
      <c r="C3970" t="str">
        <f>CHOOSE(MATCH(B3970, {20,25,30,35,40,45,50,55,60,65,70,75,80,85}, 1), "20-24", "25-29", "30-34", "35-39", "40-44", "45-49", "50-54", "55-59", "60-64", "65-69", "70-74", "75-79", "80-84", "85+")</f>
        <v>40-44</v>
      </c>
      <c r="D3970" t="s">
        <v>7</v>
      </c>
    </row>
    <row r="3971" spans="1:4">
      <c r="A3971" t="s">
        <v>6</v>
      </c>
      <c r="B3971">
        <v>38</v>
      </c>
      <c r="C3971" t="str">
        <f>CHOOSE(MATCH(B3971, {20,25,30,35,40,45,50,55,60,65,70,75,80,85}, 1), "20-24", "25-29", "30-34", "35-39", "40-44", "45-49", "50-54", "55-59", "60-64", "65-69", "70-74", "75-79", "80-84", "85+")</f>
        <v>35-39</v>
      </c>
      <c r="D3971" t="s">
        <v>8</v>
      </c>
    </row>
    <row r="3972" spans="1:4">
      <c r="A3972" t="s">
        <v>6</v>
      </c>
      <c r="B3972">
        <v>26</v>
      </c>
      <c r="C3972" t="str">
        <f>CHOOSE(MATCH(B3972, {20,25,30,35,40,45,50,55,60,65,70,75,80,85}, 1), "20-24", "25-29", "30-34", "35-39", "40-44", "45-49", "50-54", "55-59", "60-64", "65-69", "70-74", "75-79", "80-84", "85+")</f>
        <v>25-29</v>
      </c>
      <c r="D3972" t="s">
        <v>7</v>
      </c>
    </row>
    <row r="3973" spans="1:4">
      <c r="A3973" t="s">
        <v>6</v>
      </c>
      <c r="B3973">
        <v>29</v>
      </c>
      <c r="C3973" t="str">
        <f>CHOOSE(MATCH(B3973, {20,25,30,35,40,45,50,55,60,65,70,75,80,85}, 1), "20-24", "25-29", "30-34", "35-39", "40-44", "45-49", "50-54", "55-59", "60-64", "65-69", "70-74", "75-79", "80-84", "85+")</f>
        <v>25-29</v>
      </c>
      <c r="D3973" t="s">
        <v>7</v>
      </c>
    </row>
    <row r="3974" spans="1:4">
      <c r="A3974" t="s">
        <v>6</v>
      </c>
      <c r="B3974">
        <v>34</v>
      </c>
      <c r="C3974" t="str">
        <f>CHOOSE(MATCH(B3974, {20,25,30,35,40,45,50,55,60,65,70,75,80,85}, 1), "20-24", "25-29", "30-34", "35-39", "40-44", "45-49", "50-54", "55-59", "60-64", "65-69", "70-74", "75-79", "80-84", "85+")</f>
        <v>30-34</v>
      </c>
      <c r="D3974" t="s">
        <v>8</v>
      </c>
    </row>
    <row r="3975" spans="1:4">
      <c r="A3975" t="s">
        <v>6</v>
      </c>
      <c r="B3975">
        <v>38</v>
      </c>
      <c r="C3975" t="str">
        <f>CHOOSE(MATCH(B3975, {20,25,30,35,40,45,50,55,60,65,70,75,80,85}, 1), "20-24", "25-29", "30-34", "35-39", "40-44", "45-49", "50-54", "55-59", "60-64", "65-69", "70-74", "75-79", "80-84", "85+")</f>
        <v>35-39</v>
      </c>
      <c r="D3975" t="s">
        <v>7</v>
      </c>
    </row>
    <row r="3976" spans="1:4">
      <c r="A3976" t="s">
        <v>6</v>
      </c>
      <c r="B3976">
        <v>33</v>
      </c>
      <c r="C3976" t="str">
        <f>CHOOSE(MATCH(B3976, {20,25,30,35,40,45,50,55,60,65,70,75,80,85}, 1), "20-24", "25-29", "30-34", "35-39", "40-44", "45-49", "50-54", "55-59", "60-64", "65-69", "70-74", "75-79", "80-84", "85+")</f>
        <v>30-34</v>
      </c>
      <c r="D3976" t="s">
        <v>8</v>
      </c>
    </row>
    <row r="3977" spans="1:4">
      <c r="A3977" t="s">
        <v>6</v>
      </c>
      <c r="B3977">
        <v>59</v>
      </c>
      <c r="C3977" t="str">
        <f>CHOOSE(MATCH(B3977, {20,25,30,35,40,45,50,55,60,65,70,75,80,85}, 1), "20-24", "25-29", "30-34", "35-39", "40-44", "45-49", "50-54", "55-59", "60-64", "65-69", "70-74", "75-79", "80-84", "85+")</f>
        <v>55-59</v>
      </c>
      <c r="D3977" t="s">
        <v>8</v>
      </c>
    </row>
    <row r="3978" spans="1:4">
      <c r="A3978" t="s">
        <v>6</v>
      </c>
      <c r="B3978">
        <v>28</v>
      </c>
      <c r="C3978" t="str">
        <f>CHOOSE(MATCH(B3978, {20,25,30,35,40,45,50,55,60,65,70,75,80,85}, 1), "20-24", "25-29", "30-34", "35-39", "40-44", "45-49", "50-54", "55-59", "60-64", "65-69", "70-74", "75-79", "80-84", "85+")</f>
        <v>25-29</v>
      </c>
      <c r="D3978" t="s">
        <v>8</v>
      </c>
    </row>
    <row r="3979" spans="1:4">
      <c r="A3979" t="s">
        <v>6</v>
      </c>
      <c r="B3979">
        <v>30</v>
      </c>
      <c r="C3979" t="str">
        <f>CHOOSE(MATCH(B3979, {20,25,30,35,40,45,50,55,60,65,70,75,80,85}, 1), "20-24", "25-29", "30-34", "35-39", "40-44", "45-49", "50-54", "55-59", "60-64", "65-69", "70-74", "75-79", "80-84", "85+")</f>
        <v>30-34</v>
      </c>
      <c r="D3979" t="s">
        <v>7</v>
      </c>
    </row>
    <row r="3980" spans="1:4">
      <c r="A3980" t="s">
        <v>6</v>
      </c>
      <c r="B3980">
        <v>40</v>
      </c>
      <c r="C3980" t="str">
        <f>CHOOSE(MATCH(B3980, {20,25,30,35,40,45,50,55,60,65,70,75,80,85}, 1), "20-24", "25-29", "30-34", "35-39", "40-44", "45-49", "50-54", "55-59", "60-64", "65-69", "70-74", "75-79", "80-84", "85+")</f>
        <v>40-44</v>
      </c>
      <c r="D3980" t="s">
        <v>7</v>
      </c>
    </row>
    <row r="3981" spans="1:4">
      <c r="A3981" t="s">
        <v>6</v>
      </c>
      <c r="B3981">
        <v>40</v>
      </c>
      <c r="C3981" t="str">
        <f>CHOOSE(MATCH(B3981, {20,25,30,35,40,45,50,55,60,65,70,75,80,85}, 1), "20-24", "25-29", "30-34", "35-39", "40-44", "45-49", "50-54", "55-59", "60-64", "65-69", "70-74", "75-79", "80-84", "85+")</f>
        <v>40-44</v>
      </c>
      <c r="D3981" t="s">
        <v>8</v>
      </c>
    </row>
    <row r="3982" spans="1:4">
      <c r="A3982" t="s">
        <v>6</v>
      </c>
      <c r="B3982">
        <v>54</v>
      </c>
      <c r="C3982" t="str">
        <f>CHOOSE(MATCH(B3982, {20,25,30,35,40,45,50,55,60,65,70,75,80,85}, 1), "20-24", "25-29", "30-34", "35-39", "40-44", "45-49", "50-54", "55-59", "60-64", "65-69", "70-74", "75-79", "80-84", "85+")</f>
        <v>50-54</v>
      </c>
      <c r="D3982" t="s">
        <v>8</v>
      </c>
    </row>
    <row r="3983" spans="1:4">
      <c r="A3983" t="s">
        <v>6</v>
      </c>
      <c r="B3983">
        <v>55</v>
      </c>
      <c r="C3983" t="str">
        <f>CHOOSE(MATCH(B3983, {20,25,30,35,40,45,50,55,60,65,70,75,80,85}, 1), "20-24", "25-29", "30-34", "35-39", "40-44", "45-49", "50-54", "55-59", "60-64", "65-69", "70-74", "75-79", "80-84", "85+")</f>
        <v>55-59</v>
      </c>
      <c r="D3983" t="s">
        <v>7</v>
      </c>
    </row>
    <row r="3984" spans="1:4">
      <c r="A3984" t="s">
        <v>6</v>
      </c>
      <c r="B3984">
        <v>49</v>
      </c>
      <c r="C3984" t="str">
        <f>CHOOSE(MATCH(B3984, {20,25,30,35,40,45,50,55,60,65,70,75,80,85}, 1), "20-24", "25-29", "30-34", "35-39", "40-44", "45-49", "50-54", "55-59", "60-64", "65-69", "70-74", "75-79", "80-84", "85+")</f>
        <v>45-49</v>
      </c>
      <c r="D3984" t="s">
        <v>8</v>
      </c>
    </row>
    <row r="3985" spans="1:4">
      <c r="A3985" t="s">
        <v>6</v>
      </c>
      <c r="B3985">
        <v>66</v>
      </c>
      <c r="C3985" t="str">
        <f>CHOOSE(MATCH(B3985, {20,25,30,35,40,45,50,55,60,65,70,75,80,85}, 1), "20-24", "25-29", "30-34", "35-39", "40-44", "45-49", "50-54", "55-59", "60-64", "65-69", "70-74", "75-79", "80-84", "85+")</f>
        <v>65-69</v>
      </c>
      <c r="D3985" t="s">
        <v>7</v>
      </c>
    </row>
    <row r="3986" spans="1:4">
      <c r="A3986" t="s">
        <v>6</v>
      </c>
      <c r="B3986">
        <v>76</v>
      </c>
      <c r="C3986" t="str">
        <f>CHOOSE(MATCH(B3986, {20,25,30,35,40,45,50,55,60,65,70,75,80,85}, 1), "20-24", "25-29", "30-34", "35-39", "40-44", "45-49", "50-54", "55-59", "60-64", "65-69", "70-74", "75-79", "80-84", "85+")</f>
        <v>75-79</v>
      </c>
      <c r="D3986" t="s">
        <v>8</v>
      </c>
    </row>
    <row r="3987" spans="1:4">
      <c r="A3987" t="s">
        <v>6</v>
      </c>
      <c r="B3987">
        <v>43</v>
      </c>
      <c r="C3987" t="str">
        <f>CHOOSE(MATCH(B3987, {20,25,30,35,40,45,50,55,60,65,70,75,80,85}, 1), "20-24", "25-29", "30-34", "35-39", "40-44", "45-49", "50-54", "55-59", "60-64", "65-69", "70-74", "75-79", "80-84", "85+")</f>
        <v>40-44</v>
      </c>
      <c r="D3987" t="s">
        <v>8</v>
      </c>
    </row>
    <row r="3988" spans="1:4">
      <c r="A3988" t="s">
        <v>6</v>
      </c>
      <c r="B3988">
        <v>21</v>
      </c>
      <c r="C3988" t="str">
        <f>CHOOSE(MATCH(B3988, {20,25,30,35,40,45,50,55,60,65,70,75,80,85}, 1), "20-24", "25-29", "30-34", "35-39", "40-44", "45-49", "50-54", "55-59", "60-64", "65-69", "70-74", "75-79", "80-84", "85+")</f>
        <v>20-24</v>
      </c>
      <c r="D3988" t="s">
        <v>7</v>
      </c>
    </row>
    <row r="3989" spans="1:4">
      <c r="A3989" t="s">
        <v>6</v>
      </c>
      <c r="B3989">
        <v>35</v>
      </c>
      <c r="C3989" t="str">
        <f>CHOOSE(MATCH(B3989, {20,25,30,35,40,45,50,55,60,65,70,75,80,85}, 1), "20-24", "25-29", "30-34", "35-39", "40-44", "45-49", "50-54", "55-59", "60-64", "65-69", "70-74", "75-79", "80-84", "85+")</f>
        <v>35-39</v>
      </c>
      <c r="D3989" t="s">
        <v>7</v>
      </c>
    </row>
    <row r="3990" spans="1:4">
      <c r="A3990" t="s">
        <v>6</v>
      </c>
      <c r="B3990">
        <v>28</v>
      </c>
      <c r="C3990" t="str">
        <f>CHOOSE(MATCH(B3990, {20,25,30,35,40,45,50,55,60,65,70,75,80,85}, 1), "20-24", "25-29", "30-34", "35-39", "40-44", "45-49", "50-54", "55-59", "60-64", "65-69", "70-74", "75-79", "80-84", "85+")</f>
        <v>25-29</v>
      </c>
      <c r="D3990" t="s">
        <v>7</v>
      </c>
    </row>
    <row r="3991" spans="1:4">
      <c r="A3991" t="s">
        <v>6</v>
      </c>
      <c r="B3991">
        <v>24</v>
      </c>
      <c r="C3991" t="str">
        <f>CHOOSE(MATCH(B3991, {20,25,30,35,40,45,50,55,60,65,70,75,80,85}, 1), "20-24", "25-29", "30-34", "35-39", "40-44", "45-49", "50-54", "55-59", "60-64", "65-69", "70-74", "75-79", "80-84", "85+")</f>
        <v>20-24</v>
      </c>
      <c r="D3991" t="s">
        <v>8</v>
      </c>
    </row>
    <row r="3992" spans="1:4">
      <c r="A3992" t="s">
        <v>6</v>
      </c>
      <c r="B3992">
        <v>58</v>
      </c>
      <c r="C3992" t="str">
        <f>CHOOSE(MATCH(B3992, {20,25,30,35,40,45,50,55,60,65,70,75,80,85}, 1), "20-24", "25-29", "30-34", "35-39", "40-44", "45-49", "50-54", "55-59", "60-64", "65-69", "70-74", "75-79", "80-84", "85+")</f>
        <v>55-59</v>
      </c>
      <c r="D3992" t="s">
        <v>7</v>
      </c>
    </row>
    <row r="3993" spans="1:4">
      <c r="A3993" t="s">
        <v>6</v>
      </c>
      <c r="B3993">
        <v>22</v>
      </c>
      <c r="C3993" t="str">
        <f>CHOOSE(MATCH(B3993, {20,25,30,35,40,45,50,55,60,65,70,75,80,85}, 1), "20-24", "25-29", "30-34", "35-39", "40-44", "45-49", "50-54", "55-59", "60-64", "65-69", "70-74", "75-79", "80-84", "85+")</f>
        <v>20-24</v>
      </c>
      <c r="D3993" t="s">
        <v>7</v>
      </c>
    </row>
    <row r="3994" spans="1:4">
      <c r="A3994" t="s">
        <v>6</v>
      </c>
      <c r="B3994">
        <v>39</v>
      </c>
      <c r="C3994" t="str">
        <f>CHOOSE(MATCH(B3994, {20,25,30,35,40,45,50,55,60,65,70,75,80,85}, 1), "20-24", "25-29", "30-34", "35-39", "40-44", "45-49", "50-54", "55-59", "60-64", "65-69", "70-74", "75-79", "80-84", "85+")</f>
        <v>35-39</v>
      </c>
      <c r="D3994" t="s">
        <v>7</v>
      </c>
    </row>
    <row r="3995" spans="1:4">
      <c r="A3995" t="s">
        <v>6</v>
      </c>
      <c r="B3995">
        <v>77</v>
      </c>
      <c r="C3995" t="str">
        <f>CHOOSE(MATCH(B3995, {20,25,30,35,40,45,50,55,60,65,70,75,80,85}, 1), "20-24", "25-29", "30-34", "35-39", "40-44", "45-49", "50-54", "55-59", "60-64", "65-69", "70-74", "75-79", "80-84", "85+")</f>
        <v>75-79</v>
      </c>
      <c r="D3995" t="s">
        <v>8</v>
      </c>
    </row>
    <row r="3996" spans="1:4">
      <c r="A3996" t="s">
        <v>6</v>
      </c>
      <c r="B3996">
        <v>48</v>
      </c>
      <c r="C3996" t="str">
        <f>CHOOSE(MATCH(B3996, {20,25,30,35,40,45,50,55,60,65,70,75,80,85}, 1), "20-24", "25-29", "30-34", "35-39", "40-44", "45-49", "50-54", "55-59", "60-64", "65-69", "70-74", "75-79", "80-84", "85+")</f>
        <v>45-49</v>
      </c>
      <c r="D3996" t="s">
        <v>7</v>
      </c>
    </row>
    <row r="3997" spans="1:4">
      <c r="A3997" t="s">
        <v>6</v>
      </c>
      <c r="B3997">
        <v>21</v>
      </c>
      <c r="C3997" t="str">
        <f>CHOOSE(MATCH(B3997, {20,25,30,35,40,45,50,55,60,65,70,75,80,85}, 1), "20-24", "25-29", "30-34", "35-39", "40-44", "45-49", "50-54", "55-59", "60-64", "65-69", "70-74", "75-79", "80-84", "85+")</f>
        <v>20-24</v>
      </c>
      <c r="D3997" t="s">
        <v>8</v>
      </c>
    </row>
    <row r="3998" spans="1:4">
      <c r="A3998" t="s">
        <v>6</v>
      </c>
      <c r="B3998">
        <v>28</v>
      </c>
      <c r="C3998" t="str">
        <f>CHOOSE(MATCH(B3998, {20,25,30,35,40,45,50,55,60,65,70,75,80,85}, 1), "20-24", "25-29", "30-34", "35-39", "40-44", "45-49", "50-54", "55-59", "60-64", "65-69", "70-74", "75-79", "80-84", "85+")</f>
        <v>25-29</v>
      </c>
      <c r="D3998" t="s">
        <v>7</v>
      </c>
    </row>
    <row r="3999" spans="1:4">
      <c r="A3999" t="s">
        <v>6</v>
      </c>
      <c r="B3999">
        <v>36</v>
      </c>
      <c r="C3999" t="str">
        <f>CHOOSE(MATCH(B3999, {20,25,30,35,40,45,50,55,60,65,70,75,80,85}, 1), "20-24", "25-29", "30-34", "35-39", "40-44", "45-49", "50-54", "55-59", "60-64", "65-69", "70-74", "75-79", "80-84", "85+")</f>
        <v>35-39</v>
      </c>
      <c r="D3999" t="s">
        <v>7</v>
      </c>
    </row>
    <row r="4000" spans="1:4">
      <c r="A4000" t="s">
        <v>6</v>
      </c>
      <c r="B4000">
        <v>43</v>
      </c>
      <c r="C4000" t="str">
        <f>CHOOSE(MATCH(B4000, {20,25,30,35,40,45,50,55,60,65,70,75,80,85}, 1), "20-24", "25-29", "30-34", "35-39", "40-44", "45-49", "50-54", "55-59", "60-64", "65-69", "70-74", "75-79", "80-84", "85+")</f>
        <v>40-44</v>
      </c>
      <c r="D4000" t="s">
        <v>8</v>
      </c>
    </row>
    <row r="4001" spans="1:4">
      <c r="A4001" t="s">
        <v>6</v>
      </c>
      <c r="B4001">
        <v>43</v>
      </c>
      <c r="C4001" t="str">
        <f>CHOOSE(MATCH(B4001, {20,25,30,35,40,45,50,55,60,65,70,75,80,85}, 1), "20-24", "25-29", "30-34", "35-39", "40-44", "45-49", "50-54", "55-59", "60-64", "65-69", "70-74", "75-79", "80-84", "85+")</f>
        <v>40-44</v>
      </c>
      <c r="D4001" t="s">
        <v>7</v>
      </c>
    </row>
    <row r="4002" spans="1:4">
      <c r="A4002" t="s">
        <v>6</v>
      </c>
      <c r="B4002">
        <v>47</v>
      </c>
      <c r="C4002" t="str">
        <f>CHOOSE(MATCH(B4002, {20,25,30,35,40,45,50,55,60,65,70,75,80,85}, 1), "20-24", "25-29", "30-34", "35-39", "40-44", "45-49", "50-54", "55-59", "60-64", "65-69", "70-74", "75-79", "80-84", "85+")</f>
        <v>45-49</v>
      </c>
      <c r="D4002" t="s">
        <v>8</v>
      </c>
    </row>
    <row r="4003" spans="1:4">
      <c r="A4003" t="s">
        <v>6</v>
      </c>
      <c r="B4003">
        <v>35</v>
      </c>
      <c r="C4003" t="str">
        <f>CHOOSE(MATCH(B4003, {20,25,30,35,40,45,50,55,60,65,70,75,80,85}, 1), "20-24", "25-29", "30-34", "35-39", "40-44", "45-49", "50-54", "55-59", "60-64", "65-69", "70-74", "75-79", "80-84", "85+")</f>
        <v>35-39</v>
      </c>
      <c r="D4003" t="s">
        <v>7</v>
      </c>
    </row>
    <row r="4004" spans="1:4">
      <c r="A4004" t="s">
        <v>6</v>
      </c>
      <c r="B4004">
        <v>36</v>
      </c>
      <c r="C4004" t="str">
        <f>CHOOSE(MATCH(B4004, {20,25,30,35,40,45,50,55,60,65,70,75,80,85}, 1), "20-24", "25-29", "30-34", "35-39", "40-44", "45-49", "50-54", "55-59", "60-64", "65-69", "70-74", "75-79", "80-84", "85+")</f>
        <v>35-39</v>
      </c>
      <c r="D4004" t="s">
        <v>7</v>
      </c>
    </row>
    <row r="4005" spans="1:4">
      <c r="A4005" t="s">
        <v>6</v>
      </c>
      <c r="B4005">
        <v>51</v>
      </c>
      <c r="C4005" t="str">
        <f>CHOOSE(MATCH(B4005, {20,25,30,35,40,45,50,55,60,65,70,75,80,85}, 1), "20-24", "25-29", "30-34", "35-39", "40-44", "45-49", "50-54", "55-59", "60-64", "65-69", "70-74", "75-79", "80-84", "85+")</f>
        <v>50-54</v>
      </c>
      <c r="D4005" t="s">
        <v>7</v>
      </c>
    </row>
    <row r="4006" spans="1:4">
      <c r="A4006" t="s">
        <v>6</v>
      </c>
      <c r="B4006">
        <v>29</v>
      </c>
      <c r="C4006" t="str">
        <f>CHOOSE(MATCH(B4006, {20,25,30,35,40,45,50,55,60,65,70,75,80,85}, 1), "20-24", "25-29", "30-34", "35-39", "40-44", "45-49", "50-54", "55-59", "60-64", "65-69", "70-74", "75-79", "80-84", "85+")</f>
        <v>25-29</v>
      </c>
      <c r="D4006" t="s">
        <v>8</v>
      </c>
    </row>
    <row r="4007" spans="1:4">
      <c r="A4007" t="s">
        <v>6</v>
      </c>
      <c r="B4007">
        <v>27</v>
      </c>
      <c r="C4007" t="str">
        <f>CHOOSE(MATCH(B4007, {20,25,30,35,40,45,50,55,60,65,70,75,80,85}, 1), "20-24", "25-29", "30-34", "35-39", "40-44", "45-49", "50-54", "55-59", "60-64", "65-69", "70-74", "75-79", "80-84", "85+")</f>
        <v>25-29</v>
      </c>
      <c r="D4007" t="s">
        <v>8</v>
      </c>
    </row>
    <row r="4008" spans="1:4">
      <c r="A4008" t="s">
        <v>6</v>
      </c>
      <c r="B4008">
        <v>69</v>
      </c>
      <c r="C4008" t="str">
        <f>CHOOSE(MATCH(B4008, {20,25,30,35,40,45,50,55,60,65,70,75,80,85}, 1), "20-24", "25-29", "30-34", "35-39", "40-44", "45-49", "50-54", "55-59", "60-64", "65-69", "70-74", "75-79", "80-84", "85+")</f>
        <v>65-69</v>
      </c>
      <c r="D4008" t="s">
        <v>7</v>
      </c>
    </row>
    <row r="4009" spans="1:4">
      <c r="A4009" t="s">
        <v>6</v>
      </c>
      <c r="B4009">
        <v>30</v>
      </c>
      <c r="C4009" t="str">
        <f>CHOOSE(MATCH(B4009, {20,25,30,35,40,45,50,55,60,65,70,75,80,85}, 1), "20-24", "25-29", "30-34", "35-39", "40-44", "45-49", "50-54", "55-59", "60-64", "65-69", "70-74", "75-79", "80-84", "85+")</f>
        <v>30-34</v>
      </c>
      <c r="D4009" t="s">
        <v>7</v>
      </c>
    </row>
    <row r="4010" spans="1:4">
      <c r="A4010" t="s">
        <v>6</v>
      </c>
      <c r="B4010">
        <v>57</v>
      </c>
      <c r="C4010" t="str">
        <f>CHOOSE(MATCH(B4010, {20,25,30,35,40,45,50,55,60,65,70,75,80,85}, 1), "20-24", "25-29", "30-34", "35-39", "40-44", "45-49", "50-54", "55-59", "60-64", "65-69", "70-74", "75-79", "80-84", "85+")</f>
        <v>55-59</v>
      </c>
      <c r="D4010" t="s">
        <v>8</v>
      </c>
    </row>
    <row r="4011" spans="1:4">
      <c r="A4011" t="s">
        <v>6</v>
      </c>
      <c r="B4011">
        <v>51</v>
      </c>
      <c r="C4011" t="str">
        <f>CHOOSE(MATCH(B4011, {20,25,30,35,40,45,50,55,60,65,70,75,80,85}, 1), "20-24", "25-29", "30-34", "35-39", "40-44", "45-49", "50-54", "55-59", "60-64", "65-69", "70-74", "75-79", "80-84", "85+")</f>
        <v>50-54</v>
      </c>
      <c r="D4011" t="s">
        <v>7</v>
      </c>
    </row>
    <row r="4012" spans="1:4">
      <c r="A4012" t="s">
        <v>6</v>
      </c>
      <c r="B4012">
        <v>53</v>
      </c>
      <c r="C4012" t="str">
        <f>CHOOSE(MATCH(B4012, {20,25,30,35,40,45,50,55,60,65,70,75,80,85}, 1), "20-24", "25-29", "30-34", "35-39", "40-44", "45-49", "50-54", "55-59", "60-64", "65-69", "70-74", "75-79", "80-84", "85+")</f>
        <v>50-54</v>
      </c>
      <c r="D4012" t="s">
        <v>7</v>
      </c>
    </row>
    <row r="4013" spans="1:4">
      <c r="A4013" t="s">
        <v>6</v>
      </c>
      <c r="B4013">
        <v>40</v>
      </c>
      <c r="C4013" t="str">
        <f>CHOOSE(MATCH(B4013, {20,25,30,35,40,45,50,55,60,65,70,75,80,85}, 1), "20-24", "25-29", "30-34", "35-39", "40-44", "45-49", "50-54", "55-59", "60-64", "65-69", "70-74", "75-79", "80-84", "85+")</f>
        <v>40-44</v>
      </c>
      <c r="D4013" t="s">
        <v>7</v>
      </c>
    </row>
    <row r="4014" spans="1:4">
      <c r="A4014" t="s">
        <v>6</v>
      </c>
      <c r="B4014">
        <v>53</v>
      </c>
      <c r="C4014" t="str">
        <f>CHOOSE(MATCH(B4014, {20,25,30,35,40,45,50,55,60,65,70,75,80,85}, 1), "20-24", "25-29", "30-34", "35-39", "40-44", "45-49", "50-54", "55-59", "60-64", "65-69", "70-74", "75-79", "80-84", "85+")</f>
        <v>50-54</v>
      </c>
      <c r="D4014" t="s">
        <v>7</v>
      </c>
    </row>
    <row r="4015" spans="1:4">
      <c r="A4015" t="s">
        <v>6</v>
      </c>
      <c r="B4015">
        <v>38</v>
      </c>
      <c r="C4015" t="str">
        <f>CHOOSE(MATCH(B4015, {20,25,30,35,40,45,50,55,60,65,70,75,80,85}, 1), "20-24", "25-29", "30-34", "35-39", "40-44", "45-49", "50-54", "55-59", "60-64", "65-69", "70-74", "75-79", "80-84", "85+")</f>
        <v>35-39</v>
      </c>
      <c r="D4015" t="s">
        <v>7</v>
      </c>
    </row>
    <row r="4016" spans="1:4">
      <c r="A4016" t="s">
        <v>6</v>
      </c>
      <c r="B4016">
        <v>24</v>
      </c>
      <c r="C4016" t="str">
        <f>CHOOSE(MATCH(B4016, {20,25,30,35,40,45,50,55,60,65,70,75,80,85}, 1), "20-24", "25-29", "30-34", "35-39", "40-44", "45-49", "50-54", "55-59", "60-64", "65-69", "70-74", "75-79", "80-84", "85+")</f>
        <v>20-24</v>
      </c>
      <c r="D4016" t="s">
        <v>8</v>
      </c>
    </row>
    <row r="4017" spans="1:4">
      <c r="A4017" t="s">
        <v>6</v>
      </c>
      <c r="B4017">
        <v>42</v>
      </c>
      <c r="C4017" t="str">
        <f>CHOOSE(MATCH(B4017, {20,25,30,35,40,45,50,55,60,65,70,75,80,85}, 1), "20-24", "25-29", "30-34", "35-39", "40-44", "45-49", "50-54", "55-59", "60-64", "65-69", "70-74", "75-79", "80-84", "85+")</f>
        <v>40-44</v>
      </c>
      <c r="D4017" t="s">
        <v>7</v>
      </c>
    </row>
    <row r="4018" spans="1:4">
      <c r="A4018" t="s">
        <v>6</v>
      </c>
      <c r="B4018">
        <v>64</v>
      </c>
      <c r="C4018" t="str">
        <f>CHOOSE(MATCH(B4018, {20,25,30,35,40,45,50,55,60,65,70,75,80,85}, 1), "20-24", "25-29", "30-34", "35-39", "40-44", "45-49", "50-54", "55-59", "60-64", "65-69", "70-74", "75-79", "80-84", "85+")</f>
        <v>60-64</v>
      </c>
      <c r="D4018" t="s">
        <v>7</v>
      </c>
    </row>
    <row r="4019" spans="1:4">
      <c r="A4019" t="s">
        <v>6</v>
      </c>
      <c r="B4019">
        <v>46</v>
      </c>
      <c r="C4019" t="str">
        <f>CHOOSE(MATCH(B4019, {20,25,30,35,40,45,50,55,60,65,70,75,80,85}, 1), "20-24", "25-29", "30-34", "35-39", "40-44", "45-49", "50-54", "55-59", "60-64", "65-69", "70-74", "75-79", "80-84", "85+")</f>
        <v>45-49</v>
      </c>
      <c r="D4019" t="s">
        <v>7</v>
      </c>
    </row>
    <row r="4020" spans="1:4">
      <c r="A4020" t="s">
        <v>6</v>
      </c>
      <c r="B4020">
        <v>52</v>
      </c>
      <c r="C4020" t="str">
        <f>CHOOSE(MATCH(B4020, {20,25,30,35,40,45,50,55,60,65,70,75,80,85}, 1), "20-24", "25-29", "30-34", "35-39", "40-44", "45-49", "50-54", "55-59", "60-64", "65-69", "70-74", "75-79", "80-84", "85+")</f>
        <v>50-54</v>
      </c>
      <c r="D4020" t="s">
        <v>7</v>
      </c>
    </row>
    <row r="4021" spans="1:4">
      <c r="A4021" t="s">
        <v>6</v>
      </c>
      <c r="B4021">
        <v>24</v>
      </c>
      <c r="C4021" t="str">
        <f>CHOOSE(MATCH(B4021, {20,25,30,35,40,45,50,55,60,65,70,75,80,85}, 1), "20-24", "25-29", "30-34", "35-39", "40-44", "45-49", "50-54", "55-59", "60-64", "65-69", "70-74", "75-79", "80-84", "85+")</f>
        <v>20-24</v>
      </c>
      <c r="D4021" t="s">
        <v>7</v>
      </c>
    </row>
    <row r="4022" spans="1:4">
      <c r="A4022" t="s">
        <v>6</v>
      </c>
      <c r="B4022">
        <v>40</v>
      </c>
      <c r="C4022" t="str">
        <f>CHOOSE(MATCH(B4022, {20,25,30,35,40,45,50,55,60,65,70,75,80,85}, 1), "20-24", "25-29", "30-34", "35-39", "40-44", "45-49", "50-54", "55-59", "60-64", "65-69", "70-74", "75-79", "80-84", "85+")</f>
        <v>40-44</v>
      </c>
      <c r="D4022" t="s">
        <v>7</v>
      </c>
    </row>
    <row r="4023" spans="1:4">
      <c r="A4023" t="s">
        <v>6</v>
      </c>
      <c r="B4023">
        <v>35</v>
      </c>
      <c r="C4023" t="str">
        <f>CHOOSE(MATCH(B4023, {20,25,30,35,40,45,50,55,60,65,70,75,80,85}, 1), "20-24", "25-29", "30-34", "35-39", "40-44", "45-49", "50-54", "55-59", "60-64", "65-69", "70-74", "75-79", "80-84", "85+")</f>
        <v>35-39</v>
      </c>
      <c r="D4023" t="s">
        <v>8</v>
      </c>
    </row>
    <row r="4024" spans="1:4">
      <c r="A4024" t="s">
        <v>6</v>
      </c>
      <c r="B4024">
        <v>22</v>
      </c>
      <c r="C4024" t="str">
        <f>CHOOSE(MATCH(B4024, {20,25,30,35,40,45,50,55,60,65,70,75,80,85}, 1), "20-24", "25-29", "30-34", "35-39", "40-44", "45-49", "50-54", "55-59", "60-64", "65-69", "70-74", "75-79", "80-84", "85+")</f>
        <v>20-24</v>
      </c>
      <c r="D4024" t="s">
        <v>7</v>
      </c>
    </row>
    <row r="4025" spans="1:4">
      <c r="A4025" t="s">
        <v>6</v>
      </c>
      <c r="B4025">
        <v>75</v>
      </c>
      <c r="C4025" t="str">
        <f>CHOOSE(MATCH(B4025, {20,25,30,35,40,45,50,55,60,65,70,75,80,85}, 1), "20-24", "25-29", "30-34", "35-39", "40-44", "45-49", "50-54", "55-59", "60-64", "65-69", "70-74", "75-79", "80-84", "85+")</f>
        <v>75-79</v>
      </c>
      <c r="D4025" t="s">
        <v>7</v>
      </c>
    </row>
    <row r="4026" spans="1:4">
      <c r="A4026" t="s">
        <v>6</v>
      </c>
      <c r="B4026">
        <v>34</v>
      </c>
      <c r="C4026" t="str">
        <f>CHOOSE(MATCH(B4026, {20,25,30,35,40,45,50,55,60,65,70,75,80,85}, 1), "20-24", "25-29", "30-34", "35-39", "40-44", "45-49", "50-54", "55-59", "60-64", "65-69", "70-74", "75-79", "80-84", "85+")</f>
        <v>30-34</v>
      </c>
      <c r="D4026" t="s">
        <v>7</v>
      </c>
    </row>
    <row r="4027" spans="1:4">
      <c r="A4027" t="s">
        <v>6</v>
      </c>
      <c r="B4027">
        <v>45</v>
      </c>
      <c r="C4027" t="str">
        <f>CHOOSE(MATCH(B4027, {20,25,30,35,40,45,50,55,60,65,70,75,80,85}, 1), "20-24", "25-29", "30-34", "35-39", "40-44", "45-49", "50-54", "55-59", "60-64", "65-69", "70-74", "75-79", "80-84", "85+")</f>
        <v>45-49</v>
      </c>
      <c r="D4027" t="s">
        <v>7</v>
      </c>
    </row>
    <row r="4028" spans="1:4">
      <c r="A4028" t="s">
        <v>6</v>
      </c>
      <c r="B4028">
        <v>46</v>
      </c>
      <c r="C4028" t="str">
        <f>CHOOSE(MATCH(B4028, {20,25,30,35,40,45,50,55,60,65,70,75,80,85}, 1), "20-24", "25-29", "30-34", "35-39", "40-44", "45-49", "50-54", "55-59", "60-64", "65-69", "70-74", "75-79", "80-84", "85+")</f>
        <v>45-49</v>
      </c>
      <c r="D4028" t="s">
        <v>7</v>
      </c>
    </row>
    <row r="4029" spans="1:4">
      <c r="A4029" t="s">
        <v>6</v>
      </c>
      <c r="B4029">
        <v>45</v>
      </c>
      <c r="C4029" t="str">
        <f>CHOOSE(MATCH(B4029, {20,25,30,35,40,45,50,55,60,65,70,75,80,85}, 1), "20-24", "25-29", "30-34", "35-39", "40-44", "45-49", "50-54", "55-59", "60-64", "65-69", "70-74", "75-79", "80-84", "85+")</f>
        <v>45-49</v>
      </c>
      <c r="D4029" t="s">
        <v>7</v>
      </c>
    </row>
    <row r="4030" spans="1:4">
      <c r="A4030" t="s">
        <v>6</v>
      </c>
      <c r="B4030">
        <v>28</v>
      </c>
      <c r="C4030" t="str">
        <f>CHOOSE(MATCH(B4030, {20,25,30,35,40,45,50,55,60,65,70,75,80,85}, 1), "20-24", "25-29", "30-34", "35-39", "40-44", "45-49", "50-54", "55-59", "60-64", "65-69", "70-74", "75-79", "80-84", "85+")</f>
        <v>25-29</v>
      </c>
      <c r="D4030" t="s">
        <v>8</v>
      </c>
    </row>
    <row r="4031" spans="1:4">
      <c r="A4031" t="s">
        <v>6</v>
      </c>
      <c r="B4031">
        <v>26</v>
      </c>
      <c r="C4031" t="str">
        <f>CHOOSE(MATCH(B4031, {20,25,30,35,40,45,50,55,60,65,70,75,80,85}, 1), "20-24", "25-29", "30-34", "35-39", "40-44", "45-49", "50-54", "55-59", "60-64", "65-69", "70-74", "75-79", "80-84", "85+")</f>
        <v>25-29</v>
      </c>
      <c r="D4031" t="s">
        <v>7</v>
      </c>
    </row>
    <row r="4032" spans="1:4">
      <c r="A4032" t="s">
        <v>6</v>
      </c>
      <c r="B4032">
        <v>92</v>
      </c>
      <c r="C4032" t="str">
        <f>CHOOSE(MATCH(B4032, {20,25,30,35,40,45,50,55,60,65,70,75,80,85}, 1), "20-24", "25-29", "30-34", "35-39", "40-44", "45-49", "50-54", "55-59", "60-64", "65-69", "70-74", "75-79", "80-84", "85+")</f>
        <v>85+</v>
      </c>
      <c r="D4032" t="s">
        <v>7</v>
      </c>
    </row>
    <row r="4033" spans="1:4">
      <c r="A4033" t="s">
        <v>6</v>
      </c>
      <c r="B4033">
        <v>73</v>
      </c>
      <c r="C4033" t="str">
        <f>CHOOSE(MATCH(B4033, {20,25,30,35,40,45,50,55,60,65,70,75,80,85}, 1), "20-24", "25-29", "30-34", "35-39", "40-44", "45-49", "50-54", "55-59", "60-64", "65-69", "70-74", "75-79", "80-84", "85+")</f>
        <v>70-74</v>
      </c>
      <c r="D4033" t="s">
        <v>7</v>
      </c>
    </row>
    <row r="4034" spans="1:4">
      <c r="A4034" t="s">
        <v>6</v>
      </c>
      <c r="B4034">
        <v>40</v>
      </c>
      <c r="C4034" t="str">
        <f>CHOOSE(MATCH(B4034, {20,25,30,35,40,45,50,55,60,65,70,75,80,85}, 1), "20-24", "25-29", "30-34", "35-39", "40-44", "45-49", "50-54", "55-59", "60-64", "65-69", "70-74", "75-79", "80-84", "85+")</f>
        <v>40-44</v>
      </c>
      <c r="D4034" t="s">
        <v>7</v>
      </c>
    </row>
    <row r="4035" spans="1:4">
      <c r="A4035" t="s">
        <v>6</v>
      </c>
      <c r="B4035">
        <v>30</v>
      </c>
      <c r="C4035" t="str">
        <f>CHOOSE(MATCH(B4035, {20,25,30,35,40,45,50,55,60,65,70,75,80,85}, 1), "20-24", "25-29", "30-34", "35-39", "40-44", "45-49", "50-54", "55-59", "60-64", "65-69", "70-74", "75-79", "80-84", "85+")</f>
        <v>30-34</v>
      </c>
      <c r="D4035" t="s">
        <v>8</v>
      </c>
    </row>
    <row r="4036" spans="1:4">
      <c r="A4036" t="s">
        <v>6</v>
      </c>
      <c r="B4036">
        <v>33</v>
      </c>
      <c r="C4036" t="str">
        <f>CHOOSE(MATCH(B4036, {20,25,30,35,40,45,50,55,60,65,70,75,80,85}, 1), "20-24", "25-29", "30-34", "35-39", "40-44", "45-49", "50-54", "55-59", "60-64", "65-69", "70-74", "75-79", "80-84", "85+")</f>
        <v>30-34</v>
      </c>
      <c r="D4036" t="s">
        <v>7</v>
      </c>
    </row>
    <row r="4037" spans="1:4">
      <c r="A4037" t="s">
        <v>6</v>
      </c>
      <c r="B4037">
        <v>54</v>
      </c>
      <c r="C4037" t="str">
        <f>CHOOSE(MATCH(B4037, {20,25,30,35,40,45,50,55,60,65,70,75,80,85}, 1), "20-24", "25-29", "30-34", "35-39", "40-44", "45-49", "50-54", "55-59", "60-64", "65-69", "70-74", "75-79", "80-84", "85+")</f>
        <v>50-54</v>
      </c>
      <c r="D4037" t="s">
        <v>7</v>
      </c>
    </row>
    <row r="4038" spans="1:4">
      <c r="A4038" t="s">
        <v>6</v>
      </c>
      <c r="B4038">
        <v>72</v>
      </c>
      <c r="C4038" t="str">
        <f>CHOOSE(MATCH(B4038, {20,25,30,35,40,45,50,55,60,65,70,75,80,85}, 1), "20-24", "25-29", "30-34", "35-39", "40-44", "45-49", "50-54", "55-59", "60-64", "65-69", "70-74", "75-79", "80-84", "85+")</f>
        <v>70-74</v>
      </c>
      <c r="D4038" t="s">
        <v>8</v>
      </c>
    </row>
    <row r="4039" spans="1:4">
      <c r="A4039" t="s">
        <v>6</v>
      </c>
      <c r="B4039">
        <v>34</v>
      </c>
      <c r="C4039" t="str">
        <f>CHOOSE(MATCH(B4039, {20,25,30,35,40,45,50,55,60,65,70,75,80,85}, 1), "20-24", "25-29", "30-34", "35-39", "40-44", "45-49", "50-54", "55-59", "60-64", "65-69", "70-74", "75-79", "80-84", "85+")</f>
        <v>30-34</v>
      </c>
      <c r="D4039" t="s">
        <v>8</v>
      </c>
    </row>
    <row r="4040" spans="1:4">
      <c r="A4040" t="s">
        <v>6</v>
      </c>
      <c r="B4040">
        <v>29</v>
      </c>
      <c r="C4040" t="str">
        <f>CHOOSE(MATCH(B4040, {20,25,30,35,40,45,50,55,60,65,70,75,80,85}, 1), "20-24", "25-29", "30-34", "35-39", "40-44", "45-49", "50-54", "55-59", "60-64", "65-69", "70-74", "75-79", "80-84", "85+")</f>
        <v>25-29</v>
      </c>
      <c r="D4040" t="s">
        <v>8</v>
      </c>
    </row>
    <row r="4041" spans="1:4">
      <c r="A4041" t="s">
        <v>6</v>
      </c>
      <c r="B4041">
        <v>36</v>
      </c>
      <c r="C4041" t="str">
        <f>CHOOSE(MATCH(B4041, {20,25,30,35,40,45,50,55,60,65,70,75,80,85}, 1), "20-24", "25-29", "30-34", "35-39", "40-44", "45-49", "50-54", "55-59", "60-64", "65-69", "70-74", "75-79", "80-84", "85+")</f>
        <v>35-39</v>
      </c>
      <c r="D4041" t="s">
        <v>7</v>
      </c>
    </row>
    <row r="4042" spans="1:4">
      <c r="A4042" t="s">
        <v>6</v>
      </c>
      <c r="B4042">
        <v>40</v>
      </c>
      <c r="C4042" t="str">
        <f>CHOOSE(MATCH(B4042, {20,25,30,35,40,45,50,55,60,65,70,75,80,85}, 1), "20-24", "25-29", "30-34", "35-39", "40-44", "45-49", "50-54", "55-59", "60-64", "65-69", "70-74", "75-79", "80-84", "85+")</f>
        <v>40-44</v>
      </c>
      <c r="D4042" t="s">
        <v>7</v>
      </c>
    </row>
    <row r="4043" spans="1:4">
      <c r="A4043" t="s">
        <v>6</v>
      </c>
      <c r="B4043">
        <v>88</v>
      </c>
      <c r="C4043" t="str">
        <f>CHOOSE(MATCH(B4043, {20,25,30,35,40,45,50,55,60,65,70,75,80,85}, 1), "20-24", "25-29", "30-34", "35-39", "40-44", "45-49", "50-54", "55-59", "60-64", "65-69", "70-74", "75-79", "80-84", "85+")</f>
        <v>85+</v>
      </c>
      <c r="D4043" t="s">
        <v>7</v>
      </c>
    </row>
    <row r="4044" spans="1:4">
      <c r="A4044" t="s">
        <v>6</v>
      </c>
      <c r="B4044">
        <v>54</v>
      </c>
      <c r="C4044" t="str">
        <f>CHOOSE(MATCH(B4044, {20,25,30,35,40,45,50,55,60,65,70,75,80,85}, 1), "20-24", "25-29", "30-34", "35-39", "40-44", "45-49", "50-54", "55-59", "60-64", "65-69", "70-74", "75-79", "80-84", "85+")</f>
        <v>50-54</v>
      </c>
      <c r="D4044" t="s">
        <v>8</v>
      </c>
    </row>
    <row r="4045" spans="1:4">
      <c r="A4045" t="s">
        <v>6</v>
      </c>
      <c r="B4045">
        <v>43</v>
      </c>
      <c r="C4045" t="str">
        <f>CHOOSE(MATCH(B4045, {20,25,30,35,40,45,50,55,60,65,70,75,80,85}, 1), "20-24", "25-29", "30-34", "35-39", "40-44", "45-49", "50-54", "55-59", "60-64", "65-69", "70-74", "75-79", "80-84", "85+")</f>
        <v>40-44</v>
      </c>
      <c r="D4045" t="s">
        <v>8</v>
      </c>
    </row>
    <row r="4046" spans="1:4">
      <c r="A4046" t="s">
        <v>6</v>
      </c>
      <c r="B4046">
        <v>28</v>
      </c>
      <c r="C4046" t="str">
        <f>CHOOSE(MATCH(B4046, {20,25,30,35,40,45,50,55,60,65,70,75,80,85}, 1), "20-24", "25-29", "30-34", "35-39", "40-44", "45-49", "50-54", "55-59", "60-64", "65-69", "70-74", "75-79", "80-84", "85+")</f>
        <v>25-29</v>
      </c>
      <c r="D4046" t="s">
        <v>8</v>
      </c>
    </row>
    <row r="4047" spans="1:4">
      <c r="A4047" t="s">
        <v>6</v>
      </c>
      <c r="B4047">
        <v>39</v>
      </c>
      <c r="C4047" t="str">
        <f>CHOOSE(MATCH(B4047, {20,25,30,35,40,45,50,55,60,65,70,75,80,85}, 1), "20-24", "25-29", "30-34", "35-39", "40-44", "45-49", "50-54", "55-59", "60-64", "65-69", "70-74", "75-79", "80-84", "85+")</f>
        <v>35-39</v>
      </c>
      <c r="D4047" t="s">
        <v>7</v>
      </c>
    </row>
    <row r="4048" spans="1:4">
      <c r="A4048" t="s">
        <v>6</v>
      </c>
      <c r="B4048">
        <v>27</v>
      </c>
      <c r="C4048" t="str">
        <f>CHOOSE(MATCH(B4048, {20,25,30,35,40,45,50,55,60,65,70,75,80,85}, 1), "20-24", "25-29", "30-34", "35-39", "40-44", "45-49", "50-54", "55-59", "60-64", "65-69", "70-74", "75-79", "80-84", "85+")</f>
        <v>25-29</v>
      </c>
      <c r="D4048" t="s">
        <v>7</v>
      </c>
    </row>
    <row r="4049" spans="1:4">
      <c r="A4049" t="s">
        <v>6</v>
      </c>
      <c r="B4049">
        <v>54</v>
      </c>
      <c r="C4049" t="str">
        <f>CHOOSE(MATCH(B4049, {20,25,30,35,40,45,50,55,60,65,70,75,80,85}, 1), "20-24", "25-29", "30-34", "35-39", "40-44", "45-49", "50-54", "55-59", "60-64", "65-69", "70-74", "75-79", "80-84", "85+")</f>
        <v>50-54</v>
      </c>
      <c r="D4049" t="s">
        <v>8</v>
      </c>
    </row>
    <row r="4050" spans="1:4">
      <c r="A4050" t="s">
        <v>6</v>
      </c>
      <c r="B4050">
        <v>44</v>
      </c>
      <c r="C4050" t="str">
        <f>CHOOSE(MATCH(B4050, {20,25,30,35,40,45,50,55,60,65,70,75,80,85}, 1), "20-24", "25-29", "30-34", "35-39", "40-44", "45-49", "50-54", "55-59", "60-64", "65-69", "70-74", "75-79", "80-84", "85+")</f>
        <v>40-44</v>
      </c>
      <c r="D4050" t="s">
        <v>7</v>
      </c>
    </row>
    <row r="4051" spans="1:4">
      <c r="A4051" t="s">
        <v>6</v>
      </c>
      <c r="B4051">
        <v>60</v>
      </c>
      <c r="C4051" t="str">
        <f>CHOOSE(MATCH(B4051, {20,25,30,35,40,45,50,55,60,65,70,75,80,85}, 1), "20-24", "25-29", "30-34", "35-39", "40-44", "45-49", "50-54", "55-59", "60-64", "65-69", "70-74", "75-79", "80-84", "85+")</f>
        <v>60-64</v>
      </c>
      <c r="D4051" t="s">
        <v>8</v>
      </c>
    </row>
    <row r="4052" spans="1:4">
      <c r="A4052" t="s">
        <v>6</v>
      </c>
      <c r="B4052">
        <v>52</v>
      </c>
      <c r="C4052" t="str">
        <f>CHOOSE(MATCH(B4052, {20,25,30,35,40,45,50,55,60,65,70,75,80,85}, 1), "20-24", "25-29", "30-34", "35-39", "40-44", "45-49", "50-54", "55-59", "60-64", "65-69", "70-74", "75-79", "80-84", "85+")</f>
        <v>50-54</v>
      </c>
      <c r="D4052" t="s">
        <v>7</v>
      </c>
    </row>
    <row r="4053" spans="1:4">
      <c r="A4053" t="s">
        <v>6</v>
      </c>
      <c r="B4053">
        <v>33</v>
      </c>
      <c r="C4053" t="str">
        <f>CHOOSE(MATCH(B4053, {20,25,30,35,40,45,50,55,60,65,70,75,80,85}, 1), "20-24", "25-29", "30-34", "35-39", "40-44", "45-49", "50-54", "55-59", "60-64", "65-69", "70-74", "75-79", "80-84", "85+")</f>
        <v>30-34</v>
      </c>
      <c r="D4053" t="s">
        <v>7</v>
      </c>
    </row>
    <row r="4054" spans="1:4">
      <c r="A4054" t="s">
        <v>6</v>
      </c>
      <c r="B4054">
        <v>34</v>
      </c>
      <c r="C4054" t="str">
        <f>CHOOSE(MATCH(B4054, {20,25,30,35,40,45,50,55,60,65,70,75,80,85}, 1), "20-24", "25-29", "30-34", "35-39", "40-44", "45-49", "50-54", "55-59", "60-64", "65-69", "70-74", "75-79", "80-84", "85+")</f>
        <v>30-34</v>
      </c>
      <c r="D4054" t="s">
        <v>7</v>
      </c>
    </row>
    <row r="4055" spans="1:4">
      <c r="A4055" t="s">
        <v>6</v>
      </c>
      <c r="B4055">
        <v>40</v>
      </c>
      <c r="C4055" t="str">
        <f>CHOOSE(MATCH(B4055, {20,25,30,35,40,45,50,55,60,65,70,75,80,85}, 1), "20-24", "25-29", "30-34", "35-39", "40-44", "45-49", "50-54", "55-59", "60-64", "65-69", "70-74", "75-79", "80-84", "85+")</f>
        <v>40-44</v>
      </c>
      <c r="D4055" t="s">
        <v>8</v>
      </c>
    </row>
    <row r="4056" spans="1:4">
      <c r="A4056" t="s">
        <v>6</v>
      </c>
      <c r="B4056">
        <v>34</v>
      </c>
      <c r="C4056" t="str">
        <f>CHOOSE(MATCH(B4056, {20,25,30,35,40,45,50,55,60,65,70,75,80,85}, 1), "20-24", "25-29", "30-34", "35-39", "40-44", "45-49", "50-54", "55-59", "60-64", "65-69", "70-74", "75-79", "80-84", "85+")</f>
        <v>30-34</v>
      </c>
      <c r="D4056" t="s">
        <v>7</v>
      </c>
    </row>
    <row r="4057" spans="1:4">
      <c r="A4057" t="s">
        <v>6</v>
      </c>
      <c r="B4057">
        <v>33</v>
      </c>
      <c r="C4057" t="str">
        <f>CHOOSE(MATCH(B4057, {20,25,30,35,40,45,50,55,60,65,70,75,80,85}, 1), "20-24", "25-29", "30-34", "35-39", "40-44", "45-49", "50-54", "55-59", "60-64", "65-69", "70-74", "75-79", "80-84", "85+")</f>
        <v>30-34</v>
      </c>
      <c r="D4057" t="s">
        <v>8</v>
      </c>
    </row>
    <row r="4058" spans="1:4">
      <c r="A4058" t="s">
        <v>6</v>
      </c>
      <c r="B4058">
        <v>34</v>
      </c>
      <c r="C4058" t="str">
        <f>CHOOSE(MATCH(B4058, {20,25,30,35,40,45,50,55,60,65,70,75,80,85}, 1), "20-24", "25-29", "30-34", "35-39", "40-44", "45-49", "50-54", "55-59", "60-64", "65-69", "70-74", "75-79", "80-84", "85+")</f>
        <v>30-34</v>
      </c>
      <c r="D4058" t="s">
        <v>8</v>
      </c>
    </row>
    <row r="4059" spans="1:4">
      <c r="A4059" t="s">
        <v>6</v>
      </c>
      <c r="B4059">
        <v>60</v>
      </c>
      <c r="C4059" t="str">
        <f>CHOOSE(MATCH(B4059, {20,25,30,35,40,45,50,55,60,65,70,75,80,85}, 1), "20-24", "25-29", "30-34", "35-39", "40-44", "45-49", "50-54", "55-59", "60-64", "65-69", "70-74", "75-79", "80-84", "85+")</f>
        <v>60-64</v>
      </c>
      <c r="D4059" t="s">
        <v>8</v>
      </c>
    </row>
    <row r="4060" spans="1:4">
      <c r="A4060" t="s">
        <v>6</v>
      </c>
      <c r="B4060">
        <v>20</v>
      </c>
      <c r="C4060" t="str">
        <f>CHOOSE(MATCH(B4060, {20,25,30,35,40,45,50,55,60,65,70,75,80,85}, 1), "20-24", "25-29", "30-34", "35-39", "40-44", "45-49", "50-54", "55-59", "60-64", "65-69", "70-74", "75-79", "80-84", "85+")</f>
        <v>20-24</v>
      </c>
      <c r="D4060" t="s">
        <v>7</v>
      </c>
    </row>
    <row r="4061" spans="1:4">
      <c r="A4061" t="s">
        <v>6</v>
      </c>
      <c r="B4061">
        <v>25</v>
      </c>
      <c r="C4061" t="str">
        <f>CHOOSE(MATCH(B4061, {20,25,30,35,40,45,50,55,60,65,70,75,80,85}, 1), "20-24", "25-29", "30-34", "35-39", "40-44", "45-49", "50-54", "55-59", "60-64", "65-69", "70-74", "75-79", "80-84", "85+")</f>
        <v>25-29</v>
      </c>
      <c r="D4061" t="s">
        <v>8</v>
      </c>
    </row>
    <row r="4062" spans="1:4">
      <c r="A4062" t="s">
        <v>6</v>
      </c>
      <c r="B4062">
        <v>41</v>
      </c>
      <c r="C4062" t="str">
        <f>CHOOSE(MATCH(B4062, {20,25,30,35,40,45,50,55,60,65,70,75,80,85}, 1), "20-24", "25-29", "30-34", "35-39", "40-44", "45-49", "50-54", "55-59", "60-64", "65-69", "70-74", "75-79", "80-84", "85+")</f>
        <v>40-44</v>
      </c>
      <c r="D4062" t="s">
        <v>8</v>
      </c>
    </row>
    <row r="4063" spans="1:4">
      <c r="A4063" t="s">
        <v>6</v>
      </c>
      <c r="B4063">
        <v>21</v>
      </c>
      <c r="C4063" t="str">
        <f>CHOOSE(MATCH(B4063, {20,25,30,35,40,45,50,55,60,65,70,75,80,85}, 1), "20-24", "25-29", "30-34", "35-39", "40-44", "45-49", "50-54", "55-59", "60-64", "65-69", "70-74", "75-79", "80-84", "85+")</f>
        <v>20-24</v>
      </c>
      <c r="D4063" t="s">
        <v>8</v>
      </c>
    </row>
    <row r="4064" spans="1:4">
      <c r="A4064" t="s">
        <v>6</v>
      </c>
      <c r="B4064">
        <v>63</v>
      </c>
      <c r="C4064" t="str">
        <f>CHOOSE(MATCH(B4064, {20,25,30,35,40,45,50,55,60,65,70,75,80,85}, 1), "20-24", "25-29", "30-34", "35-39", "40-44", "45-49", "50-54", "55-59", "60-64", "65-69", "70-74", "75-79", "80-84", "85+")</f>
        <v>60-64</v>
      </c>
      <c r="D4064" t="s">
        <v>8</v>
      </c>
    </row>
    <row r="4065" spans="1:4">
      <c r="A4065" t="s">
        <v>6</v>
      </c>
      <c r="B4065">
        <v>51</v>
      </c>
      <c r="C4065" t="str">
        <f>CHOOSE(MATCH(B4065, {20,25,30,35,40,45,50,55,60,65,70,75,80,85}, 1), "20-24", "25-29", "30-34", "35-39", "40-44", "45-49", "50-54", "55-59", "60-64", "65-69", "70-74", "75-79", "80-84", "85+")</f>
        <v>50-54</v>
      </c>
      <c r="D4065" t="s">
        <v>7</v>
      </c>
    </row>
    <row r="4066" spans="1:4">
      <c r="A4066" t="s">
        <v>6</v>
      </c>
      <c r="B4066">
        <v>28</v>
      </c>
      <c r="C4066" t="str">
        <f>CHOOSE(MATCH(B4066, {20,25,30,35,40,45,50,55,60,65,70,75,80,85}, 1), "20-24", "25-29", "30-34", "35-39", "40-44", "45-49", "50-54", "55-59", "60-64", "65-69", "70-74", "75-79", "80-84", "85+")</f>
        <v>25-29</v>
      </c>
      <c r="D4066" t="s">
        <v>7</v>
      </c>
    </row>
    <row r="4067" spans="1:4">
      <c r="A4067" t="s">
        <v>6</v>
      </c>
      <c r="B4067">
        <v>52</v>
      </c>
      <c r="C4067" t="str">
        <f>CHOOSE(MATCH(B4067, {20,25,30,35,40,45,50,55,60,65,70,75,80,85}, 1), "20-24", "25-29", "30-34", "35-39", "40-44", "45-49", "50-54", "55-59", "60-64", "65-69", "70-74", "75-79", "80-84", "85+")</f>
        <v>50-54</v>
      </c>
      <c r="D4067" t="s">
        <v>7</v>
      </c>
    </row>
    <row r="4068" spans="1:4">
      <c r="A4068" t="s">
        <v>6</v>
      </c>
      <c r="B4068">
        <v>44</v>
      </c>
      <c r="C4068" t="str">
        <f>CHOOSE(MATCH(B4068, {20,25,30,35,40,45,50,55,60,65,70,75,80,85}, 1), "20-24", "25-29", "30-34", "35-39", "40-44", "45-49", "50-54", "55-59", "60-64", "65-69", "70-74", "75-79", "80-84", "85+")</f>
        <v>40-44</v>
      </c>
      <c r="D4068" t="s">
        <v>7</v>
      </c>
    </row>
    <row r="4069" spans="1:4">
      <c r="A4069" t="s">
        <v>6</v>
      </c>
      <c r="B4069">
        <v>28</v>
      </c>
      <c r="C4069" t="str">
        <f>CHOOSE(MATCH(B4069, {20,25,30,35,40,45,50,55,60,65,70,75,80,85}, 1), "20-24", "25-29", "30-34", "35-39", "40-44", "45-49", "50-54", "55-59", "60-64", "65-69", "70-74", "75-79", "80-84", "85+")</f>
        <v>25-29</v>
      </c>
      <c r="D4069" t="s">
        <v>7</v>
      </c>
    </row>
    <row r="4070" spans="1:4">
      <c r="A4070" t="s">
        <v>6</v>
      </c>
      <c r="B4070">
        <v>52</v>
      </c>
      <c r="C4070" t="str">
        <f>CHOOSE(MATCH(B4070, {20,25,30,35,40,45,50,55,60,65,70,75,80,85}, 1), "20-24", "25-29", "30-34", "35-39", "40-44", "45-49", "50-54", "55-59", "60-64", "65-69", "70-74", "75-79", "80-84", "85+")</f>
        <v>50-54</v>
      </c>
      <c r="D4070" t="s">
        <v>8</v>
      </c>
    </row>
    <row r="4071" spans="1:4">
      <c r="A4071" t="s">
        <v>6</v>
      </c>
      <c r="B4071">
        <v>57</v>
      </c>
      <c r="C4071" t="str">
        <f>CHOOSE(MATCH(B4071, {20,25,30,35,40,45,50,55,60,65,70,75,80,85}, 1), "20-24", "25-29", "30-34", "35-39", "40-44", "45-49", "50-54", "55-59", "60-64", "65-69", "70-74", "75-79", "80-84", "85+")</f>
        <v>55-59</v>
      </c>
      <c r="D4071" t="s">
        <v>7</v>
      </c>
    </row>
    <row r="4072" spans="1:4">
      <c r="A4072" t="s">
        <v>6</v>
      </c>
      <c r="B4072">
        <v>70</v>
      </c>
      <c r="C4072" t="str">
        <f>CHOOSE(MATCH(B4072, {20,25,30,35,40,45,50,55,60,65,70,75,80,85}, 1), "20-24", "25-29", "30-34", "35-39", "40-44", "45-49", "50-54", "55-59", "60-64", "65-69", "70-74", "75-79", "80-84", "85+")</f>
        <v>70-74</v>
      </c>
      <c r="D4072" t="s">
        <v>8</v>
      </c>
    </row>
    <row r="4073" spans="1:4">
      <c r="A4073" t="s">
        <v>6</v>
      </c>
      <c r="B4073">
        <v>40</v>
      </c>
      <c r="C4073" t="str">
        <f>CHOOSE(MATCH(B4073, {20,25,30,35,40,45,50,55,60,65,70,75,80,85}, 1), "20-24", "25-29", "30-34", "35-39", "40-44", "45-49", "50-54", "55-59", "60-64", "65-69", "70-74", "75-79", "80-84", "85+")</f>
        <v>40-44</v>
      </c>
      <c r="D4073" t="s">
        <v>7</v>
      </c>
    </row>
    <row r="4074" spans="1:4">
      <c r="A4074" t="s">
        <v>6</v>
      </c>
      <c r="B4074">
        <v>23</v>
      </c>
      <c r="C4074" t="str">
        <f>CHOOSE(MATCH(B4074, {20,25,30,35,40,45,50,55,60,65,70,75,80,85}, 1), "20-24", "25-29", "30-34", "35-39", "40-44", "45-49", "50-54", "55-59", "60-64", "65-69", "70-74", "75-79", "80-84", "85+")</f>
        <v>20-24</v>
      </c>
      <c r="D4074" t="s">
        <v>7</v>
      </c>
    </row>
    <row r="4075" spans="1:4">
      <c r="A4075" t="s">
        <v>6</v>
      </c>
      <c r="B4075">
        <v>20</v>
      </c>
      <c r="C4075" t="str">
        <f>CHOOSE(MATCH(B4075, {20,25,30,35,40,45,50,55,60,65,70,75,80,85}, 1), "20-24", "25-29", "30-34", "35-39", "40-44", "45-49", "50-54", "55-59", "60-64", "65-69", "70-74", "75-79", "80-84", "85+")</f>
        <v>20-24</v>
      </c>
      <c r="D4075" t="s">
        <v>7</v>
      </c>
    </row>
    <row r="4076" spans="1:4">
      <c r="A4076" t="s">
        <v>6</v>
      </c>
      <c r="B4076">
        <v>43</v>
      </c>
      <c r="C4076" t="str">
        <f>CHOOSE(MATCH(B4076, {20,25,30,35,40,45,50,55,60,65,70,75,80,85}, 1), "20-24", "25-29", "30-34", "35-39", "40-44", "45-49", "50-54", "55-59", "60-64", "65-69", "70-74", "75-79", "80-84", "85+")</f>
        <v>40-44</v>
      </c>
      <c r="D4076" t="s">
        <v>7</v>
      </c>
    </row>
    <row r="4077" spans="1:4">
      <c r="A4077" t="s">
        <v>6</v>
      </c>
      <c r="B4077">
        <v>28</v>
      </c>
      <c r="C4077" t="str">
        <f>CHOOSE(MATCH(B4077, {20,25,30,35,40,45,50,55,60,65,70,75,80,85}, 1), "20-24", "25-29", "30-34", "35-39", "40-44", "45-49", "50-54", "55-59", "60-64", "65-69", "70-74", "75-79", "80-84", "85+")</f>
        <v>25-29</v>
      </c>
      <c r="D4077" t="s">
        <v>7</v>
      </c>
    </row>
    <row r="4078" spans="1:4">
      <c r="A4078" t="s">
        <v>6</v>
      </c>
      <c r="B4078">
        <v>72</v>
      </c>
      <c r="C4078" t="str">
        <f>CHOOSE(MATCH(B4078, {20,25,30,35,40,45,50,55,60,65,70,75,80,85}, 1), "20-24", "25-29", "30-34", "35-39", "40-44", "45-49", "50-54", "55-59", "60-64", "65-69", "70-74", "75-79", "80-84", "85+")</f>
        <v>70-74</v>
      </c>
      <c r="D4078" t="s">
        <v>8</v>
      </c>
    </row>
    <row r="4079" spans="1:4">
      <c r="A4079" t="s">
        <v>6</v>
      </c>
      <c r="B4079">
        <v>20</v>
      </c>
      <c r="C4079" t="str">
        <f>CHOOSE(MATCH(B4079, {20,25,30,35,40,45,50,55,60,65,70,75,80,85}, 1), "20-24", "25-29", "30-34", "35-39", "40-44", "45-49", "50-54", "55-59", "60-64", "65-69", "70-74", "75-79", "80-84", "85+")</f>
        <v>20-24</v>
      </c>
      <c r="D4079" t="s">
        <v>8</v>
      </c>
    </row>
    <row r="4080" spans="1:4">
      <c r="A4080" t="s">
        <v>6</v>
      </c>
      <c r="B4080">
        <v>31</v>
      </c>
      <c r="C4080" t="str">
        <f>CHOOSE(MATCH(B4080, {20,25,30,35,40,45,50,55,60,65,70,75,80,85}, 1), "20-24", "25-29", "30-34", "35-39", "40-44", "45-49", "50-54", "55-59", "60-64", "65-69", "70-74", "75-79", "80-84", "85+")</f>
        <v>30-34</v>
      </c>
      <c r="D4080" t="s">
        <v>7</v>
      </c>
    </row>
    <row r="4081" spans="1:4">
      <c r="A4081" t="s">
        <v>6</v>
      </c>
      <c r="B4081">
        <v>57</v>
      </c>
      <c r="C4081" t="str">
        <f>CHOOSE(MATCH(B4081, {20,25,30,35,40,45,50,55,60,65,70,75,80,85}, 1), "20-24", "25-29", "30-34", "35-39", "40-44", "45-49", "50-54", "55-59", "60-64", "65-69", "70-74", "75-79", "80-84", "85+")</f>
        <v>55-59</v>
      </c>
      <c r="D4081" t="s">
        <v>8</v>
      </c>
    </row>
    <row r="4082" spans="1:4">
      <c r="A4082" t="s">
        <v>6</v>
      </c>
      <c r="B4082">
        <v>38</v>
      </c>
      <c r="C4082" t="str">
        <f>CHOOSE(MATCH(B4082, {20,25,30,35,40,45,50,55,60,65,70,75,80,85}, 1), "20-24", "25-29", "30-34", "35-39", "40-44", "45-49", "50-54", "55-59", "60-64", "65-69", "70-74", "75-79", "80-84", "85+")</f>
        <v>35-39</v>
      </c>
      <c r="D4082" t="s">
        <v>7</v>
      </c>
    </row>
    <row r="4083" spans="1:4">
      <c r="A4083" t="s">
        <v>6</v>
      </c>
      <c r="B4083">
        <v>35</v>
      </c>
      <c r="C4083" t="str">
        <f>CHOOSE(MATCH(B4083, {20,25,30,35,40,45,50,55,60,65,70,75,80,85}, 1), "20-24", "25-29", "30-34", "35-39", "40-44", "45-49", "50-54", "55-59", "60-64", "65-69", "70-74", "75-79", "80-84", "85+")</f>
        <v>35-39</v>
      </c>
      <c r="D4083" t="s">
        <v>7</v>
      </c>
    </row>
    <row r="4084" spans="1:4">
      <c r="A4084" t="s">
        <v>6</v>
      </c>
      <c r="B4084">
        <v>47</v>
      </c>
      <c r="C4084" t="str">
        <f>CHOOSE(MATCH(B4084, {20,25,30,35,40,45,50,55,60,65,70,75,80,85}, 1), "20-24", "25-29", "30-34", "35-39", "40-44", "45-49", "50-54", "55-59", "60-64", "65-69", "70-74", "75-79", "80-84", "85+")</f>
        <v>45-49</v>
      </c>
      <c r="D4084" t="s">
        <v>8</v>
      </c>
    </row>
    <row r="4085" spans="1:4">
      <c r="A4085" t="s">
        <v>6</v>
      </c>
      <c r="B4085">
        <v>23</v>
      </c>
      <c r="C4085" t="str">
        <f>CHOOSE(MATCH(B4085, {20,25,30,35,40,45,50,55,60,65,70,75,80,85}, 1), "20-24", "25-29", "30-34", "35-39", "40-44", "45-49", "50-54", "55-59", "60-64", "65-69", "70-74", "75-79", "80-84", "85+")</f>
        <v>20-24</v>
      </c>
      <c r="D4085" t="s">
        <v>7</v>
      </c>
    </row>
    <row r="4086" spans="1:4">
      <c r="A4086" t="s">
        <v>6</v>
      </c>
      <c r="B4086">
        <v>30</v>
      </c>
      <c r="C4086" t="str">
        <f>CHOOSE(MATCH(B4086, {20,25,30,35,40,45,50,55,60,65,70,75,80,85}, 1), "20-24", "25-29", "30-34", "35-39", "40-44", "45-49", "50-54", "55-59", "60-64", "65-69", "70-74", "75-79", "80-84", "85+")</f>
        <v>30-34</v>
      </c>
      <c r="D4086" t="s">
        <v>7</v>
      </c>
    </row>
    <row r="4087" spans="1:4">
      <c r="A4087" t="s">
        <v>6</v>
      </c>
      <c r="B4087">
        <v>55</v>
      </c>
      <c r="C4087" t="str">
        <f>CHOOSE(MATCH(B4087, {20,25,30,35,40,45,50,55,60,65,70,75,80,85}, 1), "20-24", "25-29", "30-34", "35-39", "40-44", "45-49", "50-54", "55-59", "60-64", "65-69", "70-74", "75-79", "80-84", "85+")</f>
        <v>55-59</v>
      </c>
      <c r="D4087" t="s">
        <v>7</v>
      </c>
    </row>
    <row r="4088" spans="1:4">
      <c r="A4088" t="s">
        <v>6</v>
      </c>
      <c r="B4088">
        <v>29</v>
      </c>
      <c r="C4088" t="str">
        <f>CHOOSE(MATCH(B4088, {20,25,30,35,40,45,50,55,60,65,70,75,80,85}, 1), "20-24", "25-29", "30-34", "35-39", "40-44", "45-49", "50-54", "55-59", "60-64", "65-69", "70-74", "75-79", "80-84", "85+")</f>
        <v>25-29</v>
      </c>
      <c r="D4088" t="s">
        <v>8</v>
      </c>
    </row>
    <row r="4089" spans="1:4">
      <c r="A4089" t="s">
        <v>6</v>
      </c>
      <c r="B4089">
        <v>46</v>
      </c>
      <c r="C4089" t="str">
        <f>CHOOSE(MATCH(B4089, {20,25,30,35,40,45,50,55,60,65,70,75,80,85}, 1), "20-24", "25-29", "30-34", "35-39", "40-44", "45-49", "50-54", "55-59", "60-64", "65-69", "70-74", "75-79", "80-84", "85+")</f>
        <v>45-49</v>
      </c>
      <c r="D4089" t="s">
        <v>8</v>
      </c>
    </row>
    <row r="4090" spans="1:4">
      <c r="A4090" t="s">
        <v>6</v>
      </c>
      <c r="B4090">
        <v>25</v>
      </c>
      <c r="C4090" t="str">
        <f>CHOOSE(MATCH(B4090, {20,25,30,35,40,45,50,55,60,65,70,75,80,85}, 1), "20-24", "25-29", "30-34", "35-39", "40-44", "45-49", "50-54", "55-59", "60-64", "65-69", "70-74", "75-79", "80-84", "85+")</f>
        <v>25-29</v>
      </c>
      <c r="D4090" t="s">
        <v>7</v>
      </c>
    </row>
    <row r="4091" spans="1:4">
      <c r="A4091" t="s">
        <v>6</v>
      </c>
      <c r="B4091">
        <v>36</v>
      </c>
      <c r="C4091" t="str">
        <f>CHOOSE(MATCH(B4091, {20,25,30,35,40,45,50,55,60,65,70,75,80,85}, 1), "20-24", "25-29", "30-34", "35-39", "40-44", "45-49", "50-54", "55-59", "60-64", "65-69", "70-74", "75-79", "80-84", "85+")</f>
        <v>35-39</v>
      </c>
      <c r="D4091" t="s">
        <v>7</v>
      </c>
    </row>
    <row r="4092" spans="1:4">
      <c r="A4092" t="s">
        <v>6</v>
      </c>
      <c r="B4092">
        <v>64</v>
      </c>
      <c r="C4092" t="str">
        <f>CHOOSE(MATCH(B4092, {20,25,30,35,40,45,50,55,60,65,70,75,80,85}, 1), "20-24", "25-29", "30-34", "35-39", "40-44", "45-49", "50-54", "55-59", "60-64", "65-69", "70-74", "75-79", "80-84", "85+")</f>
        <v>60-64</v>
      </c>
      <c r="D4092" t="s">
        <v>7</v>
      </c>
    </row>
    <row r="4093" spans="1:4">
      <c r="A4093" t="s">
        <v>6</v>
      </c>
      <c r="B4093">
        <v>25</v>
      </c>
      <c r="C4093" t="str">
        <f>CHOOSE(MATCH(B4093, {20,25,30,35,40,45,50,55,60,65,70,75,80,85}, 1), "20-24", "25-29", "30-34", "35-39", "40-44", "45-49", "50-54", "55-59", "60-64", "65-69", "70-74", "75-79", "80-84", "85+")</f>
        <v>25-29</v>
      </c>
      <c r="D4093" t="s">
        <v>8</v>
      </c>
    </row>
    <row r="4094" spans="1:4">
      <c r="A4094" t="s">
        <v>6</v>
      </c>
      <c r="B4094">
        <v>67</v>
      </c>
      <c r="C4094" t="str">
        <f>CHOOSE(MATCH(B4094, {20,25,30,35,40,45,50,55,60,65,70,75,80,85}, 1), "20-24", "25-29", "30-34", "35-39", "40-44", "45-49", "50-54", "55-59", "60-64", "65-69", "70-74", "75-79", "80-84", "85+")</f>
        <v>65-69</v>
      </c>
      <c r="D4094" t="s">
        <v>7</v>
      </c>
    </row>
    <row r="4095" spans="1:4">
      <c r="A4095" t="s">
        <v>6</v>
      </c>
      <c r="B4095">
        <v>33</v>
      </c>
      <c r="C4095" t="str">
        <f>CHOOSE(MATCH(B4095, {20,25,30,35,40,45,50,55,60,65,70,75,80,85}, 1), "20-24", "25-29", "30-34", "35-39", "40-44", "45-49", "50-54", "55-59", "60-64", "65-69", "70-74", "75-79", "80-84", "85+")</f>
        <v>30-34</v>
      </c>
      <c r="D4095" t="s">
        <v>7</v>
      </c>
    </row>
    <row r="4096" spans="1:4">
      <c r="A4096" t="s">
        <v>6</v>
      </c>
      <c r="B4096">
        <v>29</v>
      </c>
      <c r="C4096" t="str">
        <f>CHOOSE(MATCH(B4096, {20,25,30,35,40,45,50,55,60,65,70,75,80,85}, 1), "20-24", "25-29", "30-34", "35-39", "40-44", "45-49", "50-54", "55-59", "60-64", "65-69", "70-74", "75-79", "80-84", "85+")</f>
        <v>25-29</v>
      </c>
      <c r="D4096" t="s">
        <v>7</v>
      </c>
    </row>
    <row r="4097" spans="1:4">
      <c r="A4097" t="s">
        <v>6</v>
      </c>
      <c r="B4097">
        <v>24</v>
      </c>
      <c r="C4097" t="str">
        <f>CHOOSE(MATCH(B4097, {20,25,30,35,40,45,50,55,60,65,70,75,80,85}, 1), "20-24", "25-29", "30-34", "35-39", "40-44", "45-49", "50-54", "55-59", "60-64", "65-69", "70-74", "75-79", "80-84", "85+")</f>
        <v>20-24</v>
      </c>
      <c r="D4097" t="s">
        <v>8</v>
      </c>
    </row>
    <row r="4098" spans="1:4">
      <c r="A4098" t="s">
        <v>6</v>
      </c>
      <c r="B4098">
        <v>34</v>
      </c>
      <c r="C4098" t="str">
        <f>CHOOSE(MATCH(B4098, {20,25,30,35,40,45,50,55,60,65,70,75,80,85}, 1), "20-24", "25-29", "30-34", "35-39", "40-44", "45-49", "50-54", "55-59", "60-64", "65-69", "70-74", "75-79", "80-84", "85+")</f>
        <v>30-34</v>
      </c>
      <c r="D4098" t="s">
        <v>7</v>
      </c>
    </row>
    <row r="4099" spans="1:4">
      <c r="A4099" t="s">
        <v>6</v>
      </c>
      <c r="B4099">
        <v>39</v>
      </c>
      <c r="C4099" t="str">
        <f>CHOOSE(MATCH(B4099, {20,25,30,35,40,45,50,55,60,65,70,75,80,85}, 1), "20-24", "25-29", "30-34", "35-39", "40-44", "45-49", "50-54", "55-59", "60-64", "65-69", "70-74", "75-79", "80-84", "85+")</f>
        <v>35-39</v>
      </c>
      <c r="D4099" t="s">
        <v>7</v>
      </c>
    </row>
    <row r="4100" spans="1:4">
      <c r="A4100" t="s">
        <v>6</v>
      </c>
      <c r="B4100">
        <v>27</v>
      </c>
      <c r="C4100" t="str">
        <f>CHOOSE(MATCH(B4100, {20,25,30,35,40,45,50,55,60,65,70,75,80,85}, 1), "20-24", "25-29", "30-34", "35-39", "40-44", "45-49", "50-54", "55-59", "60-64", "65-69", "70-74", "75-79", "80-84", "85+")</f>
        <v>25-29</v>
      </c>
      <c r="D4100" t="s">
        <v>7</v>
      </c>
    </row>
    <row r="4101" spans="1:4">
      <c r="A4101" t="s">
        <v>6</v>
      </c>
      <c r="B4101">
        <v>56</v>
      </c>
      <c r="C4101" t="str">
        <f>CHOOSE(MATCH(B4101, {20,25,30,35,40,45,50,55,60,65,70,75,80,85}, 1), "20-24", "25-29", "30-34", "35-39", "40-44", "45-49", "50-54", "55-59", "60-64", "65-69", "70-74", "75-79", "80-84", "85+")</f>
        <v>55-59</v>
      </c>
      <c r="D4101" t="s">
        <v>7</v>
      </c>
    </row>
    <row r="4102" spans="1:4">
      <c r="A4102" t="s">
        <v>6</v>
      </c>
      <c r="B4102">
        <v>27</v>
      </c>
      <c r="C4102" t="str">
        <f>CHOOSE(MATCH(B4102, {20,25,30,35,40,45,50,55,60,65,70,75,80,85}, 1), "20-24", "25-29", "30-34", "35-39", "40-44", "45-49", "50-54", "55-59", "60-64", "65-69", "70-74", "75-79", "80-84", "85+")</f>
        <v>25-29</v>
      </c>
      <c r="D4102" t="s">
        <v>7</v>
      </c>
    </row>
    <row r="4103" spans="1:4">
      <c r="A4103" t="s">
        <v>6</v>
      </c>
      <c r="B4103">
        <v>32</v>
      </c>
      <c r="C4103" t="str">
        <f>CHOOSE(MATCH(B4103, {20,25,30,35,40,45,50,55,60,65,70,75,80,85}, 1), "20-24", "25-29", "30-34", "35-39", "40-44", "45-49", "50-54", "55-59", "60-64", "65-69", "70-74", "75-79", "80-84", "85+")</f>
        <v>30-34</v>
      </c>
      <c r="D4103" t="s">
        <v>7</v>
      </c>
    </row>
    <row r="4104" spans="1:4">
      <c r="A4104" t="s">
        <v>6</v>
      </c>
      <c r="B4104">
        <v>28</v>
      </c>
      <c r="C4104" t="str">
        <f>CHOOSE(MATCH(B4104, {20,25,30,35,40,45,50,55,60,65,70,75,80,85}, 1), "20-24", "25-29", "30-34", "35-39", "40-44", "45-49", "50-54", "55-59", "60-64", "65-69", "70-74", "75-79", "80-84", "85+")</f>
        <v>25-29</v>
      </c>
      <c r="D4104" t="s">
        <v>7</v>
      </c>
    </row>
    <row r="4105" spans="1:4">
      <c r="A4105" t="s">
        <v>6</v>
      </c>
      <c r="B4105">
        <v>39</v>
      </c>
      <c r="C4105" t="str">
        <f>CHOOSE(MATCH(B4105, {20,25,30,35,40,45,50,55,60,65,70,75,80,85}, 1), "20-24", "25-29", "30-34", "35-39", "40-44", "45-49", "50-54", "55-59", "60-64", "65-69", "70-74", "75-79", "80-84", "85+")</f>
        <v>35-39</v>
      </c>
      <c r="D4105" t="s">
        <v>7</v>
      </c>
    </row>
    <row r="4106" spans="1:4">
      <c r="A4106" t="s">
        <v>6</v>
      </c>
      <c r="B4106">
        <v>30</v>
      </c>
      <c r="C4106" t="str">
        <f>CHOOSE(MATCH(B4106, {20,25,30,35,40,45,50,55,60,65,70,75,80,85}, 1), "20-24", "25-29", "30-34", "35-39", "40-44", "45-49", "50-54", "55-59", "60-64", "65-69", "70-74", "75-79", "80-84", "85+")</f>
        <v>30-34</v>
      </c>
      <c r="D4106" t="s">
        <v>7</v>
      </c>
    </row>
    <row r="4107" spans="1:4">
      <c r="A4107" t="s">
        <v>6</v>
      </c>
      <c r="B4107">
        <v>72</v>
      </c>
      <c r="C4107" t="str">
        <f>CHOOSE(MATCH(B4107, {20,25,30,35,40,45,50,55,60,65,70,75,80,85}, 1), "20-24", "25-29", "30-34", "35-39", "40-44", "45-49", "50-54", "55-59", "60-64", "65-69", "70-74", "75-79", "80-84", "85+")</f>
        <v>70-74</v>
      </c>
      <c r="D4107" t="s">
        <v>8</v>
      </c>
    </row>
    <row r="4108" spans="1:4">
      <c r="A4108" t="s">
        <v>6</v>
      </c>
      <c r="B4108">
        <v>53</v>
      </c>
      <c r="C4108" t="str">
        <f>CHOOSE(MATCH(B4108, {20,25,30,35,40,45,50,55,60,65,70,75,80,85}, 1), "20-24", "25-29", "30-34", "35-39", "40-44", "45-49", "50-54", "55-59", "60-64", "65-69", "70-74", "75-79", "80-84", "85+")</f>
        <v>50-54</v>
      </c>
      <c r="D4108" t="s">
        <v>7</v>
      </c>
    </row>
    <row r="4109" spans="1:4">
      <c r="A4109" t="s">
        <v>6</v>
      </c>
      <c r="B4109">
        <v>27</v>
      </c>
      <c r="C4109" t="str">
        <f>CHOOSE(MATCH(B4109, {20,25,30,35,40,45,50,55,60,65,70,75,80,85}, 1), "20-24", "25-29", "30-34", "35-39", "40-44", "45-49", "50-54", "55-59", "60-64", "65-69", "70-74", "75-79", "80-84", "85+")</f>
        <v>25-29</v>
      </c>
      <c r="D4109" t="s">
        <v>7</v>
      </c>
    </row>
    <row r="4110" spans="1:4">
      <c r="A4110" t="s">
        <v>6</v>
      </c>
      <c r="B4110">
        <v>40</v>
      </c>
      <c r="C4110" t="str">
        <f>CHOOSE(MATCH(B4110, {20,25,30,35,40,45,50,55,60,65,70,75,80,85}, 1), "20-24", "25-29", "30-34", "35-39", "40-44", "45-49", "50-54", "55-59", "60-64", "65-69", "70-74", "75-79", "80-84", "85+")</f>
        <v>40-44</v>
      </c>
      <c r="D4110" t="s">
        <v>7</v>
      </c>
    </row>
    <row r="4111" spans="1:4">
      <c r="A4111" t="s">
        <v>6</v>
      </c>
      <c r="B4111">
        <v>32</v>
      </c>
      <c r="C4111" t="str">
        <f>CHOOSE(MATCH(B4111, {20,25,30,35,40,45,50,55,60,65,70,75,80,85}, 1), "20-24", "25-29", "30-34", "35-39", "40-44", "45-49", "50-54", "55-59", "60-64", "65-69", "70-74", "75-79", "80-84", "85+")</f>
        <v>30-34</v>
      </c>
      <c r="D4111" t="s">
        <v>7</v>
      </c>
    </row>
    <row r="4112" spans="1:4">
      <c r="A4112" t="s">
        <v>6</v>
      </c>
      <c r="B4112">
        <v>56</v>
      </c>
      <c r="C4112" t="str">
        <f>CHOOSE(MATCH(B4112, {20,25,30,35,40,45,50,55,60,65,70,75,80,85}, 1), "20-24", "25-29", "30-34", "35-39", "40-44", "45-49", "50-54", "55-59", "60-64", "65-69", "70-74", "75-79", "80-84", "85+")</f>
        <v>55-59</v>
      </c>
      <c r="D4112" t="s">
        <v>7</v>
      </c>
    </row>
    <row r="4113" spans="1:4">
      <c r="A4113" t="s">
        <v>6</v>
      </c>
      <c r="B4113">
        <v>59</v>
      </c>
      <c r="C4113" t="str">
        <f>CHOOSE(MATCH(B4113, {20,25,30,35,40,45,50,55,60,65,70,75,80,85}, 1), "20-24", "25-29", "30-34", "35-39", "40-44", "45-49", "50-54", "55-59", "60-64", "65-69", "70-74", "75-79", "80-84", "85+")</f>
        <v>55-59</v>
      </c>
      <c r="D4113" t="s">
        <v>7</v>
      </c>
    </row>
    <row r="4114" spans="1:4">
      <c r="A4114" t="s">
        <v>6</v>
      </c>
      <c r="B4114">
        <v>41</v>
      </c>
      <c r="C4114" t="str">
        <f>CHOOSE(MATCH(B4114, {20,25,30,35,40,45,50,55,60,65,70,75,80,85}, 1), "20-24", "25-29", "30-34", "35-39", "40-44", "45-49", "50-54", "55-59", "60-64", "65-69", "70-74", "75-79", "80-84", "85+")</f>
        <v>40-44</v>
      </c>
      <c r="D4114" t="s">
        <v>8</v>
      </c>
    </row>
    <row r="4115" spans="1:4">
      <c r="A4115" t="s">
        <v>6</v>
      </c>
      <c r="B4115">
        <v>26</v>
      </c>
      <c r="C4115" t="str">
        <f>CHOOSE(MATCH(B4115, {20,25,30,35,40,45,50,55,60,65,70,75,80,85}, 1), "20-24", "25-29", "30-34", "35-39", "40-44", "45-49", "50-54", "55-59", "60-64", "65-69", "70-74", "75-79", "80-84", "85+")</f>
        <v>25-29</v>
      </c>
      <c r="D4115" t="s">
        <v>7</v>
      </c>
    </row>
    <row r="4116" spans="1:4">
      <c r="A4116" t="s">
        <v>6</v>
      </c>
      <c r="B4116">
        <v>35</v>
      </c>
      <c r="C4116" t="str">
        <f>CHOOSE(MATCH(B4116, {20,25,30,35,40,45,50,55,60,65,70,75,80,85}, 1), "20-24", "25-29", "30-34", "35-39", "40-44", "45-49", "50-54", "55-59", "60-64", "65-69", "70-74", "75-79", "80-84", "85+")</f>
        <v>35-39</v>
      </c>
      <c r="D4116" t="s">
        <v>7</v>
      </c>
    </row>
    <row r="4117" spans="1:4">
      <c r="A4117" t="s">
        <v>6</v>
      </c>
      <c r="B4117">
        <v>58</v>
      </c>
      <c r="C4117" t="str">
        <f>CHOOSE(MATCH(B4117, {20,25,30,35,40,45,50,55,60,65,70,75,80,85}, 1), "20-24", "25-29", "30-34", "35-39", "40-44", "45-49", "50-54", "55-59", "60-64", "65-69", "70-74", "75-79", "80-84", "85+")</f>
        <v>55-59</v>
      </c>
      <c r="D4117" t="s">
        <v>8</v>
      </c>
    </row>
    <row r="4118" spans="1:4">
      <c r="A4118" t="s">
        <v>6</v>
      </c>
      <c r="B4118">
        <v>41</v>
      </c>
      <c r="C4118" t="str">
        <f>CHOOSE(MATCH(B4118, {20,25,30,35,40,45,50,55,60,65,70,75,80,85}, 1), "20-24", "25-29", "30-34", "35-39", "40-44", "45-49", "50-54", "55-59", "60-64", "65-69", "70-74", "75-79", "80-84", "85+")</f>
        <v>40-44</v>
      </c>
      <c r="D4118" t="s">
        <v>7</v>
      </c>
    </row>
    <row r="4119" spans="1:4">
      <c r="A4119" t="s">
        <v>6</v>
      </c>
      <c r="B4119">
        <v>71</v>
      </c>
      <c r="C4119" t="str">
        <f>CHOOSE(MATCH(B4119, {20,25,30,35,40,45,50,55,60,65,70,75,80,85}, 1), "20-24", "25-29", "30-34", "35-39", "40-44", "45-49", "50-54", "55-59", "60-64", "65-69", "70-74", "75-79", "80-84", "85+")</f>
        <v>70-74</v>
      </c>
      <c r="D4119" t="s">
        <v>7</v>
      </c>
    </row>
    <row r="4120" spans="1:4">
      <c r="A4120" t="s">
        <v>6</v>
      </c>
      <c r="B4120">
        <v>65</v>
      </c>
      <c r="C4120" t="str">
        <f>CHOOSE(MATCH(B4120, {20,25,30,35,40,45,50,55,60,65,70,75,80,85}, 1), "20-24", "25-29", "30-34", "35-39", "40-44", "45-49", "50-54", "55-59", "60-64", "65-69", "70-74", "75-79", "80-84", "85+")</f>
        <v>65-69</v>
      </c>
      <c r="D4120" t="s">
        <v>7</v>
      </c>
    </row>
    <row r="4121" spans="1:4">
      <c r="A4121" t="s">
        <v>6</v>
      </c>
      <c r="B4121">
        <v>51</v>
      </c>
      <c r="C4121" t="str">
        <f>CHOOSE(MATCH(B4121, {20,25,30,35,40,45,50,55,60,65,70,75,80,85}, 1), "20-24", "25-29", "30-34", "35-39", "40-44", "45-49", "50-54", "55-59", "60-64", "65-69", "70-74", "75-79", "80-84", "85+")</f>
        <v>50-54</v>
      </c>
      <c r="D4121" t="s">
        <v>7</v>
      </c>
    </row>
    <row r="4122" spans="1:4">
      <c r="A4122" t="s">
        <v>6</v>
      </c>
      <c r="B4122">
        <v>28</v>
      </c>
      <c r="C4122" t="str">
        <f>CHOOSE(MATCH(B4122, {20,25,30,35,40,45,50,55,60,65,70,75,80,85}, 1), "20-24", "25-29", "30-34", "35-39", "40-44", "45-49", "50-54", "55-59", "60-64", "65-69", "70-74", "75-79", "80-84", "85+")</f>
        <v>25-29</v>
      </c>
      <c r="D4122" t="s">
        <v>7</v>
      </c>
    </row>
    <row r="4123" spans="1:4">
      <c r="A4123" t="s">
        <v>6</v>
      </c>
      <c r="B4123">
        <v>29</v>
      </c>
      <c r="C4123" t="str">
        <f>CHOOSE(MATCH(B4123, {20,25,30,35,40,45,50,55,60,65,70,75,80,85}, 1), "20-24", "25-29", "30-34", "35-39", "40-44", "45-49", "50-54", "55-59", "60-64", "65-69", "70-74", "75-79", "80-84", "85+")</f>
        <v>25-29</v>
      </c>
      <c r="D4123" t="s">
        <v>7</v>
      </c>
    </row>
    <row r="4124" spans="1:4">
      <c r="A4124" t="s">
        <v>6</v>
      </c>
      <c r="B4124">
        <v>22</v>
      </c>
      <c r="C4124" t="str">
        <f>CHOOSE(MATCH(B4124, {20,25,30,35,40,45,50,55,60,65,70,75,80,85}, 1), "20-24", "25-29", "30-34", "35-39", "40-44", "45-49", "50-54", "55-59", "60-64", "65-69", "70-74", "75-79", "80-84", "85+")</f>
        <v>20-24</v>
      </c>
      <c r="D4124" t="s">
        <v>7</v>
      </c>
    </row>
    <row r="4125" spans="1:4">
      <c r="A4125" t="s">
        <v>6</v>
      </c>
      <c r="B4125">
        <v>29</v>
      </c>
      <c r="C4125" t="str">
        <f>CHOOSE(MATCH(B4125, {20,25,30,35,40,45,50,55,60,65,70,75,80,85}, 1), "20-24", "25-29", "30-34", "35-39", "40-44", "45-49", "50-54", "55-59", "60-64", "65-69", "70-74", "75-79", "80-84", "85+")</f>
        <v>25-29</v>
      </c>
      <c r="D4125" t="s">
        <v>7</v>
      </c>
    </row>
    <row r="4126" spans="1:4">
      <c r="A4126" t="s">
        <v>6</v>
      </c>
      <c r="B4126">
        <v>31</v>
      </c>
      <c r="C4126" t="str">
        <f>CHOOSE(MATCH(B4126, {20,25,30,35,40,45,50,55,60,65,70,75,80,85}, 1), "20-24", "25-29", "30-34", "35-39", "40-44", "45-49", "50-54", "55-59", "60-64", "65-69", "70-74", "75-79", "80-84", "85+")</f>
        <v>30-34</v>
      </c>
      <c r="D4126" t="s">
        <v>7</v>
      </c>
    </row>
    <row r="4127" spans="1:4">
      <c r="A4127" t="s">
        <v>6</v>
      </c>
      <c r="B4127">
        <v>52</v>
      </c>
      <c r="C4127" t="str">
        <f>CHOOSE(MATCH(B4127, {20,25,30,35,40,45,50,55,60,65,70,75,80,85}, 1), "20-24", "25-29", "30-34", "35-39", "40-44", "45-49", "50-54", "55-59", "60-64", "65-69", "70-74", "75-79", "80-84", "85+")</f>
        <v>50-54</v>
      </c>
      <c r="D4127" t="s">
        <v>8</v>
      </c>
    </row>
    <row r="4128" spans="1:4">
      <c r="A4128" t="s">
        <v>6</v>
      </c>
      <c r="B4128">
        <v>27</v>
      </c>
      <c r="C4128" t="str">
        <f>CHOOSE(MATCH(B4128, {20,25,30,35,40,45,50,55,60,65,70,75,80,85}, 1), "20-24", "25-29", "30-34", "35-39", "40-44", "45-49", "50-54", "55-59", "60-64", "65-69", "70-74", "75-79", "80-84", "85+")</f>
        <v>25-29</v>
      </c>
      <c r="D4128" t="s">
        <v>7</v>
      </c>
    </row>
    <row r="4129" spans="1:4">
      <c r="A4129" t="s">
        <v>6</v>
      </c>
      <c r="B4129">
        <v>23</v>
      </c>
      <c r="C4129" t="str">
        <f>CHOOSE(MATCH(B4129, {20,25,30,35,40,45,50,55,60,65,70,75,80,85}, 1), "20-24", "25-29", "30-34", "35-39", "40-44", "45-49", "50-54", "55-59", "60-64", "65-69", "70-74", "75-79", "80-84", "85+")</f>
        <v>20-24</v>
      </c>
      <c r="D4129" t="s">
        <v>7</v>
      </c>
    </row>
    <row r="4130" spans="1:4">
      <c r="A4130" t="s">
        <v>6</v>
      </c>
      <c r="B4130">
        <v>40</v>
      </c>
      <c r="C4130" t="str">
        <f>CHOOSE(MATCH(B4130, {20,25,30,35,40,45,50,55,60,65,70,75,80,85}, 1), "20-24", "25-29", "30-34", "35-39", "40-44", "45-49", "50-54", "55-59", "60-64", "65-69", "70-74", "75-79", "80-84", "85+")</f>
        <v>40-44</v>
      </c>
      <c r="D4130" t="s">
        <v>7</v>
      </c>
    </row>
    <row r="4131" spans="1:4">
      <c r="A4131" t="s">
        <v>6</v>
      </c>
      <c r="B4131">
        <v>62</v>
      </c>
      <c r="C4131" t="str">
        <f>CHOOSE(MATCH(B4131, {20,25,30,35,40,45,50,55,60,65,70,75,80,85}, 1), "20-24", "25-29", "30-34", "35-39", "40-44", "45-49", "50-54", "55-59", "60-64", "65-69", "70-74", "75-79", "80-84", "85+")</f>
        <v>60-64</v>
      </c>
      <c r="D4131" t="s">
        <v>8</v>
      </c>
    </row>
    <row r="4132" spans="1:4">
      <c r="A4132" t="s">
        <v>6</v>
      </c>
      <c r="B4132">
        <v>48</v>
      </c>
      <c r="C4132" t="str">
        <f>CHOOSE(MATCH(B4132, {20,25,30,35,40,45,50,55,60,65,70,75,80,85}, 1), "20-24", "25-29", "30-34", "35-39", "40-44", "45-49", "50-54", "55-59", "60-64", "65-69", "70-74", "75-79", "80-84", "85+")</f>
        <v>45-49</v>
      </c>
      <c r="D4132" t="s">
        <v>7</v>
      </c>
    </row>
    <row r="4133" spans="1:4">
      <c r="A4133" t="s">
        <v>6</v>
      </c>
      <c r="B4133">
        <v>35</v>
      </c>
      <c r="C4133" t="str">
        <f>CHOOSE(MATCH(B4133, {20,25,30,35,40,45,50,55,60,65,70,75,80,85}, 1), "20-24", "25-29", "30-34", "35-39", "40-44", "45-49", "50-54", "55-59", "60-64", "65-69", "70-74", "75-79", "80-84", "85+")</f>
        <v>35-39</v>
      </c>
      <c r="D4133" t="s">
        <v>8</v>
      </c>
    </row>
    <row r="4134" spans="1:4">
      <c r="A4134" t="s">
        <v>6</v>
      </c>
      <c r="B4134">
        <v>52</v>
      </c>
      <c r="C4134" t="str">
        <f>CHOOSE(MATCH(B4134, {20,25,30,35,40,45,50,55,60,65,70,75,80,85}, 1), "20-24", "25-29", "30-34", "35-39", "40-44", "45-49", "50-54", "55-59", "60-64", "65-69", "70-74", "75-79", "80-84", "85+")</f>
        <v>50-54</v>
      </c>
      <c r="D4134" t="s">
        <v>7</v>
      </c>
    </row>
    <row r="4135" spans="1:4">
      <c r="A4135" t="s">
        <v>6</v>
      </c>
      <c r="B4135">
        <v>37</v>
      </c>
      <c r="C4135" t="str">
        <f>CHOOSE(MATCH(B4135, {20,25,30,35,40,45,50,55,60,65,70,75,80,85}, 1), "20-24", "25-29", "30-34", "35-39", "40-44", "45-49", "50-54", "55-59", "60-64", "65-69", "70-74", "75-79", "80-84", "85+")</f>
        <v>35-39</v>
      </c>
      <c r="D4135" t="s">
        <v>7</v>
      </c>
    </row>
    <row r="4136" spans="1:4">
      <c r="A4136" t="s">
        <v>6</v>
      </c>
      <c r="B4136">
        <v>38</v>
      </c>
      <c r="C4136" t="str">
        <f>CHOOSE(MATCH(B4136, {20,25,30,35,40,45,50,55,60,65,70,75,80,85}, 1), "20-24", "25-29", "30-34", "35-39", "40-44", "45-49", "50-54", "55-59", "60-64", "65-69", "70-74", "75-79", "80-84", "85+")</f>
        <v>35-39</v>
      </c>
      <c r="D4136" t="s">
        <v>8</v>
      </c>
    </row>
    <row r="4137" spans="1:4">
      <c r="A4137" t="s">
        <v>6</v>
      </c>
      <c r="B4137">
        <v>85</v>
      </c>
      <c r="C4137" t="str">
        <f>CHOOSE(MATCH(B4137, {20,25,30,35,40,45,50,55,60,65,70,75,80,85}, 1), "20-24", "25-29", "30-34", "35-39", "40-44", "45-49", "50-54", "55-59", "60-64", "65-69", "70-74", "75-79", "80-84", "85+")</f>
        <v>85+</v>
      </c>
      <c r="D4137" t="s">
        <v>8</v>
      </c>
    </row>
    <row r="4138" spans="1:4">
      <c r="A4138" t="s">
        <v>6</v>
      </c>
      <c r="B4138">
        <v>50</v>
      </c>
      <c r="C4138" t="str">
        <f>CHOOSE(MATCH(B4138, {20,25,30,35,40,45,50,55,60,65,70,75,80,85}, 1), "20-24", "25-29", "30-34", "35-39", "40-44", "45-49", "50-54", "55-59", "60-64", "65-69", "70-74", "75-79", "80-84", "85+")</f>
        <v>50-54</v>
      </c>
      <c r="D4138" t="s">
        <v>8</v>
      </c>
    </row>
    <row r="4139" spans="1:4">
      <c r="A4139" t="s">
        <v>6</v>
      </c>
      <c r="B4139">
        <v>34</v>
      </c>
      <c r="C4139" t="str">
        <f>CHOOSE(MATCH(B4139, {20,25,30,35,40,45,50,55,60,65,70,75,80,85}, 1), "20-24", "25-29", "30-34", "35-39", "40-44", "45-49", "50-54", "55-59", "60-64", "65-69", "70-74", "75-79", "80-84", "85+")</f>
        <v>30-34</v>
      </c>
      <c r="D4139" t="s">
        <v>7</v>
      </c>
    </row>
    <row r="4140" spans="1:4">
      <c r="A4140" t="s">
        <v>6</v>
      </c>
      <c r="B4140">
        <v>29</v>
      </c>
      <c r="C4140" t="str">
        <f>CHOOSE(MATCH(B4140, {20,25,30,35,40,45,50,55,60,65,70,75,80,85}, 1), "20-24", "25-29", "30-34", "35-39", "40-44", "45-49", "50-54", "55-59", "60-64", "65-69", "70-74", "75-79", "80-84", "85+")</f>
        <v>25-29</v>
      </c>
      <c r="D4140" t="s">
        <v>8</v>
      </c>
    </row>
    <row r="4141" spans="1:4">
      <c r="A4141" t="s">
        <v>6</v>
      </c>
      <c r="B4141">
        <v>23</v>
      </c>
      <c r="C4141" t="str">
        <f>CHOOSE(MATCH(B4141, {20,25,30,35,40,45,50,55,60,65,70,75,80,85}, 1), "20-24", "25-29", "30-34", "35-39", "40-44", "45-49", "50-54", "55-59", "60-64", "65-69", "70-74", "75-79", "80-84", "85+")</f>
        <v>20-24</v>
      </c>
      <c r="D4141" t="s">
        <v>7</v>
      </c>
    </row>
    <row r="4142" spans="1:4">
      <c r="A4142" t="s">
        <v>6</v>
      </c>
      <c r="B4142">
        <v>27</v>
      </c>
      <c r="C4142" t="str">
        <f>CHOOSE(MATCH(B4142, {20,25,30,35,40,45,50,55,60,65,70,75,80,85}, 1), "20-24", "25-29", "30-34", "35-39", "40-44", "45-49", "50-54", "55-59", "60-64", "65-69", "70-74", "75-79", "80-84", "85+")</f>
        <v>25-29</v>
      </c>
      <c r="D4142" t="s">
        <v>7</v>
      </c>
    </row>
    <row r="4143" spans="1:4">
      <c r="A4143" t="s">
        <v>6</v>
      </c>
      <c r="B4143">
        <v>38</v>
      </c>
      <c r="C4143" t="str">
        <f>CHOOSE(MATCH(B4143, {20,25,30,35,40,45,50,55,60,65,70,75,80,85}, 1), "20-24", "25-29", "30-34", "35-39", "40-44", "45-49", "50-54", "55-59", "60-64", "65-69", "70-74", "75-79", "80-84", "85+")</f>
        <v>35-39</v>
      </c>
      <c r="D4143" t="s">
        <v>8</v>
      </c>
    </row>
    <row r="4144" spans="1:4">
      <c r="A4144" t="s">
        <v>6</v>
      </c>
      <c r="B4144">
        <v>66</v>
      </c>
      <c r="C4144" t="str">
        <f>CHOOSE(MATCH(B4144, {20,25,30,35,40,45,50,55,60,65,70,75,80,85}, 1), "20-24", "25-29", "30-34", "35-39", "40-44", "45-49", "50-54", "55-59", "60-64", "65-69", "70-74", "75-79", "80-84", "85+")</f>
        <v>65-69</v>
      </c>
      <c r="D4144" t="s">
        <v>8</v>
      </c>
    </row>
    <row r="4145" spans="1:4">
      <c r="A4145" t="s">
        <v>6</v>
      </c>
      <c r="B4145">
        <v>55</v>
      </c>
      <c r="C4145" t="str">
        <f>CHOOSE(MATCH(B4145, {20,25,30,35,40,45,50,55,60,65,70,75,80,85}, 1), "20-24", "25-29", "30-34", "35-39", "40-44", "45-49", "50-54", "55-59", "60-64", "65-69", "70-74", "75-79", "80-84", "85+")</f>
        <v>55-59</v>
      </c>
      <c r="D4145" t="s">
        <v>8</v>
      </c>
    </row>
    <row r="4146" spans="1:4">
      <c r="A4146" t="s">
        <v>6</v>
      </c>
      <c r="B4146">
        <v>55</v>
      </c>
      <c r="C4146" t="str">
        <f>CHOOSE(MATCH(B4146, {20,25,30,35,40,45,50,55,60,65,70,75,80,85}, 1), "20-24", "25-29", "30-34", "35-39", "40-44", "45-49", "50-54", "55-59", "60-64", "65-69", "70-74", "75-79", "80-84", "85+")</f>
        <v>55-59</v>
      </c>
      <c r="D4146" t="s">
        <v>7</v>
      </c>
    </row>
    <row r="4147" spans="1:4">
      <c r="A4147" t="s">
        <v>6</v>
      </c>
      <c r="B4147">
        <v>86</v>
      </c>
      <c r="C4147" t="str">
        <f>CHOOSE(MATCH(B4147, {20,25,30,35,40,45,50,55,60,65,70,75,80,85}, 1), "20-24", "25-29", "30-34", "35-39", "40-44", "45-49", "50-54", "55-59", "60-64", "65-69", "70-74", "75-79", "80-84", "85+")</f>
        <v>85+</v>
      </c>
      <c r="D4147" t="s">
        <v>7</v>
      </c>
    </row>
    <row r="4148" spans="1:4">
      <c r="A4148" t="s">
        <v>6</v>
      </c>
      <c r="B4148">
        <v>29</v>
      </c>
      <c r="C4148" t="str">
        <f>CHOOSE(MATCH(B4148, {20,25,30,35,40,45,50,55,60,65,70,75,80,85}, 1), "20-24", "25-29", "30-34", "35-39", "40-44", "45-49", "50-54", "55-59", "60-64", "65-69", "70-74", "75-79", "80-84", "85+")</f>
        <v>25-29</v>
      </c>
      <c r="D4148" t="s">
        <v>7</v>
      </c>
    </row>
    <row r="4149" spans="1:4">
      <c r="A4149" t="s">
        <v>6</v>
      </c>
      <c r="B4149">
        <v>33</v>
      </c>
      <c r="C4149" t="str">
        <f>CHOOSE(MATCH(B4149, {20,25,30,35,40,45,50,55,60,65,70,75,80,85}, 1), "20-24", "25-29", "30-34", "35-39", "40-44", "45-49", "50-54", "55-59", "60-64", "65-69", "70-74", "75-79", "80-84", "85+")</f>
        <v>30-34</v>
      </c>
      <c r="D4149" t="s">
        <v>8</v>
      </c>
    </row>
    <row r="4150" spans="1:4">
      <c r="A4150" t="s">
        <v>6</v>
      </c>
      <c r="B4150">
        <v>29</v>
      </c>
      <c r="C4150" t="str">
        <f>CHOOSE(MATCH(B4150, {20,25,30,35,40,45,50,55,60,65,70,75,80,85}, 1), "20-24", "25-29", "30-34", "35-39", "40-44", "45-49", "50-54", "55-59", "60-64", "65-69", "70-74", "75-79", "80-84", "85+")</f>
        <v>25-29</v>
      </c>
      <c r="D4150" t="s">
        <v>7</v>
      </c>
    </row>
    <row r="4151" spans="1:4">
      <c r="A4151" t="s">
        <v>6</v>
      </c>
      <c r="B4151">
        <v>53</v>
      </c>
      <c r="C4151" t="str">
        <f>CHOOSE(MATCH(B4151, {20,25,30,35,40,45,50,55,60,65,70,75,80,85}, 1), "20-24", "25-29", "30-34", "35-39", "40-44", "45-49", "50-54", "55-59", "60-64", "65-69", "70-74", "75-79", "80-84", "85+")</f>
        <v>50-54</v>
      </c>
      <c r="D4151" t="s">
        <v>8</v>
      </c>
    </row>
    <row r="4152" spans="1:4">
      <c r="A4152" t="s">
        <v>6</v>
      </c>
      <c r="B4152">
        <v>60</v>
      </c>
      <c r="C4152" t="str">
        <f>CHOOSE(MATCH(B4152, {20,25,30,35,40,45,50,55,60,65,70,75,80,85}, 1), "20-24", "25-29", "30-34", "35-39", "40-44", "45-49", "50-54", "55-59", "60-64", "65-69", "70-74", "75-79", "80-84", "85+")</f>
        <v>60-64</v>
      </c>
      <c r="D4152" t="s">
        <v>7</v>
      </c>
    </row>
    <row r="4153" spans="1:4">
      <c r="A4153" t="s">
        <v>6</v>
      </c>
      <c r="B4153">
        <v>21</v>
      </c>
      <c r="C4153" t="str">
        <f>CHOOSE(MATCH(B4153, {20,25,30,35,40,45,50,55,60,65,70,75,80,85}, 1), "20-24", "25-29", "30-34", "35-39", "40-44", "45-49", "50-54", "55-59", "60-64", "65-69", "70-74", "75-79", "80-84", "85+")</f>
        <v>20-24</v>
      </c>
      <c r="D4153" t="s">
        <v>7</v>
      </c>
    </row>
    <row r="4154" spans="1:4">
      <c r="A4154" t="s">
        <v>6</v>
      </c>
      <c r="B4154">
        <v>57</v>
      </c>
      <c r="C4154" t="str">
        <f>CHOOSE(MATCH(B4154, {20,25,30,35,40,45,50,55,60,65,70,75,80,85}, 1), "20-24", "25-29", "30-34", "35-39", "40-44", "45-49", "50-54", "55-59", "60-64", "65-69", "70-74", "75-79", "80-84", "85+")</f>
        <v>55-59</v>
      </c>
      <c r="D4154" t="s">
        <v>8</v>
      </c>
    </row>
    <row r="4155" spans="1:4">
      <c r="A4155" t="s">
        <v>6</v>
      </c>
      <c r="B4155">
        <v>31</v>
      </c>
      <c r="C4155" t="str">
        <f>CHOOSE(MATCH(B4155, {20,25,30,35,40,45,50,55,60,65,70,75,80,85}, 1), "20-24", "25-29", "30-34", "35-39", "40-44", "45-49", "50-54", "55-59", "60-64", "65-69", "70-74", "75-79", "80-84", "85+")</f>
        <v>30-34</v>
      </c>
      <c r="D4155" t="s">
        <v>7</v>
      </c>
    </row>
    <row r="4156" spans="1:4">
      <c r="A4156" t="s">
        <v>6</v>
      </c>
      <c r="B4156">
        <v>41</v>
      </c>
      <c r="C4156" t="str">
        <f>CHOOSE(MATCH(B4156, {20,25,30,35,40,45,50,55,60,65,70,75,80,85}, 1), "20-24", "25-29", "30-34", "35-39", "40-44", "45-49", "50-54", "55-59", "60-64", "65-69", "70-74", "75-79", "80-84", "85+")</f>
        <v>40-44</v>
      </c>
      <c r="D4156" t="s">
        <v>7</v>
      </c>
    </row>
    <row r="4157" spans="1:4">
      <c r="A4157" t="s">
        <v>6</v>
      </c>
      <c r="B4157">
        <v>83</v>
      </c>
      <c r="C4157" t="str">
        <f>CHOOSE(MATCH(B4157, {20,25,30,35,40,45,50,55,60,65,70,75,80,85}, 1), "20-24", "25-29", "30-34", "35-39", "40-44", "45-49", "50-54", "55-59", "60-64", "65-69", "70-74", "75-79", "80-84", "85+")</f>
        <v>80-84</v>
      </c>
      <c r="D4157" t="s">
        <v>7</v>
      </c>
    </row>
    <row r="4158" spans="1:4">
      <c r="A4158" t="s">
        <v>6</v>
      </c>
      <c r="B4158">
        <v>54</v>
      </c>
      <c r="C4158" t="str">
        <f>CHOOSE(MATCH(B4158, {20,25,30,35,40,45,50,55,60,65,70,75,80,85}, 1), "20-24", "25-29", "30-34", "35-39", "40-44", "45-49", "50-54", "55-59", "60-64", "65-69", "70-74", "75-79", "80-84", "85+")</f>
        <v>50-54</v>
      </c>
      <c r="D4158" t="s">
        <v>7</v>
      </c>
    </row>
    <row r="4159" spans="1:4">
      <c r="A4159" t="s">
        <v>6</v>
      </c>
      <c r="B4159">
        <v>29</v>
      </c>
      <c r="C4159" t="str">
        <f>CHOOSE(MATCH(B4159, {20,25,30,35,40,45,50,55,60,65,70,75,80,85}, 1), "20-24", "25-29", "30-34", "35-39", "40-44", "45-49", "50-54", "55-59", "60-64", "65-69", "70-74", "75-79", "80-84", "85+")</f>
        <v>25-29</v>
      </c>
      <c r="D4159" t="s">
        <v>7</v>
      </c>
    </row>
    <row r="4160" spans="1:4">
      <c r="A4160" t="s">
        <v>6</v>
      </c>
      <c r="B4160">
        <v>74</v>
      </c>
      <c r="C4160" t="str">
        <f>CHOOSE(MATCH(B4160, {20,25,30,35,40,45,50,55,60,65,70,75,80,85}, 1), "20-24", "25-29", "30-34", "35-39", "40-44", "45-49", "50-54", "55-59", "60-64", "65-69", "70-74", "75-79", "80-84", "85+")</f>
        <v>70-74</v>
      </c>
      <c r="D4160" t="s">
        <v>8</v>
      </c>
    </row>
    <row r="4161" spans="1:4">
      <c r="A4161" t="s">
        <v>6</v>
      </c>
      <c r="B4161">
        <v>28</v>
      </c>
      <c r="C4161" t="str">
        <f>CHOOSE(MATCH(B4161, {20,25,30,35,40,45,50,55,60,65,70,75,80,85}, 1), "20-24", "25-29", "30-34", "35-39", "40-44", "45-49", "50-54", "55-59", "60-64", "65-69", "70-74", "75-79", "80-84", "85+")</f>
        <v>25-29</v>
      </c>
      <c r="D4161" t="s">
        <v>7</v>
      </c>
    </row>
    <row r="4162" spans="1:4">
      <c r="A4162" t="s">
        <v>6</v>
      </c>
      <c r="B4162">
        <v>28</v>
      </c>
      <c r="C4162" t="str">
        <f>CHOOSE(MATCH(B4162, {20,25,30,35,40,45,50,55,60,65,70,75,80,85}, 1), "20-24", "25-29", "30-34", "35-39", "40-44", "45-49", "50-54", "55-59", "60-64", "65-69", "70-74", "75-79", "80-84", "85+")</f>
        <v>25-29</v>
      </c>
      <c r="D4162" t="s">
        <v>8</v>
      </c>
    </row>
    <row r="4163" spans="1:4">
      <c r="A4163" t="s">
        <v>6</v>
      </c>
      <c r="B4163">
        <v>77</v>
      </c>
      <c r="C4163" t="str">
        <f>CHOOSE(MATCH(B4163, {20,25,30,35,40,45,50,55,60,65,70,75,80,85}, 1), "20-24", "25-29", "30-34", "35-39", "40-44", "45-49", "50-54", "55-59", "60-64", "65-69", "70-74", "75-79", "80-84", "85+")</f>
        <v>75-79</v>
      </c>
      <c r="D4163" t="s">
        <v>8</v>
      </c>
    </row>
    <row r="4164" spans="1:4">
      <c r="A4164" t="s">
        <v>6</v>
      </c>
      <c r="B4164">
        <v>32</v>
      </c>
      <c r="C4164" t="str">
        <f>CHOOSE(MATCH(B4164, {20,25,30,35,40,45,50,55,60,65,70,75,80,85}, 1), "20-24", "25-29", "30-34", "35-39", "40-44", "45-49", "50-54", "55-59", "60-64", "65-69", "70-74", "75-79", "80-84", "85+")</f>
        <v>30-34</v>
      </c>
      <c r="D4164" t="s">
        <v>7</v>
      </c>
    </row>
    <row r="4165" spans="1:4">
      <c r="A4165" t="s">
        <v>6</v>
      </c>
      <c r="B4165">
        <v>55</v>
      </c>
      <c r="C4165" t="str">
        <f>CHOOSE(MATCH(B4165, {20,25,30,35,40,45,50,55,60,65,70,75,80,85}, 1), "20-24", "25-29", "30-34", "35-39", "40-44", "45-49", "50-54", "55-59", "60-64", "65-69", "70-74", "75-79", "80-84", "85+")</f>
        <v>55-59</v>
      </c>
      <c r="D4165" t="s">
        <v>8</v>
      </c>
    </row>
    <row r="4166" spans="1:4">
      <c r="A4166" t="s">
        <v>6</v>
      </c>
      <c r="B4166">
        <v>39</v>
      </c>
      <c r="C4166" t="str">
        <f>CHOOSE(MATCH(B4166, {20,25,30,35,40,45,50,55,60,65,70,75,80,85}, 1), "20-24", "25-29", "30-34", "35-39", "40-44", "45-49", "50-54", "55-59", "60-64", "65-69", "70-74", "75-79", "80-84", "85+")</f>
        <v>35-39</v>
      </c>
      <c r="D4166" t="s">
        <v>7</v>
      </c>
    </row>
    <row r="4167" spans="1:4">
      <c r="A4167" t="s">
        <v>6</v>
      </c>
      <c r="B4167">
        <v>28</v>
      </c>
      <c r="C4167" t="str">
        <f>CHOOSE(MATCH(B4167, {20,25,30,35,40,45,50,55,60,65,70,75,80,85}, 1), "20-24", "25-29", "30-34", "35-39", "40-44", "45-49", "50-54", "55-59", "60-64", "65-69", "70-74", "75-79", "80-84", "85+")</f>
        <v>25-29</v>
      </c>
      <c r="D4167" t="s">
        <v>7</v>
      </c>
    </row>
    <row r="4168" spans="1:4">
      <c r="A4168" t="s">
        <v>6</v>
      </c>
      <c r="B4168">
        <v>30</v>
      </c>
      <c r="C4168" t="str">
        <f>CHOOSE(MATCH(B4168, {20,25,30,35,40,45,50,55,60,65,70,75,80,85}, 1), "20-24", "25-29", "30-34", "35-39", "40-44", "45-49", "50-54", "55-59", "60-64", "65-69", "70-74", "75-79", "80-84", "85+")</f>
        <v>30-34</v>
      </c>
      <c r="D4168" t="s">
        <v>8</v>
      </c>
    </row>
    <row r="4169" spans="1:4">
      <c r="A4169" t="s">
        <v>6</v>
      </c>
      <c r="B4169">
        <v>36</v>
      </c>
      <c r="C4169" t="str">
        <f>CHOOSE(MATCH(B4169, {20,25,30,35,40,45,50,55,60,65,70,75,80,85}, 1), "20-24", "25-29", "30-34", "35-39", "40-44", "45-49", "50-54", "55-59", "60-64", "65-69", "70-74", "75-79", "80-84", "85+")</f>
        <v>35-39</v>
      </c>
      <c r="D4169" t="s">
        <v>7</v>
      </c>
    </row>
    <row r="4170" spans="1:4">
      <c r="A4170" t="s">
        <v>6</v>
      </c>
      <c r="B4170">
        <v>51</v>
      </c>
      <c r="C4170" t="str">
        <f>CHOOSE(MATCH(B4170, {20,25,30,35,40,45,50,55,60,65,70,75,80,85}, 1), "20-24", "25-29", "30-34", "35-39", "40-44", "45-49", "50-54", "55-59", "60-64", "65-69", "70-74", "75-79", "80-84", "85+")</f>
        <v>50-54</v>
      </c>
      <c r="D4170" t="s">
        <v>8</v>
      </c>
    </row>
    <row r="4171" spans="1:4">
      <c r="A4171" t="s">
        <v>6</v>
      </c>
      <c r="B4171">
        <v>21</v>
      </c>
      <c r="C4171" t="str">
        <f>CHOOSE(MATCH(B4171, {20,25,30,35,40,45,50,55,60,65,70,75,80,85}, 1), "20-24", "25-29", "30-34", "35-39", "40-44", "45-49", "50-54", "55-59", "60-64", "65-69", "70-74", "75-79", "80-84", "85+")</f>
        <v>20-24</v>
      </c>
      <c r="D4171" t="s">
        <v>8</v>
      </c>
    </row>
    <row r="4172" spans="1:4">
      <c r="A4172" t="s">
        <v>6</v>
      </c>
      <c r="B4172">
        <v>40</v>
      </c>
      <c r="C4172" t="str">
        <f>CHOOSE(MATCH(B4172, {20,25,30,35,40,45,50,55,60,65,70,75,80,85}, 1), "20-24", "25-29", "30-34", "35-39", "40-44", "45-49", "50-54", "55-59", "60-64", "65-69", "70-74", "75-79", "80-84", "85+")</f>
        <v>40-44</v>
      </c>
      <c r="D4172" t="s">
        <v>7</v>
      </c>
    </row>
    <row r="4173" spans="1:4">
      <c r="A4173" t="s">
        <v>6</v>
      </c>
      <c r="B4173">
        <v>31</v>
      </c>
      <c r="C4173" t="str">
        <f>CHOOSE(MATCH(B4173, {20,25,30,35,40,45,50,55,60,65,70,75,80,85}, 1), "20-24", "25-29", "30-34", "35-39", "40-44", "45-49", "50-54", "55-59", "60-64", "65-69", "70-74", "75-79", "80-84", "85+")</f>
        <v>30-34</v>
      </c>
      <c r="D4173" t="s">
        <v>7</v>
      </c>
    </row>
    <row r="4174" spans="1:4">
      <c r="A4174" t="s">
        <v>6</v>
      </c>
      <c r="B4174">
        <v>63</v>
      </c>
      <c r="C4174" t="str">
        <f>CHOOSE(MATCH(B4174, {20,25,30,35,40,45,50,55,60,65,70,75,80,85}, 1), "20-24", "25-29", "30-34", "35-39", "40-44", "45-49", "50-54", "55-59", "60-64", "65-69", "70-74", "75-79", "80-84", "85+")</f>
        <v>60-64</v>
      </c>
      <c r="D4174" t="s">
        <v>8</v>
      </c>
    </row>
    <row r="4175" spans="1:4">
      <c r="A4175" t="s">
        <v>6</v>
      </c>
      <c r="B4175">
        <v>37</v>
      </c>
      <c r="C4175" t="str">
        <f>CHOOSE(MATCH(B4175, {20,25,30,35,40,45,50,55,60,65,70,75,80,85}, 1), "20-24", "25-29", "30-34", "35-39", "40-44", "45-49", "50-54", "55-59", "60-64", "65-69", "70-74", "75-79", "80-84", "85+")</f>
        <v>35-39</v>
      </c>
      <c r="D4175" t="s">
        <v>8</v>
      </c>
    </row>
    <row r="4176" spans="1:4">
      <c r="A4176" t="s">
        <v>6</v>
      </c>
      <c r="B4176">
        <v>46</v>
      </c>
      <c r="C4176" t="str">
        <f>CHOOSE(MATCH(B4176, {20,25,30,35,40,45,50,55,60,65,70,75,80,85}, 1), "20-24", "25-29", "30-34", "35-39", "40-44", "45-49", "50-54", "55-59", "60-64", "65-69", "70-74", "75-79", "80-84", "85+")</f>
        <v>45-49</v>
      </c>
      <c r="D4176" t="s">
        <v>7</v>
      </c>
    </row>
    <row r="4177" spans="1:4">
      <c r="A4177" t="s">
        <v>6</v>
      </c>
      <c r="B4177">
        <v>22</v>
      </c>
      <c r="C4177" t="str">
        <f>CHOOSE(MATCH(B4177, {20,25,30,35,40,45,50,55,60,65,70,75,80,85}, 1), "20-24", "25-29", "30-34", "35-39", "40-44", "45-49", "50-54", "55-59", "60-64", "65-69", "70-74", "75-79", "80-84", "85+")</f>
        <v>20-24</v>
      </c>
      <c r="D4177" t="s">
        <v>7</v>
      </c>
    </row>
    <row r="4178" spans="1:4">
      <c r="A4178" t="s">
        <v>6</v>
      </c>
      <c r="B4178">
        <v>24</v>
      </c>
      <c r="C4178" t="str">
        <f>CHOOSE(MATCH(B4178, {20,25,30,35,40,45,50,55,60,65,70,75,80,85}, 1), "20-24", "25-29", "30-34", "35-39", "40-44", "45-49", "50-54", "55-59", "60-64", "65-69", "70-74", "75-79", "80-84", "85+")</f>
        <v>20-24</v>
      </c>
      <c r="D4178" t="s">
        <v>7</v>
      </c>
    </row>
    <row r="4179" spans="1:4">
      <c r="A4179" t="s">
        <v>6</v>
      </c>
      <c r="B4179">
        <v>52</v>
      </c>
      <c r="C4179" t="str">
        <f>CHOOSE(MATCH(B4179, {20,25,30,35,40,45,50,55,60,65,70,75,80,85}, 1), "20-24", "25-29", "30-34", "35-39", "40-44", "45-49", "50-54", "55-59", "60-64", "65-69", "70-74", "75-79", "80-84", "85+")</f>
        <v>50-54</v>
      </c>
      <c r="D4179" t="s">
        <v>8</v>
      </c>
    </row>
    <row r="4180" spans="1:4">
      <c r="A4180" t="s">
        <v>6</v>
      </c>
      <c r="B4180">
        <v>26</v>
      </c>
      <c r="C4180" t="str">
        <f>CHOOSE(MATCH(B4180, {20,25,30,35,40,45,50,55,60,65,70,75,80,85}, 1), "20-24", "25-29", "30-34", "35-39", "40-44", "45-49", "50-54", "55-59", "60-64", "65-69", "70-74", "75-79", "80-84", "85+")</f>
        <v>25-29</v>
      </c>
      <c r="D4180" t="s">
        <v>7</v>
      </c>
    </row>
    <row r="4181" spans="1:4">
      <c r="A4181" t="s">
        <v>6</v>
      </c>
      <c r="B4181">
        <v>22</v>
      </c>
      <c r="C4181" t="str">
        <f>CHOOSE(MATCH(B4181, {20,25,30,35,40,45,50,55,60,65,70,75,80,85}, 1), "20-24", "25-29", "30-34", "35-39", "40-44", "45-49", "50-54", "55-59", "60-64", "65-69", "70-74", "75-79", "80-84", "85+")</f>
        <v>20-24</v>
      </c>
      <c r="D4181" t="s">
        <v>7</v>
      </c>
    </row>
    <row r="4182" spans="1:4">
      <c r="A4182" t="s">
        <v>6</v>
      </c>
      <c r="B4182">
        <v>86</v>
      </c>
      <c r="C4182" t="str">
        <f>CHOOSE(MATCH(B4182, {20,25,30,35,40,45,50,55,60,65,70,75,80,85}, 1), "20-24", "25-29", "30-34", "35-39", "40-44", "45-49", "50-54", "55-59", "60-64", "65-69", "70-74", "75-79", "80-84", "85+")</f>
        <v>85+</v>
      </c>
      <c r="D4182" t="s">
        <v>8</v>
      </c>
    </row>
    <row r="4183" spans="1:4">
      <c r="A4183" t="s">
        <v>6</v>
      </c>
      <c r="B4183">
        <v>38</v>
      </c>
      <c r="C4183" t="str">
        <f>CHOOSE(MATCH(B4183, {20,25,30,35,40,45,50,55,60,65,70,75,80,85}, 1), "20-24", "25-29", "30-34", "35-39", "40-44", "45-49", "50-54", "55-59", "60-64", "65-69", "70-74", "75-79", "80-84", "85+")</f>
        <v>35-39</v>
      </c>
      <c r="D4183" t="s">
        <v>7</v>
      </c>
    </row>
    <row r="4184" spans="1:4">
      <c r="A4184" t="s">
        <v>6</v>
      </c>
      <c r="B4184">
        <v>50</v>
      </c>
      <c r="C4184" t="str">
        <f>CHOOSE(MATCH(B4184, {20,25,30,35,40,45,50,55,60,65,70,75,80,85}, 1), "20-24", "25-29", "30-34", "35-39", "40-44", "45-49", "50-54", "55-59", "60-64", "65-69", "70-74", "75-79", "80-84", "85+")</f>
        <v>50-54</v>
      </c>
      <c r="D4184" t="s">
        <v>8</v>
      </c>
    </row>
    <row r="4185" spans="1:4">
      <c r="A4185" t="s">
        <v>6</v>
      </c>
      <c r="B4185">
        <v>58</v>
      </c>
      <c r="C4185" t="str">
        <f>CHOOSE(MATCH(B4185, {20,25,30,35,40,45,50,55,60,65,70,75,80,85}, 1), "20-24", "25-29", "30-34", "35-39", "40-44", "45-49", "50-54", "55-59", "60-64", "65-69", "70-74", "75-79", "80-84", "85+")</f>
        <v>55-59</v>
      </c>
      <c r="D4185" t="s">
        <v>8</v>
      </c>
    </row>
    <row r="4186" spans="1:4">
      <c r="A4186" t="s">
        <v>6</v>
      </c>
      <c r="B4186">
        <v>30</v>
      </c>
      <c r="C4186" t="str">
        <f>CHOOSE(MATCH(B4186, {20,25,30,35,40,45,50,55,60,65,70,75,80,85}, 1), "20-24", "25-29", "30-34", "35-39", "40-44", "45-49", "50-54", "55-59", "60-64", "65-69", "70-74", "75-79", "80-84", "85+")</f>
        <v>30-34</v>
      </c>
      <c r="D4186" t="s">
        <v>7</v>
      </c>
    </row>
    <row r="4187" spans="1:4">
      <c r="A4187" t="s">
        <v>6</v>
      </c>
      <c r="B4187">
        <v>36</v>
      </c>
      <c r="C4187" t="str">
        <f>CHOOSE(MATCH(B4187, {20,25,30,35,40,45,50,55,60,65,70,75,80,85}, 1), "20-24", "25-29", "30-34", "35-39", "40-44", "45-49", "50-54", "55-59", "60-64", "65-69", "70-74", "75-79", "80-84", "85+")</f>
        <v>35-39</v>
      </c>
      <c r="D4187" t="s">
        <v>7</v>
      </c>
    </row>
    <row r="4188" spans="1:4">
      <c r="A4188" t="s">
        <v>6</v>
      </c>
      <c r="B4188">
        <v>41</v>
      </c>
      <c r="C4188" t="str">
        <f>CHOOSE(MATCH(B4188, {20,25,30,35,40,45,50,55,60,65,70,75,80,85}, 1), "20-24", "25-29", "30-34", "35-39", "40-44", "45-49", "50-54", "55-59", "60-64", "65-69", "70-74", "75-79", "80-84", "85+")</f>
        <v>40-44</v>
      </c>
      <c r="D4188" t="s">
        <v>8</v>
      </c>
    </row>
    <row r="4189" spans="1:4">
      <c r="A4189" t="s">
        <v>6</v>
      </c>
      <c r="B4189">
        <v>74</v>
      </c>
      <c r="C4189" t="str">
        <f>CHOOSE(MATCH(B4189, {20,25,30,35,40,45,50,55,60,65,70,75,80,85}, 1), "20-24", "25-29", "30-34", "35-39", "40-44", "45-49", "50-54", "55-59", "60-64", "65-69", "70-74", "75-79", "80-84", "85+")</f>
        <v>70-74</v>
      </c>
      <c r="D4189" t="s">
        <v>7</v>
      </c>
    </row>
    <row r="4190" spans="1:4">
      <c r="A4190" t="s">
        <v>6</v>
      </c>
      <c r="B4190">
        <v>34</v>
      </c>
      <c r="C4190" t="str">
        <f>CHOOSE(MATCH(B4190, {20,25,30,35,40,45,50,55,60,65,70,75,80,85}, 1), "20-24", "25-29", "30-34", "35-39", "40-44", "45-49", "50-54", "55-59", "60-64", "65-69", "70-74", "75-79", "80-84", "85+")</f>
        <v>30-34</v>
      </c>
      <c r="D4190" t="s">
        <v>8</v>
      </c>
    </row>
    <row r="4191" spans="1:4">
      <c r="A4191" t="s">
        <v>6</v>
      </c>
      <c r="B4191">
        <v>27</v>
      </c>
      <c r="C4191" t="str">
        <f>CHOOSE(MATCH(B4191, {20,25,30,35,40,45,50,55,60,65,70,75,80,85}, 1), "20-24", "25-29", "30-34", "35-39", "40-44", "45-49", "50-54", "55-59", "60-64", "65-69", "70-74", "75-79", "80-84", "85+")</f>
        <v>25-29</v>
      </c>
      <c r="D4191" t="s">
        <v>7</v>
      </c>
    </row>
    <row r="4192" spans="1:4">
      <c r="A4192" t="s">
        <v>6</v>
      </c>
      <c r="B4192">
        <v>27</v>
      </c>
      <c r="C4192" t="str">
        <f>CHOOSE(MATCH(B4192, {20,25,30,35,40,45,50,55,60,65,70,75,80,85}, 1), "20-24", "25-29", "30-34", "35-39", "40-44", "45-49", "50-54", "55-59", "60-64", "65-69", "70-74", "75-79", "80-84", "85+")</f>
        <v>25-29</v>
      </c>
      <c r="D4192" t="s">
        <v>8</v>
      </c>
    </row>
    <row r="4193" spans="1:4">
      <c r="A4193" t="s">
        <v>6</v>
      </c>
      <c r="B4193">
        <v>31</v>
      </c>
      <c r="C4193" t="str">
        <f>CHOOSE(MATCH(B4193, {20,25,30,35,40,45,50,55,60,65,70,75,80,85}, 1), "20-24", "25-29", "30-34", "35-39", "40-44", "45-49", "50-54", "55-59", "60-64", "65-69", "70-74", "75-79", "80-84", "85+")</f>
        <v>30-34</v>
      </c>
      <c r="D4193" t="s">
        <v>7</v>
      </c>
    </row>
    <row r="4194" spans="1:4">
      <c r="A4194" t="s">
        <v>6</v>
      </c>
      <c r="B4194">
        <v>25</v>
      </c>
      <c r="C4194" t="str">
        <f>CHOOSE(MATCH(B4194, {20,25,30,35,40,45,50,55,60,65,70,75,80,85}, 1), "20-24", "25-29", "30-34", "35-39", "40-44", "45-49", "50-54", "55-59", "60-64", "65-69", "70-74", "75-79", "80-84", "85+")</f>
        <v>25-29</v>
      </c>
      <c r="D4194" t="s">
        <v>7</v>
      </c>
    </row>
    <row r="4195" spans="1:4">
      <c r="A4195" t="s">
        <v>6</v>
      </c>
      <c r="B4195">
        <v>34</v>
      </c>
      <c r="C4195" t="str">
        <f>CHOOSE(MATCH(B4195, {20,25,30,35,40,45,50,55,60,65,70,75,80,85}, 1), "20-24", "25-29", "30-34", "35-39", "40-44", "45-49", "50-54", "55-59", "60-64", "65-69", "70-74", "75-79", "80-84", "85+")</f>
        <v>30-34</v>
      </c>
      <c r="D4195" t="s">
        <v>8</v>
      </c>
    </row>
    <row r="4196" spans="1:4">
      <c r="A4196" t="s">
        <v>6</v>
      </c>
      <c r="B4196">
        <v>52</v>
      </c>
      <c r="C4196" t="str">
        <f>CHOOSE(MATCH(B4196, {20,25,30,35,40,45,50,55,60,65,70,75,80,85}, 1), "20-24", "25-29", "30-34", "35-39", "40-44", "45-49", "50-54", "55-59", "60-64", "65-69", "70-74", "75-79", "80-84", "85+")</f>
        <v>50-54</v>
      </c>
      <c r="D4196" t="s">
        <v>7</v>
      </c>
    </row>
    <row r="4197" spans="1:4">
      <c r="A4197" t="s">
        <v>6</v>
      </c>
      <c r="B4197">
        <v>56</v>
      </c>
      <c r="C4197" t="str">
        <f>CHOOSE(MATCH(B4197, {20,25,30,35,40,45,50,55,60,65,70,75,80,85}, 1), "20-24", "25-29", "30-34", "35-39", "40-44", "45-49", "50-54", "55-59", "60-64", "65-69", "70-74", "75-79", "80-84", "85+")</f>
        <v>55-59</v>
      </c>
      <c r="D4197" t="s">
        <v>8</v>
      </c>
    </row>
    <row r="4198" spans="1:4">
      <c r="A4198" t="s">
        <v>6</v>
      </c>
      <c r="B4198">
        <v>36</v>
      </c>
      <c r="C4198" t="str">
        <f>CHOOSE(MATCH(B4198, {20,25,30,35,40,45,50,55,60,65,70,75,80,85}, 1), "20-24", "25-29", "30-34", "35-39", "40-44", "45-49", "50-54", "55-59", "60-64", "65-69", "70-74", "75-79", "80-84", "85+")</f>
        <v>35-39</v>
      </c>
      <c r="D4198" t="s">
        <v>7</v>
      </c>
    </row>
    <row r="4199" spans="1:4">
      <c r="A4199" t="s">
        <v>6</v>
      </c>
      <c r="B4199">
        <v>32</v>
      </c>
      <c r="C4199" t="str">
        <f>CHOOSE(MATCH(B4199, {20,25,30,35,40,45,50,55,60,65,70,75,80,85}, 1), "20-24", "25-29", "30-34", "35-39", "40-44", "45-49", "50-54", "55-59", "60-64", "65-69", "70-74", "75-79", "80-84", "85+")</f>
        <v>30-34</v>
      </c>
      <c r="D4199" t="s">
        <v>7</v>
      </c>
    </row>
    <row r="4200" spans="1:4">
      <c r="A4200" t="s">
        <v>6</v>
      </c>
      <c r="B4200">
        <v>39</v>
      </c>
      <c r="C4200" t="str">
        <f>CHOOSE(MATCH(B4200, {20,25,30,35,40,45,50,55,60,65,70,75,80,85}, 1), "20-24", "25-29", "30-34", "35-39", "40-44", "45-49", "50-54", "55-59", "60-64", "65-69", "70-74", "75-79", "80-84", "85+")</f>
        <v>35-39</v>
      </c>
      <c r="D4200" t="s">
        <v>7</v>
      </c>
    </row>
    <row r="4201" spans="1:4">
      <c r="A4201" t="s">
        <v>6</v>
      </c>
      <c r="B4201">
        <v>53</v>
      </c>
      <c r="C4201" t="str">
        <f>CHOOSE(MATCH(B4201, {20,25,30,35,40,45,50,55,60,65,70,75,80,85}, 1), "20-24", "25-29", "30-34", "35-39", "40-44", "45-49", "50-54", "55-59", "60-64", "65-69", "70-74", "75-79", "80-84", "85+")</f>
        <v>50-54</v>
      </c>
      <c r="D4201" t="s">
        <v>7</v>
      </c>
    </row>
    <row r="4202" spans="1:4">
      <c r="A4202" t="s">
        <v>6</v>
      </c>
      <c r="B4202">
        <v>41</v>
      </c>
      <c r="C4202" t="str">
        <f>CHOOSE(MATCH(B4202, {20,25,30,35,40,45,50,55,60,65,70,75,80,85}, 1), "20-24", "25-29", "30-34", "35-39", "40-44", "45-49", "50-54", "55-59", "60-64", "65-69", "70-74", "75-79", "80-84", "85+")</f>
        <v>40-44</v>
      </c>
      <c r="D4202" t="s">
        <v>7</v>
      </c>
    </row>
    <row r="4203" spans="1:4">
      <c r="A4203" t="s">
        <v>6</v>
      </c>
      <c r="B4203">
        <v>30</v>
      </c>
      <c r="C4203" t="str">
        <f>CHOOSE(MATCH(B4203, {20,25,30,35,40,45,50,55,60,65,70,75,80,85}, 1), "20-24", "25-29", "30-34", "35-39", "40-44", "45-49", "50-54", "55-59", "60-64", "65-69", "70-74", "75-79", "80-84", "85+")</f>
        <v>30-34</v>
      </c>
      <c r="D4203" t="s">
        <v>7</v>
      </c>
    </row>
    <row r="4204" spans="1:4">
      <c r="A4204" t="s">
        <v>6</v>
      </c>
      <c r="B4204">
        <v>32</v>
      </c>
      <c r="C4204" t="str">
        <f>CHOOSE(MATCH(B4204, {20,25,30,35,40,45,50,55,60,65,70,75,80,85}, 1), "20-24", "25-29", "30-34", "35-39", "40-44", "45-49", "50-54", "55-59", "60-64", "65-69", "70-74", "75-79", "80-84", "85+")</f>
        <v>30-34</v>
      </c>
      <c r="D4204" t="s">
        <v>7</v>
      </c>
    </row>
    <row r="4205" spans="1:4">
      <c r="A4205" t="s">
        <v>6</v>
      </c>
      <c r="B4205">
        <v>31</v>
      </c>
      <c r="C4205" t="str">
        <f>CHOOSE(MATCH(B4205, {20,25,30,35,40,45,50,55,60,65,70,75,80,85}, 1), "20-24", "25-29", "30-34", "35-39", "40-44", "45-49", "50-54", "55-59", "60-64", "65-69", "70-74", "75-79", "80-84", "85+")</f>
        <v>30-34</v>
      </c>
      <c r="D4205" t="s">
        <v>7</v>
      </c>
    </row>
    <row r="4206" spans="1:4">
      <c r="A4206" t="s">
        <v>6</v>
      </c>
      <c r="B4206">
        <v>45</v>
      </c>
      <c r="C4206" t="str">
        <f>CHOOSE(MATCH(B4206, {20,25,30,35,40,45,50,55,60,65,70,75,80,85}, 1), "20-24", "25-29", "30-34", "35-39", "40-44", "45-49", "50-54", "55-59", "60-64", "65-69", "70-74", "75-79", "80-84", "85+")</f>
        <v>45-49</v>
      </c>
      <c r="D4206" t="s">
        <v>7</v>
      </c>
    </row>
    <row r="4207" spans="1:4">
      <c r="A4207" t="s">
        <v>6</v>
      </c>
      <c r="B4207">
        <v>35</v>
      </c>
      <c r="C4207" t="str">
        <f>CHOOSE(MATCH(B4207, {20,25,30,35,40,45,50,55,60,65,70,75,80,85}, 1), "20-24", "25-29", "30-34", "35-39", "40-44", "45-49", "50-54", "55-59", "60-64", "65-69", "70-74", "75-79", "80-84", "85+")</f>
        <v>35-39</v>
      </c>
      <c r="D4207" t="s">
        <v>8</v>
      </c>
    </row>
    <row r="4208" spans="1:4">
      <c r="A4208" t="s">
        <v>6</v>
      </c>
      <c r="B4208">
        <v>78</v>
      </c>
      <c r="C4208" t="str">
        <f>CHOOSE(MATCH(B4208, {20,25,30,35,40,45,50,55,60,65,70,75,80,85}, 1), "20-24", "25-29", "30-34", "35-39", "40-44", "45-49", "50-54", "55-59", "60-64", "65-69", "70-74", "75-79", "80-84", "85+")</f>
        <v>75-79</v>
      </c>
      <c r="D4208" t="s">
        <v>7</v>
      </c>
    </row>
    <row r="4209" spans="1:4">
      <c r="A4209" t="s">
        <v>6</v>
      </c>
      <c r="B4209">
        <v>32</v>
      </c>
      <c r="C4209" t="str">
        <f>CHOOSE(MATCH(B4209, {20,25,30,35,40,45,50,55,60,65,70,75,80,85}, 1), "20-24", "25-29", "30-34", "35-39", "40-44", "45-49", "50-54", "55-59", "60-64", "65-69", "70-74", "75-79", "80-84", "85+")</f>
        <v>30-34</v>
      </c>
      <c r="D4209" t="s">
        <v>7</v>
      </c>
    </row>
    <row r="4210" spans="1:4">
      <c r="A4210" t="s">
        <v>6</v>
      </c>
      <c r="B4210">
        <v>42</v>
      </c>
      <c r="C4210" t="str">
        <f>CHOOSE(MATCH(B4210, {20,25,30,35,40,45,50,55,60,65,70,75,80,85}, 1), "20-24", "25-29", "30-34", "35-39", "40-44", "45-49", "50-54", "55-59", "60-64", "65-69", "70-74", "75-79", "80-84", "85+")</f>
        <v>40-44</v>
      </c>
      <c r="D4210" t="s">
        <v>7</v>
      </c>
    </row>
    <row r="4211" spans="1:4">
      <c r="A4211" t="s">
        <v>6</v>
      </c>
      <c r="B4211">
        <v>41</v>
      </c>
      <c r="C4211" t="str">
        <f>CHOOSE(MATCH(B4211, {20,25,30,35,40,45,50,55,60,65,70,75,80,85}, 1), "20-24", "25-29", "30-34", "35-39", "40-44", "45-49", "50-54", "55-59", "60-64", "65-69", "70-74", "75-79", "80-84", "85+")</f>
        <v>40-44</v>
      </c>
      <c r="D4211" t="s">
        <v>7</v>
      </c>
    </row>
    <row r="4212" spans="1:4">
      <c r="A4212" t="s">
        <v>6</v>
      </c>
      <c r="B4212">
        <v>77</v>
      </c>
      <c r="C4212" t="str">
        <f>CHOOSE(MATCH(B4212, {20,25,30,35,40,45,50,55,60,65,70,75,80,85}, 1), "20-24", "25-29", "30-34", "35-39", "40-44", "45-49", "50-54", "55-59", "60-64", "65-69", "70-74", "75-79", "80-84", "85+")</f>
        <v>75-79</v>
      </c>
      <c r="D4212" t="s">
        <v>7</v>
      </c>
    </row>
    <row r="4213" spans="1:4">
      <c r="A4213" t="s">
        <v>6</v>
      </c>
      <c r="B4213">
        <v>75</v>
      </c>
      <c r="C4213" t="str">
        <f>CHOOSE(MATCH(B4213, {20,25,30,35,40,45,50,55,60,65,70,75,80,85}, 1), "20-24", "25-29", "30-34", "35-39", "40-44", "45-49", "50-54", "55-59", "60-64", "65-69", "70-74", "75-79", "80-84", "85+")</f>
        <v>75-79</v>
      </c>
      <c r="D4213" t="s">
        <v>8</v>
      </c>
    </row>
    <row r="4214" spans="1:4">
      <c r="A4214" t="s">
        <v>6</v>
      </c>
      <c r="B4214">
        <v>33</v>
      </c>
      <c r="C4214" t="str">
        <f>CHOOSE(MATCH(B4214, {20,25,30,35,40,45,50,55,60,65,70,75,80,85}, 1), "20-24", "25-29", "30-34", "35-39", "40-44", "45-49", "50-54", "55-59", "60-64", "65-69", "70-74", "75-79", "80-84", "85+")</f>
        <v>30-34</v>
      </c>
      <c r="D4214" t="s">
        <v>7</v>
      </c>
    </row>
    <row r="4215" spans="1:4">
      <c r="A4215" t="s">
        <v>6</v>
      </c>
      <c r="B4215">
        <v>43</v>
      </c>
      <c r="C4215" t="str">
        <f>CHOOSE(MATCH(B4215, {20,25,30,35,40,45,50,55,60,65,70,75,80,85}, 1), "20-24", "25-29", "30-34", "35-39", "40-44", "45-49", "50-54", "55-59", "60-64", "65-69", "70-74", "75-79", "80-84", "85+")</f>
        <v>40-44</v>
      </c>
      <c r="D4215" t="s">
        <v>8</v>
      </c>
    </row>
    <row r="4216" spans="1:4">
      <c r="A4216" t="s">
        <v>6</v>
      </c>
      <c r="B4216">
        <v>41</v>
      </c>
      <c r="C4216" t="str">
        <f>CHOOSE(MATCH(B4216, {20,25,30,35,40,45,50,55,60,65,70,75,80,85}, 1), "20-24", "25-29", "30-34", "35-39", "40-44", "45-49", "50-54", "55-59", "60-64", "65-69", "70-74", "75-79", "80-84", "85+")</f>
        <v>40-44</v>
      </c>
      <c r="D4216" t="s">
        <v>7</v>
      </c>
    </row>
    <row r="4217" spans="1:4">
      <c r="A4217" t="s">
        <v>6</v>
      </c>
      <c r="B4217">
        <v>27</v>
      </c>
      <c r="C4217" t="str">
        <f>CHOOSE(MATCH(B4217, {20,25,30,35,40,45,50,55,60,65,70,75,80,85}, 1), "20-24", "25-29", "30-34", "35-39", "40-44", "45-49", "50-54", "55-59", "60-64", "65-69", "70-74", "75-79", "80-84", "85+")</f>
        <v>25-29</v>
      </c>
      <c r="D4217" t="s">
        <v>8</v>
      </c>
    </row>
    <row r="4218" spans="1:4">
      <c r="A4218" t="s">
        <v>6</v>
      </c>
      <c r="B4218">
        <v>39</v>
      </c>
      <c r="C4218" t="str">
        <f>CHOOSE(MATCH(B4218, {20,25,30,35,40,45,50,55,60,65,70,75,80,85}, 1), "20-24", "25-29", "30-34", "35-39", "40-44", "45-49", "50-54", "55-59", "60-64", "65-69", "70-74", "75-79", "80-84", "85+")</f>
        <v>35-39</v>
      </c>
      <c r="D4218" t="s">
        <v>7</v>
      </c>
    </row>
    <row r="4219" spans="1:4">
      <c r="A4219" t="s">
        <v>6</v>
      </c>
      <c r="B4219">
        <v>24</v>
      </c>
      <c r="C4219" t="str">
        <f>CHOOSE(MATCH(B4219, {20,25,30,35,40,45,50,55,60,65,70,75,80,85}, 1), "20-24", "25-29", "30-34", "35-39", "40-44", "45-49", "50-54", "55-59", "60-64", "65-69", "70-74", "75-79", "80-84", "85+")</f>
        <v>20-24</v>
      </c>
      <c r="D4219" t="s">
        <v>7</v>
      </c>
    </row>
    <row r="4220" spans="1:4">
      <c r="A4220" t="s">
        <v>6</v>
      </c>
      <c r="B4220">
        <v>58</v>
      </c>
      <c r="C4220" t="str">
        <f>CHOOSE(MATCH(B4220, {20,25,30,35,40,45,50,55,60,65,70,75,80,85}, 1), "20-24", "25-29", "30-34", "35-39", "40-44", "45-49", "50-54", "55-59", "60-64", "65-69", "70-74", "75-79", "80-84", "85+")</f>
        <v>55-59</v>
      </c>
      <c r="D4220" t="s">
        <v>8</v>
      </c>
    </row>
    <row r="4221" spans="1:4">
      <c r="A4221" t="s">
        <v>6</v>
      </c>
      <c r="B4221">
        <v>24</v>
      </c>
      <c r="C4221" t="str">
        <f>CHOOSE(MATCH(B4221, {20,25,30,35,40,45,50,55,60,65,70,75,80,85}, 1), "20-24", "25-29", "30-34", "35-39", "40-44", "45-49", "50-54", "55-59", "60-64", "65-69", "70-74", "75-79", "80-84", "85+")</f>
        <v>20-24</v>
      </c>
      <c r="D4221" t="s">
        <v>8</v>
      </c>
    </row>
    <row r="4222" spans="1:4">
      <c r="A4222" t="s">
        <v>6</v>
      </c>
      <c r="B4222">
        <v>54</v>
      </c>
      <c r="C4222" t="str">
        <f>CHOOSE(MATCH(B4222, {20,25,30,35,40,45,50,55,60,65,70,75,80,85}, 1), "20-24", "25-29", "30-34", "35-39", "40-44", "45-49", "50-54", "55-59", "60-64", "65-69", "70-74", "75-79", "80-84", "85+")</f>
        <v>50-54</v>
      </c>
      <c r="D4222" t="s">
        <v>7</v>
      </c>
    </row>
    <row r="4223" spans="1:4">
      <c r="A4223" t="s">
        <v>6</v>
      </c>
      <c r="B4223">
        <v>34</v>
      </c>
      <c r="C4223" t="str">
        <f>CHOOSE(MATCH(B4223, {20,25,30,35,40,45,50,55,60,65,70,75,80,85}, 1), "20-24", "25-29", "30-34", "35-39", "40-44", "45-49", "50-54", "55-59", "60-64", "65-69", "70-74", "75-79", "80-84", "85+")</f>
        <v>30-34</v>
      </c>
      <c r="D4223" t="s">
        <v>8</v>
      </c>
    </row>
    <row r="4224" spans="1:4">
      <c r="A4224" t="s">
        <v>6</v>
      </c>
      <c r="B4224">
        <v>42</v>
      </c>
      <c r="C4224" t="str">
        <f>CHOOSE(MATCH(B4224, {20,25,30,35,40,45,50,55,60,65,70,75,80,85}, 1), "20-24", "25-29", "30-34", "35-39", "40-44", "45-49", "50-54", "55-59", "60-64", "65-69", "70-74", "75-79", "80-84", "85+")</f>
        <v>40-44</v>
      </c>
      <c r="D4224" t="s">
        <v>7</v>
      </c>
    </row>
    <row r="4225" spans="1:4">
      <c r="A4225" t="s">
        <v>6</v>
      </c>
      <c r="B4225">
        <v>53</v>
      </c>
      <c r="C4225" t="str">
        <f>CHOOSE(MATCH(B4225, {20,25,30,35,40,45,50,55,60,65,70,75,80,85}, 1), "20-24", "25-29", "30-34", "35-39", "40-44", "45-49", "50-54", "55-59", "60-64", "65-69", "70-74", "75-79", "80-84", "85+")</f>
        <v>50-54</v>
      </c>
      <c r="D4225" t="s">
        <v>7</v>
      </c>
    </row>
    <row r="4226" spans="1:4">
      <c r="A4226" t="s">
        <v>6</v>
      </c>
      <c r="B4226">
        <v>45</v>
      </c>
      <c r="C4226" t="str">
        <f>CHOOSE(MATCH(B4226, {20,25,30,35,40,45,50,55,60,65,70,75,80,85}, 1), "20-24", "25-29", "30-34", "35-39", "40-44", "45-49", "50-54", "55-59", "60-64", "65-69", "70-74", "75-79", "80-84", "85+")</f>
        <v>45-49</v>
      </c>
      <c r="D4226" t="s">
        <v>8</v>
      </c>
    </row>
    <row r="4227" spans="1:4">
      <c r="A4227" t="s">
        <v>6</v>
      </c>
      <c r="B4227">
        <v>25</v>
      </c>
      <c r="C4227" t="str">
        <f>CHOOSE(MATCH(B4227, {20,25,30,35,40,45,50,55,60,65,70,75,80,85}, 1), "20-24", "25-29", "30-34", "35-39", "40-44", "45-49", "50-54", "55-59", "60-64", "65-69", "70-74", "75-79", "80-84", "85+")</f>
        <v>25-29</v>
      </c>
      <c r="D4227" t="s">
        <v>7</v>
      </c>
    </row>
    <row r="4228" spans="1:4">
      <c r="A4228" t="s">
        <v>6</v>
      </c>
      <c r="B4228">
        <v>31</v>
      </c>
      <c r="C4228" t="str">
        <f>CHOOSE(MATCH(B4228, {20,25,30,35,40,45,50,55,60,65,70,75,80,85}, 1), "20-24", "25-29", "30-34", "35-39", "40-44", "45-49", "50-54", "55-59", "60-64", "65-69", "70-74", "75-79", "80-84", "85+")</f>
        <v>30-34</v>
      </c>
      <c r="D4228" t="s">
        <v>8</v>
      </c>
    </row>
    <row r="4229" spans="1:4">
      <c r="A4229" t="s">
        <v>6</v>
      </c>
      <c r="B4229">
        <v>42</v>
      </c>
      <c r="C4229" t="str">
        <f>CHOOSE(MATCH(B4229, {20,25,30,35,40,45,50,55,60,65,70,75,80,85}, 1), "20-24", "25-29", "30-34", "35-39", "40-44", "45-49", "50-54", "55-59", "60-64", "65-69", "70-74", "75-79", "80-84", "85+")</f>
        <v>40-44</v>
      </c>
      <c r="D4229" t="s">
        <v>8</v>
      </c>
    </row>
    <row r="4230" spans="1:4">
      <c r="A4230" t="s">
        <v>6</v>
      </c>
      <c r="B4230">
        <v>49</v>
      </c>
      <c r="C4230" t="str">
        <f>CHOOSE(MATCH(B4230, {20,25,30,35,40,45,50,55,60,65,70,75,80,85}, 1), "20-24", "25-29", "30-34", "35-39", "40-44", "45-49", "50-54", "55-59", "60-64", "65-69", "70-74", "75-79", "80-84", "85+")</f>
        <v>45-49</v>
      </c>
      <c r="D4230" t="s">
        <v>7</v>
      </c>
    </row>
    <row r="4231" spans="1:4">
      <c r="A4231" t="s">
        <v>6</v>
      </c>
      <c r="B4231">
        <v>29</v>
      </c>
      <c r="C4231" t="str">
        <f>CHOOSE(MATCH(B4231, {20,25,30,35,40,45,50,55,60,65,70,75,80,85}, 1), "20-24", "25-29", "30-34", "35-39", "40-44", "45-49", "50-54", "55-59", "60-64", "65-69", "70-74", "75-79", "80-84", "85+")</f>
        <v>25-29</v>
      </c>
      <c r="D4231" t="s">
        <v>8</v>
      </c>
    </row>
    <row r="4232" spans="1:4">
      <c r="A4232" t="s">
        <v>6</v>
      </c>
      <c r="B4232">
        <v>55</v>
      </c>
      <c r="C4232" t="str">
        <f>CHOOSE(MATCH(B4232, {20,25,30,35,40,45,50,55,60,65,70,75,80,85}, 1), "20-24", "25-29", "30-34", "35-39", "40-44", "45-49", "50-54", "55-59", "60-64", "65-69", "70-74", "75-79", "80-84", "85+")</f>
        <v>55-59</v>
      </c>
      <c r="D4232" t="s">
        <v>7</v>
      </c>
    </row>
    <row r="4233" spans="1:4">
      <c r="A4233" t="s">
        <v>6</v>
      </c>
      <c r="B4233">
        <v>31</v>
      </c>
      <c r="C4233" t="str">
        <f>CHOOSE(MATCH(B4233, {20,25,30,35,40,45,50,55,60,65,70,75,80,85}, 1), "20-24", "25-29", "30-34", "35-39", "40-44", "45-49", "50-54", "55-59", "60-64", "65-69", "70-74", "75-79", "80-84", "85+")</f>
        <v>30-34</v>
      </c>
      <c r="D4233" t="s">
        <v>7</v>
      </c>
    </row>
    <row r="4234" spans="1:4">
      <c r="A4234" t="s">
        <v>6</v>
      </c>
      <c r="B4234">
        <v>35</v>
      </c>
      <c r="C4234" t="str">
        <f>CHOOSE(MATCH(B4234, {20,25,30,35,40,45,50,55,60,65,70,75,80,85}, 1), "20-24", "25-29", "30-34", "35-39", "40-44", "45-49", "50-54", "55-59", "60-64", "65-69", "70-74", "75-79", "80-84", "85+")</f>
        <v>35-39</v>
      </c>
      <c r="D4234" t="s">
        <v>7</v>
      </c>
    </row>
    <row r="4235" spans="1:4">
      <c r="A4235" t="s">
        <v>6</v>
      </c>
      <c r="B4235">
        <v>27</v>
      </c>
      <c r="C4235" t="str">
        <f>CHOOSE(MATCH(B4235, {20,25,30,35,40,45,50,55,60,65,70,75,80,85}, 1), "20-24", "25-29", "30-34", "35-39", "40-44", "45-49", "50-54", "55-59", "60-64", "65-69", "70-74", "75-79", "80-84", "85+")</f>
        <v>25-29</v>
      </c>
      <c r="D4235" t="s">
        <v>7</v>
      </c>
    </row>
    <row r="4236" spans="1:4">
      <c r="A4236" t="s">
        <v>6</v>
      </c>
      <c r="B4236">
        <v>57</v>
      </c>
      <c r="C4236" t="str">
        <f>CHOOSE(MATCH(B4236, {20,25,30,35,40,45,50,55,60,65,70,75,80,85}, 1), "20-24", "25-29", "30-34", "35-39", "40-44", "45-49", "50-54", "55-59", "60-64", "65-69", "70-74", "75-79", "80-84", "85+")</f>
        <v>55-59</v>
      </c>
      <c r="D4236" t="s">
        <v>7</v>
      </c>
    </row>
    <row r="4237" spans="1:4">
      <c r="A4237" t="s">
        <v>6</v>
      </c>
      <c r="B4237">
        <v>34</v>
      </c>
      <c r="C4237" t="str">
        <f>CHOOSE(MATCH(B4237, {20,25,30,35,40,45,50,55,60,65,70,75,80,85}, 1), "20-24", "25-29", "30-34", "35-39", "40-44", "45-49", "50-54", "55-59", "60-64", "65-69", "70-74", "75-79", "80-84", "85+")</f>
        <v>30-34</v>
      </c>
      <c r="D4237" t="s">
        <v>8</v>
      </c>
    </row>
    <row r="4238" spans="1:4">
      <c r="A4238" t="s">
        <v>6</v>
      </c>
      <c r="B4238">
        <v>44</v>
      </c>
      <c r="C4238" t="str">
        <f>CHOOSE(MATCH(B4238, {20,25,30,35,40,45,50,55,60,65,70,75,80,85}, 1), "20-24", "25-29", "30-34", "35-39", "40-44", "45-49", "50-54", "55-59", "60-64", "65-69", "70-74", "75-79", "80-84", "85+")</f>
        <v>40-44</v>
      </c>
      <c r="D4238" t="s">
        <v>8</v>
      </c>
    </row>
    <row r="4239" spans="1:4">
      <c r="A4239" t="s">
        <v>6</v>
      </c>
      <c r="B4239">
        <v>36</v>
      </c>
      <c r="C4239" t="str">
        <f>CHOOSE(MATCH(B4239, {20,25,30,35,40,45,50,55,60,65,70,75,80,85}, 1), "20-24", "25-29", "30-34", "35-39", "40-44", "45-49", "50-54", "55-59", "60-64", "65-69", "70-74", "75-79", "80-84", "85+")</f>
        <v>35-39</v>
      </c>
      <c r="D4239" t="s">
        <v>8</v>
      </c>
    </row>
    <row r="4240" spans="1:4">
      <c r="A4240" t="s">
        <v>6</v>
      </c>
      <c r="B4240">
        <v>29</v>
      </c>
      <c r="C4240" t="str">
        <f>CHOOSE(MATCH(B4240, {20,25,30,35,40,45,50,55,60,65,70,75,80,85}, 1), "20-24", "25-29", "30-34", "35-39", "40-44", "45-49", "50-54", "55-59", "60-64", "65-69", "70-74", "75-79", "80-84", "85+")</f>
        <v>25-29</v>
      </c>
      <c r="D4240" t="s">
        <v>7</v>
      </c>
    </row>
    <row r="4241" spans="1:4">
      <c r="A4241" t="s">
        <v>6</v>
      </c>
      <c r="B4241">
        <v>32</v>
      </c>
      <c r="C4241" t="str">
        <f>CHOOSE(MATCH(B4241, {20,25,30,35,40,45,50,55,60,65,70,75,80,85}, 1), "20-24", "25-29", "30-34", "35-39", "40-44", "45-49", "50-54", "55-59", "60-64", "65-69", "70-74", "75-79", "80-84", "85+")</f>
        <v>30-34</v>
      </c>
      <c r="D4241" t="s">
        <v>7</v>
      </c>
    </row>
    <row r="4242" spans="1:4">
      <c r="A4242" t="s">
        <v>6</v>
      </c>
      <c r="B4242">
        <v>44</v>
      </c>
      <c r="C4242" t="str">
        <f>CHOOSE(MATCH(B4242, {20,25,30,35,40,45,50,55,60,65,70,75,80,85}, 1), "20-24", "25-29", "30-34", "35-39", "40-44", "45-49", "50-54", "55-59", "60-64", "65-69", "70-74", "75-79", "80-84", "85+")</f>
        <v>40-44</v>
      </c>
      <c r="D4242" t="s">
        <v>8</v>
      </c>
    </row>
    <row r="4243" spans="1:4">
      <c r="A4243" t="s">
        <v>6</v>
      </c>
      <c r="B4243">
        <v>34</v>
      </c>
      <c r="C4243" t="str">
        <f>CHOOSE(MATCH(B4243, {20,25,30,35,40,45,50,55,60,65,70,75,80,85}, 1), "20-24", "25-29", "30-34", "35-39", "40-44", "45-49", "50-54", "55-59", "60-64", "65-69", "70-74", "75-79", "80-84", "85+")</f>
        <v>30-34</v>
      </c>
      <c r="D4243" t="s">
        <v>8</v>
      </c>
    </row>
    <row r="4244" spans="1:4">
      <c r="A4244" t="s">
        <v>6</v>
      </c>
      <c r="B4244">
        <v>38</v>
      </c>
      <c r="C4244" t="str">
        <f>CHOOSE(MATCH(B4244, {20,25,30,35,40,45,50,55,60,65,70,75,80,85}, 1), "20-24", "25-29", "30-34", "35-39", "40-44", "45-49", "50-54", "55-59", "60-64", "65-69", "70-74", "75-79", "80-84", "85+")</f>
        <v>35-39</v>
      </c>
      <c r="D4244" t="s">
        <v>8</v>
      </c>
    </row>
    <row r="4245" spans="1:4">
      <c r="A4245" t="s">
        <v>6</v>
      </c>
      <c r="B4245">
        <v>62</v>
      </c>
      <c r="C4245" t="str">
        <f>CHOOSE(MATCH(B4245, {20,25,30,35,40,45,50,55,60,65,70,75,80,85}, 1), "20-24", "25-29", "30-34", "35-39", "40-44", "45-49", "50-54", "55-59", "60-64", "65-69", "70-74", "75-79", "80-84", "85+")</f>
        <v>60-64</v>
      </c>
      <c r="D4245" t="s">
        <v>8</v>
      </c>
    </row>
    <row r="4246" spans="1:4">
      <c r="A4246" t="s">
        <v>6</v>
      </c>
      <c r="B4246">
        <v>65</v>
      </c>
      <c r="C4246" t="str">
        <f>CHOOSE(MATCH(B4246, {20,25,30,35,40,45,50,55,60,65,70,75,80,85}, 1), "20-24", "25-29", "30-34", "35-39", "40-44", "45-49", "50-54", "55-59", "60-64", "65-69", "70-74", "75-79", "80-84", "85+")</f>
        <v>65-69</v>
      </c>
      <c r="D4246" t="s">
        <v>7</v>
      </c>
    </row>
    <row r="4247" spans="1:4">
      <c r="A4247" t="s">
        <v>6</v>
      </c>
      <c r="B4247">
        <v>50</v>
      </c>
      <c r="C4247" t="str">
        <f>CHOOSE(MATCH(B4247, {20,25,30,35,40,45,50,55,60,65,70,75,80,85}, 1), "20-24", "25-29", "30-34", "35-39", "40-44", "45-49", "50-54", "55-59", "60-64", "65-69", "70-74", "75-79", "80-84", "85+")</f>
        <v>50-54</v>
      </c>
      <c r="D4247" t="s">
        <v>8</v>
      </c>
    </row>
    <row r="4248" spans="1:4">
      <c r="A4248" t="s">
        <v>6</v>
      </c>
      <c r="B4248">
        <v>58</v>
      </c>
      <c r="C4248" t="str">
        <f>CHOOSE(MATCH(B4248, {20,25,30,35,40,45,50,55,60,65,70,75,80,85}, 1), "20-24", "25-29", "30-34", "35-39", "40-44", "45-49", "50-54", "55-59", "60-64", "65-69", "70-74", "75-79", "80-84", "85+")</f>
        <v>55-59</v>
      </c>
      <c r="D4248" t="s">
        <v>7</v>
      </c>
    </row>
    <row r="4249" spans="1:4">
      <c r="A4249" t="s">
        <v>6</v>
      </c>
      <c r="B4249">
        <v>42</v>
      </c>
      <c r="C4249" t="str">
        <f>CHOOSE(MATCH(B4249, {20,25,30,35,40,45,50,55,60,65,70,75,80,85}, 1), "20-24", "25-29", "30-34", "35-39", "40-44", "45-49", "50-54", "55-59", "60-64", "65-69", "70-74", "75-79", "80-84", "85+")</f>
        <v>40-44</v>
      </c>
      <c r="D4249" t="s">
        <v>8</v>
      </c>
    </row>
    <row r="4250" spans="1:4">
      <c r="A4250" t="s">
        <v>6</v>
      </c>
      <c r="B4250">
        <v>33</v>
      </c>
      <c r="C4250" t="str">
        <f>CHOOSE(MATCH(B4250, {20,25,30,35,40,45,50,55,60,65,70,75,80,85}, 1), "20-24", "25-29", "30-34", "35-39", "40-44", "45-49", "50-54", "55-59", "60-64", "65-69", "70-74", "75-79", "80-84", "85+")</f>
        <v>30-34</v>
      </c>
      <c r="D4250" t="s">
        <v>7</v>
      </c>
    </row>
    <row r="4251" spans="1:4">
      <c r="A4251" t="s">
        <v>6</v>
      </c>
      <c r="B4251">
        <v>32</v>
      </c>
      <c r="C4251" t="str">
        <f>CHOOSE(MATCH(B4251, {20,25,30,35,40,45,50,55,60,65,70,75,80,85}, 1), "20-24", "25-29", "30-34", "35-39", "40-44", "45-49", "50-54", "55-59", "60-64", "65-69", "70-74", "75-79", "80-84", "85+")</f>
        <v>30-34</v>
      </c>
      <c r="D4251" t="s">
        <v>8</v>
      </c>
    </row>
    <row r="4252" spans="1:4">
      <c r="A4252" t="s">
        <v>6</v>
      </c>
      <c r="B4252">
        <v>45</v>
      </c>
      <c r="C4252" t="str">
        <f>CHOOSE(MATCH(B4252, {20,25,30,35,40,45,50,55,60,65,70,75,80,85}, 1), "20-24", "25-29", "30-34", "35-39", "40-44", "45-49", "50-54", "55-59", "60-64", "65-69", "70-74", "75-79", "80-84", "85+")</f>
        <v>45-49</v>
      </c>
      <c r="D4252" t="s">
        <v>8</v>
      </c>
    </row>
    <row r="4253" spans="1:4">
      <c r="A4253" t="s">
        <v>6</v>
      </c>
      <c r="B4253">
        <v>69</v>
      </c>
      <c r="C4253" t="str">
        <f>CHOOSE(MATCH(B4253, {20,25,30,35,40,45,50,55,60,65,70,75,80,85}, 1), "20-24", "25-29", "30-34", "35-39", "40-44", "45-49", "50-54", "55-59", "60-64", "65-69", "70-74", "75-79", "80-84", "85+")</f>
        <v>65-69</v>
      </c>
      <c r="D4253" t="s">
        <v>7</v>
      </c>
    </row>
    <row r="4254" spans="1:4">
      <c r="A4254" t="s">
        <v>6</v>
      </c>
      <c r="B4254">
        <v>39</v>
      </c>
      <c r="C4254" t="str">
        <f>CHOOSE(MATCH(B4254, {20,25,30,35,40,45,50,55,60,65,70,75,80,85}, 1), "20-24", "25-29", "30-34", "35-39", "40-44", "45-49", "50-54", "55-59", "60-64", "65-69", "70-74", "75-79", "80-84", "85+")</f>
        <v>35-39</v>
      </c>
      <c r="D4254" t="s">
        <v>8</v>
      </c>
    </row>
    <row r="4255" spans="1:4">
      <c r="A4255" t="s">
        <v>6</v>
      </c>
      <c r="B4255">
        <v>52</v>
      </c>
      <c r="C4255" t="str">
        <f>CHOOSE(MATCH(B4255, {20,25,30,35,40,45,50,55,60,65,70,75,80,85}, 1), "20-24", "25-29", "30-34", "35-39", "40-44", "45-49", "50-54", "55-59", "60-64", "65-69", "70-74", "75-79", "80-84", "85+")</f>
        <v>50-54</v>
      </c>
      <c r="D4255" t="s">
        <v>8</v>
      </c>
    </row>
    <row r="4256" spans="1:4">
      <c r="A4256" t="s">
        <v>6</v>
      </c>
      <c r="B4256">
        <v>65</v>
      </c>
      <c r="C4256" t="str">
        <f>CHOOSE(MATCH(B4256, {20,25,30,35,40,45,50,55,60,65,70,75,80,85}, 1), "20-24", "25-29", "30-34", "35-39", "40-44", "45-49", "50-54", "55-59", "60-64", "65-69", "70-74", "75-79", "80-84", "85+")</f>
        <v>65-69</v>
      </c>
      <c r="D4256" t="s">
        <v>7</v>
      </c>
    </row>
    <row r="4257" spans="1:4">
      <c r="A4257" t="s">
        <v>6</v>
      </c>
      <c r="B4257">
        <v>48</v>
      </c>
      <c r="C4257" t="str">
        <f>CHOOSE(MATCH(B4257, {20,25,30,35,40,45,50,55,60,65,70,75,80,85}, 1), "20-24", "25-29", "30-34", "35-39", "40-44", "45-49", "50-54", "55-59", "60-64", "65-69", "70-74", "75-79", "80-84", "85+")</f>
        <v>45-49</v>
      </c>
      <c r="D4257" t="s">
        <v>7</v>
      </c>
    </row>
    <row r="4258" spans="1:4">
      <c r="A4258" t="s">
        <v>6</v>
      </c>
      <c r="B4258">
        <v>51</v>
      </c>
      <c r="C4258" t="str">
        <f>CHOOSE(MATCH(B4258, {20,25,30,35,40,45,50,55,60,65,70,75,80,85}, 1), "20-24", "25-29", "30-34", "35-39", "40-44", "45-49", "50-54", "55-59", "60-64", "65-69", "70-74", "75-79", "80-84", "85+")</f>
        <v>50-54</v>
      </c>
      <c r="D4258" t="s">
        <v>8</v>
      </c>
    </row>
    <row r="4259" spans="1:4">
      <c r="A4259" t="s">
        <v>6</v>
      </c>
      <c r="B4259">
        <v>28</v>
      </c>
      <c r="C4259" t="str">
        <f>CHOOSE(MATCH(B4259, {20,25,30,35,40,45,50,55,60,65,70,75,80,85}, 1), "20-24", "25-29", "30-34", "35-39", "40-44", "45-49", "50-54", "55-59", "60-64", "65-69", "70-74", "75-79", "80-84", "85+")</f>
        <v>25-29</v>
      </c>
      <c r="D4259" t="s">
        <v>8</v>
      </c>
    </row>
    <row r="4260" spans="1:4">
      <c r="A4260" t="s">
        <v>6</v>
      </c>
      <c r="B4260">
        <v>32</v>
      </c>
      <c r="C4260" t="str">
        <f>CHOOSE(MATCH(B4260, {20,25,30,35,40,45,50,55,60,65,70,75,80,85}, 1), "20-24", "25-29", "30-34", "35-39", "40-44", "45-49", "50-54", "55-59", "60-64", "65-69", "70-74", "75-79", "80-84", "85+")</f>
        <v>30-34</v>
      </c>
      <c r="D4260" t="s">
        <v>7</v>
      </c>
    </row>
    <row r="4261" spans="1:4">
      <c r="A4261" t="s">
        <v>6</v>
      </c>
      <c r="B4261">
        <v>35</v>
      </c>
      <c r="C4261" t="str">
        <f>CHOOSE(MATCH(B4261, {20,25,30,35,40,45,50,55,60,65,70,75,80,85}, 1), "20-24", "25-29", "30-34", "35-39", "40-44", "45-49", "50-54", "55-59", "60-64", "65-69", "70-74", "75-79", "80-84", "85+")</f>
        <v>35-39</v>
      </c>
      <c r="D4261" t="s">
        <v>7</v>
      </c>
    </row>
    <row r="4262" spans="1:4">
      <c r="A4262" t="s">
        <v>6</v>
      </c>
      <c r="B4262">
        <v>36</v>
      </c>
      <c r="C4262" t="str">
        <f>CHOOSE(MATCH(B4262, {20,25,30,35,40,45,50,55,60,65,70,75,80,85}, 1), "20-24", "25-29", "30-34", "35-39", "40-44", "45-49", "50-54", "55-59", "60-64", "65-69", "70-74", "75-79", "80-84", "85+")</f>
        <v>35-39</v>
      </c>
      <c r="D4262" t="s">
        <v>8</v>
      </c>
    </row>
    <row r="4263" spans="1:4">
      <c r="A4263" t="s">
        <v>6</v>
      </c>
      <c r="B4263">
        <v>29</v>
      </c>
      <c r="C4263" t="str">
        <f>CHOOSE(MATCH(B4263, {20,25,30,35,40,45,50,55,60,65,70,75,80,85}, 1), "20-24", "25-29", "30-34", "35-39", "40-44", "45-49", "50-54", "55-59", "60-64", "65-69", "70-74", "75-79", "80-84", "85+")</f>
        <v>25-29</v>
      </c>
      <c r="D4263" t="s">
        <v>7</v>
      </c>
    </row>
    <row r="4264" spans="1:4">
      <c r="A4264" t="s">
        <v>6</v>
      </c>
      <c r="B4264">
        <v>73</v>
      </c>
      <c r="C4264" t="str">
        <f>CHOOSE(MATCH(B4264, {20,25,30,35,40,45,50,55,60,65,70,75,80,85}, 1), "20-24", "25-29", "30-34", "35-39", "40-44", "45-49", "50-54", "55-59", "60-64", "65-69", "70-74", "75-79", "80-84", "85+")</f>
        <v>70-74</v>
      </c>
      <c r="D4264" t="s">
        <v>7</v>
      </c>
    </row>
    <row r="4265" spans="1:4">
      <c r="A4265" t="s">
        <v>6</v>
      </c>
      <c r="B4265">
        <v>26</v>
      </c>
      <c r="C4265" t="str">
        <f>CHOOSE(MATCH(B4265, {20,25,30,35,40,45,50,55,60,65,70,75,80,85}, 1), "20-24", "25-29", "30-34", "35-39", "40-44", "45-49", "50-54", "55-59", "60-64", "65-69", "70-74", "75-79", "80-84", "85+")</f>
        <v>25-29</v>
      </c>
      <c r="D4265" t="s">
        <v>8</v>
      </c>
    </row>
    <row r="4266" spans="1:4">
      <c r="A4266" t="s">
        <v>6</v>
      </c>
      <c r="B4266">
        <v>25</v>
      </c>
      <c r="C4266" t="str">
        <f>CHOOSE(MATCH(B4266, {20,25,30,35,40,45,50,55,60,65,70,75,80,85}, 1), "20-24", "25-29", "30-34", "35-39", "40-44", "45-49", "50-54", "55-59", "60-64", "65-69", "70-74", "75-79", "80-84", "85+")</f>
        <v>25-29</v>
      </c>
      <c r="D4266" t="s">
        <v>8</v>
      </c>
    </row>
    <row r="4267" spans="1:4">
      <c r="A4267" t="s">
        <v>6</v>
      </c>
      <c r="B4267">
        <v>33</v>
      </c>
      <c r="C4267" t="str">
        <f>CHOOSE(MATCH(B4267, {20,25,30,35,40,45,50,55,60,65,70,75,80,85}, 1), "20-24", "25-29", "30-34", "35-39", "40-44", "45-49", "50-54", "55-59", "60-64", "65-69", "70-74", "75-79", "80-84", "85+")</f>
        <v>30-34</v>
      </c>
      <c r="D4267" t="s">
        <v>7</v>
      </c>
    </row>
    <row r="4268" spans="1:4">
      <c r="A4268" t="s">
        <v>6</v>
      </c>
      <c r="B4268">
        <v>27</v>
      </c>
      <c r="C4268" t="str">
        <f>CHOOSE(MATCH(B4268, {20,25,30,35,40,45,50,55,60,65,70,75,80,85}, 1), "20-24", "25-29", "30-34", "35-39", "40-44", "45-49", "50-54", "55-59", "60-64", "65-69", "70-74", "75-79", "80-84", "85+")</f>
        <v>25-29</v>
      </c>
      <c r="D4268" t="s">
        <v>8</v>
      </c>
    </row>
    <row r="4269" spans="1:4">
      <c r="A4269" t="s">
        <v>6</v>
      </c>
      <c r="B4269">
        <v>38</v>
      </c>
      <c r="C4269" t="str">
        <f>CHOOSE(MATCH(B4269, {20,25,30,35,40,45,50,55,60,65,70,75,80,85}, 1), "20-24", "25-29", "30-34", "35-39", "40-44", "45-49", "50-54", "55-59", "60-64", "65-69", "70-74", "75-79", "80-84", "85+")</f>
        <v>35-39</v>
      </c>
      <c r="D4269" t="s">
        <v>8</v>
      </c>
    </row>
    <row r="4270" spans="1:4">
      <c r="A4270" t="s">
        <v>6</v>
      </c>
      <c r="B4270">
        <v>39</v>
      </c>
      <c r="C4270" t="str">
        <f>CHOOSE(MATCH(B4270, {20,25,30,35,40,45,50,55,60,65,70,75,80,85}, 1), "20-24", "25-29", "30-34", "35-39", "40-44", "45-49", "50-54", "55-59", "60-64", "65-69", "70-74", "75-79", "80-84", "85+")</f>
        <v>35-39</v>
      </c>
      <c r="D4270" t="s">
        <v>8</v>
      </c>
    </row>
    <row r="4271" spans="1:4">
      <c r="A4271" t="s">
        <v>6</v>
      </c>
      <c r="B4271">
        <v>39</v>
      </c>
      <c r="C4271" t="str">
        <f>CHOOSE(MATCH(B4271, {20,25,30,35,40,45,50,55,60,65,70,75,80,85}, 1), "20-24", "25-29", "30-34", "35-39", "40-44", "45-49", "50-54", "55-59", "60-64", "65-69", "70-74", "75-79", "80-84", "85+")</f>
        <v>35-39</v>
      </c>
      <c r="D4271" t="s">
        <v>8</v>
      </c>
    </row>
    <row r="4272" spans="1:4">
      <c r="A4272" t="s">
        <v>6</v>
      </c>
      <c r="B4272">
        <v>38</v>
      </c>
      <c r="C4272" t="str">
        <f>CHOOSE(MATCH(B4272, {20,25,30,35,40,45,50,55,60,65,70,75,80,85}, 1), "20-24", "25-29", "30-34", "35-39", "40-44", "45-49", "50-54", "55-59", "60-64", "65-69", "70-74", "75-79", "80-84", "85+")</f>
        <v>35-39</v>
      </c>
      <c r="D4272" t="s">
        <v>8</v>
      </c>
    </row>
    <row r="4273" spans="1:4">
      <c r="A4273" t="s">
        <v>6</v>
      </c>
      <c r="B4273">
        <v>37</v>
      </c>
      <c r="C4273" t="str">
        <f>CHOOSE(MATCH(B4273, {20,25,30,35,40,45,50,55,60,65,70,75,80,85}, 1), "20-24", "25-29", "30-34", "35-39", "40-44", "45-49", "50-54", "55-59", "60-64", "65-69", "70-74", "75-79", "80-84", "85+")</f>
        <v>35-39</v>
      </c>
      <c r="D4273" t="s">
        <v>7</v>
      </c>
    </row>
    <row r="4274" spans="1:4">
      <c r="A4274" t="s">
        <v>6</v>
      </c>
      <c r="B4274">
        <v>49</v>
      </c>
      <c r="C4274" t="str">
        <f>CHOOSE(MATCH(B4274, {20,25,30,35,40,45,50,55,60,65,70,75,80,85}, 1), "20-24", "25-29", "30-34", "35-39", "40-44", "45-49", "50-54", "55-59", "60-64", "65-69", "70-74", "75-79", "80-84", "85+")</f>
        <v>45-49</v>
      </c>
      <c r="D4274" t="s">
        <v>8</v>
      </c>
    </row>
    <row r="4275" spans="1:4">
      <c r="A4275" t="s">
        <v>6</v>
      </c>
      <c r="B4275">
        <v>27</v>
      </c>
      <c r="C4275" t="str">
        <f>CHOOSE(MATCH(B4275, {20,25,30,35,40,45,50,55,60,65,70,75,80,85}, 1), "20-24", "25-29", "30-34", "35-39", "40-44", "45-49", "50-54", "55-59", "60-64", "65-69", "70-74", "75-79", "80-84", "85+")</f>
        <v>25-29</v>
      </c>
      <c r="D4275" t="s">
        <v>7</v>
      </c>
    </row>
    <row r="4276" spans="1:4">
      <c r="A4276" t="s">
        <v>6</v>
      </c>
      <c r="B4276">
        <v>32</v>
      </c>
      <c r="C4276" t="str">
        <f>CHOOSE(MATCH(B4276, {20,25,30,35,40,45,50,55,60,65,70,75,80,85}, 1), "20-24", "25-29", "30-34", "35-39", "40-44", "45-49", "50-54", "55-59", "60-64", "65-69", "70-74", "75-79", "80-84", "85+")</f>
        <v>30-34</v>
      </c>
      <c r="D4276" t="s">
        <v>7</v>
      </c>
    </row>
    <row r="4277" spans="1:4">
      <c r="A4277" t="s">
        <v>6</v>
      </c>
      <c r="B4277">
        <v>32</v>
      </c>
      <c r="C4277" t="str">
        <f>CHOOSE(MATCH(B4277, {20,25,30,35,40,45,50,55,60,65,70,75,80,85}, 1), "20-24", "25-29", "30-34", "35-39", "40-44", "45-49", "50-54", "55-59", "60-64", "65-69", "70-74", "75-79", "80-84", "85+")</f>
        <v>30-34</v>
      </c>
      <c r="D4277" t="s">
        <v>7</v>
      </c>
    </row>
    <row r="4278" spans="1:4">
      <c r="A4278" t="s">
        <v>6</v>
      </c>
      <c r="B4278">
        <v>62</v>
      </c>
      <c r="C4278" t="str">
        <f>CHOOSE(MATCH(B4278, {20,25,30,35,40,45,50,55,60,65,70,75,80,85}, 1), "20-24", "25-29", "30-34", "35-39", "40-44", "45-49", "50-54", "55-59", "60-64", "65-69", "70-74", "75-79", "80-84", "85+")</f>
        <v>60-64</v>
      </c>
      <c r="D4278" t="s">
        <v>7</v>
      </c>
    </row>
    <row r="4279" spans="1:4">
      <c r="A4279" t="s">
        <v>6</v>
      </c>
      <c r="B4279">
        <v>24</v>
      </c>
      <c r="C4279" t="str">
        <f>CHOOSE(MATCH(B4279, {20,25,30,35,40,45,50,55,60,65,70,75,80,85}, 1), "20-24", "25-29", "30-34", "35-39", "40-44", "45-49", "50-54", "55-59", "60-64", "65-69", "70-74", "75-79", "80-84", "85+")</f>
        <v>20-24</v>
      </c>
      <c r="D4279" t="s">
        <v>8</v>
      </c>
    </row>
    <row r="4280" spans="1:4">
      <c r="A4280" t="s">
        <v>6</v>
      </c>
      <c r="B4280">
        <v>34</v>
      </c>
      <c r="C4280" t="str">
        <f>CHOOSE(MATCH(B4280, {20,25,30,35,40,45,50,55,60,65,70,75,80,85}, 1), "20-24", "25-29", "30-34", "35-39", "40-44", "45-49", "50-54", "55-59", "60-64", "65-69", "70-74", "75-79", "80-84", "85+")</f>
        <v>30-34</v>
      </c>
      <c r="D4280" t="s">
        <v>7</v>
      </c>
    </row>
    <row r="4281" spans="1:4">
      <c r="A4281" t="s">
        <v>6</v>
      </c>
      <c r="B4281">
        <v>43</v>
      </c>
      <c r="C4281" t="str">
        <f>CHOOSE(MATCH(B4281, {20,25,30,35,40,45,50,55,60,65,70,75,80,85}, 1), "20-24", "25-29", "30-34", "35-39", "40-44", "45-49", "50-54", "55-59", "60-64", "65-69", "70-74", "75-79", "80-84", "85+")</f>
        <v>40-44</v>
      </c>
      <c r="D4281" t="s">
        <v>8</v>
      </c>
    </row>
    <row r="4282" spans="1:4">
      <c r="A4282" t="s">
        <v>6</v>
      </c>
      <c r="B4282">
        <v>33</v>
      </c>
      <c r="C4282" t="str">
        <f>CHOOSE(MATCH(B4282, {20,25,30,35,40,45,50,55,60,65,70,75,80,85}, 1), "20-24", "25-29", "30-34", "35-39", "40-44", "45-49", "50-54", "55-59", "60-64", "65-69", "70-74", "75-79", "80-84", "85+")</f>
        <v>30-34</v>
      </c>
      <c r="D4282" t="s">
        <v>7</v>
      </c>
    </row>
    <row r="4283" spans="1:4">
      <c r="A4283" t="s">
        <v>6</v>
      </c>
      <c r="B4283">
        <v>35</v>
      </c>
      <c r="C4283" t="str">
        <f>CHOOSE(MATCH(B4283, {20,25,30,35,40,45,50,55,60,65,70,75,80,85}, 1), "20-24", "25-29", "30-34", "35-39", "40-44", "45-49", "50-54", "55-59", "60-64", "65-69", "70-74", "75-79", "80-84", "85+")</f>
        <v>35-39</v>
      </c>
      <c r="D4283" t="s">
        <v>7</v>
      </c>
    </row>
    <row r="4284" spans="1:4">
      <c r="A4284" t="s">
        <v>6</v>
      </c>
      <c r="B4284">
        <v>53</v>
      </c>
      <c r="C4284" t="str">
        <f>CHOOSE(MATCH(B4284, {20,25,30,35,40,45,50,55,60,65,70,75,80,85}, 1), "20-24", "25-29", "30-34", "35-39", "40-44", "45-49", "50-54", "55-59", "60-64", "65-69", "70-74", "75-79", "80-84", "85+")</f>
        <v>50-54</v>
      </c>
      <c r="D4284" t="s">
        <v>7</v>
      </c>
    </row>
    <row r="4285" spans="1:4">
      <c r="A4285" t="s">
        <v>6</v>
      </c>
      <c r="B4285">
        <v>34</v>
      </c>
      <c r="C4285" t="str">
        <f>CHOOSE(MATCH(B4285, {20,25,30,35,40,45,50,55,60,65,70,75,80,85}, 1), "20-24", "25-29", "30-34", "35-39", "40-44", "45-49", "50-54", "55-59", "60-64", "65-69", "70-74", "75-79", "80-84", "85+")</f>
        <v>30-34</v>
      </c>
      <c r="D4285" t="s">
        <v>7</v>
      </c>
    </row>
    <row r="4286" spans="1:4">
      <c r="A4286" t="s">
        <v>6</v>
      </c>
      <c r="B4286">
        <v>35</v>
      </c>
      <c r="C4286" t="str">
        <f>CHOOSE(MATCH(B4286, {20,25,30,35,40,45,50,55,60,65,70,75,80,85}, 1), "20-24", "25-29", "30-34", "35-39", "40-44", "45-49", "50-54", "55-59", "60-64", "65-69", "70-74", "75-79", "80-84", "85+")</f>
        <v>35-39</v>
      </c>
      <c r="D4286" t="s">
        <v>8</v>
      </c>
    </row>
    <row r="4287" spans="1:4">
      <c r="A4287" t="s">
        <v>6</v>
      </c>
      <c r="B4287">
        <v>48</v>
      </c>
      <c r="C4287" t="str">
        <f>CHOOSE(MATCH(B4287, {20,25,30,35,40,45,50,55,60,65,70,75,80,85}, 1), "20-24", "25-29", "30-34", "35-39", "40-44", "45-49", "50-54", "55-59", "60-64", "65-69", "70-74", "75-79", "80-84", "85+")</f>
        <v>45-49</v>
      </c>
      <c r="D4287" t="s">
        <v>8</v>
      </c>
    </row>
    <row r="4288" spans="1:4">
      <c r="A4288" t="s">
        <v>6</v>
      </c>
      <c r="B4288">
        <v>53</v>
      </c>
      <c r="C4288" t="str">
        <f>CHOOSE(MATCH(B4288, {20,25,30,35,40,45,50,55,60,65,70,75,80,85}, 1), "20-24", "25-29", "30-34", "35-39", "40-44", "45-49", "50-54", "55-59", "60-64", "65-69", "70-74", "75-79", "80-84", "85+")</f>
        <v>50-54</v>
      </c>
      <c r="D4288" t="s">
        <v>7</v>
      </c>
    </row>
    <row r="4289" spans="1:4">
      <c r="A4289" t="s">
        <v>6</v>
      </c>
      <c r="B4289">
        <v>25</v>
      </c>
      <c r="C4289" t="str">
        <f>CHOOSE(MATCH(B4289, {20,25,30,35,40,45,50,55,60,65,70,75,80,85}, 1), "20-24", "25-29", "30-34", "35-39", "40-44", "45-49", "50-54", "55-59", "60-64", "65-69", "70-74", "75-79", "80-84", "85+")</f>
        <v>25-29</v>
      </c>
      <c r="D4289" t="s">
        <v>7</v>
      </c>
    </row>
    <row r="4290" spans="1:4">
      <c r="A4290" t="s">
        <v>6</v>
      </c>
      <c r="B4290">
        <v>31</v>
      </c>
      <c r="C4290" t="str">
        <f>CHOOSE(MATCH(B4290, {20,25,30,35,40,45,50,55,60,65,70,75,80,85}, 1), "20-24", "25-29", "30-34", "35-39", "40-44", "45-49", "50-54", "55-59", "60-64", "65-69", "70-74", "75-79", "80-84", "85+")</f>
        <v>30-34</v>
      </c>
      <c r="D4290" t="s">
        <v>7</v>
      </c>
    </row>
    <row r="4291" spans="1:4">
      <c r="A4291" t="s">
        <v>6</v>
      </c>
      <c r="B4291">
        <v>29</v>
      </c>
      <c r="C4291" t="str">
        <f>CHOOSE(MATCH(B4291, {20,25,30,35,40,45,50,55,60,65,70,75,80,85}, 1), "20-24", "25-29", "30-34", "35-39", "40-44", "45-49", "50-54", "55-59", "60-64", "65-69", "70-74", "75-79", "80-84", "85+")</f>
        <v>25-29</v>
      </c>
      <c r="D4291" t="s">
        <v>7</v>
      </c>
    </row>
    <row r="4292" spans="1:4">
      <c r="A4292" t="s">
        <v>6</v>
      </c>
      <c r="B4292">
        <v>63</v>
      </c>
      <c r="C4292" t="str">
        <f>CHOOSE(MATCH(B4292, {20,25,30,35,40,45,50,55,60,65,70,75,80,85}, 1), "20-24", "25-29", "30-34", "35-39", "40-44", "45-49", "50-54", "55-59", "60-64", "65-69", "70-74", "75-79", "80-84", "85+")</f>
        <v>60-64</v>
      </c>
      <c r="D4292" t="s">
        <v>7</v>
      </c>
    </row>
    <row r="4293" spans="1:4">
      <c r="A4293" t="s">
        <v>6</v>
      </c>
      <c r="B4293">
        <v>37</v>
      </c>
      <c r="C4293" t="str">
        <f>CHOOSE(MATCH(B4293, {20,25,30,35,40,45,50,55,60,65,70,75,80,85}, 1), "20-24", "25-29", "30-34", "35-39", "40-44", "45-49", "50-54", "55-59", "60-64", "65-69", "70-74", "75-79", "80-84", "85+")</f>
        <v>35-39</v>
      </c>
      <c r="D4293" t="s">
        <v>7</v>
      </c>
    </row>
    <row r="4294" spans="1:4">
      <c r="A4294" t="s">
        <v>6</v>
      </c>
      <c r="B4294">
        <v>44</v>
      </c>
      <c r="C4294" t="str">
        <f>CHOOSE(MATCH(B4294, {20,25,30,35,40,45,50,55,60,65,70,75,80,85}, 1), "20-24", "25-29", "30-34", "35-39", "40-44", "45-49", "50-54", "55-59", "60-64", "65-69", "70-74", "75-79", "80-84", "85+")</f>
        <v>40-44</v>
      </c>
      <c r="D4294" t="s">
        <v>8</v>
      </c>
    </row>
    <row r="4295" spans="1:4">
      <c r="A4295" t="s">
        <v>6</v>
      </c>
      <c r="B4295">
        <v>39</v>
      </c>
      <c r="C4295" t="str">
        <f>CHOOSE(MATCH(B4295, {20,25,30,35,40,45,50,55,60,65,70,75,80,85}, 1), "20-24", "25-29", "30-34", "35-39", "40-44", "45-49", "50-54", "55-59", "60-64", "65-69", "70-74", "75-79", "80-84", "85+")</f>
        <v>35-39</v>
      </c>
      <c r="D4295" t="s">
        <v>7</v>
      </c>
    </row>
    <row r="4296" spans="1:4">
      <c r="A4296" t="s">
        <v>6</v>
      </c>
      <c r="B4296">
        <v>69</v>
      </c>
      <c r="C4296" t="str">
        <f>CHOOSE(MATCH(B4296, {20,25,30,35,40,45,50,55,60,65,70,75,80,85}, 1), "20-24", "25-29", "30-34", "35-39", "40-44", "45-49", "50-54", "55-59", "60-64", "65-69", "70-74", "75-79", "80-84", "85+")</f>
        <v>65-69</v>
      </c>
      <c r="D4296" t="s">
        <v>8</v>
      </c>
    </row>
    <row r="4297" spans="1:4">
      <c r="A4297" t="s">
        <v>6</v>
      </c>
      <c r="B4297">
        <v>22</v>
      </c>
      <c r="C4297" t="str">
        <f>CHOOSE(MATCH(B4297, {20,25,30,35,40,45,50,55,60,65,70,75,80,85}, 1), "20-24", "25-29", "30-34", "35-39", "40-44", "45-49", "50-54", "55-59", "60-64", "65-69", "70-74", "75-79", "80-84", "85+")</f>
        <v>20-24</v>
      </c>
      <c r="D4297" t="s">
        <v>8</v>
      </c>
    </row>
    <row r="4298" spans="1:4">
      <c r="A4298" t="s">
        <v>6</v>
      </c>
      <c r="B4298">
        <v>33</v>
      </c>
      <c r="C4298" t="str">
        <f>CHOOSE(MATCH(B4298, {20,25,30,35,40,45,50,55,60,65,70,75,80,85}, 1), "20-24", "25-29", "30-34", "35-39", "40-44", "45-49", "50-54", "55-59", "60-64", "65-69", "70-74", "75-79", "80-84", "85+")</f>
        <v>30-34</v>
      </c>
      <c r="D4298" t="s">
        <v>8</v>
      </c>
    </row>
    <row r="4299" spans="1:4">
      <c r="A4299" t="s">
        <v>6</v>
      </c>
      <c r="B4299">
        <v>28</v>
      </c>
      <c r="C4299" t="str">
        <f>CHOOSE(MATCH(B4299, {20,25,30,35,40,45,50,55,60,65,70,75,80,85}, 1), "20-24", "25-29", "30-34", "35-39", "40-44", "45-49", "50-54", "55-59", "60-64", "65-69", "70-74", "75-79", "80-84", "85+")</f>
        <v>25-29</v>
      </c>
      <c r="D4299" t="s">
        <v>7</v>
      </c>
    </row>
    <row r="4300" spans="1:4">
      <c r="A4300" t="s">
        <v>6</v>
      </c>
      <c r="B4300">
        <v>41</v>
      </c>
      <c r="C4300" t="str">
        <f>CHOOSE(MATCH(B4300, {20,25,30,35,40,45,50,55,60,65,70,75,80,85}, 1), "20-24", "25-29", "30-34", "35-39", "40-44", "45-49", "50-54", "55-59", "60-64", "65-69", "70-74", "75-79", "80-84", "85+")</f>
        <v>40-44</v>
      </c>
      <c r="D4300" t="s">
        <v>8</v>
      </c>
    </row>
    <row r="4301" spans="1:4">
      <c r="A4301" t="s">
        <v>6</v>
      </c>
      <c r="B4301">
        <v>38</v>
      </c>
      <c r="C4301" t="str">
        <f>CHOOSE(MATCH(B4301, {20,25,30,35,40,45,50,55,60,65,70,75,80,85}, 1), "20-24", "25-29", "30-34", "35-39", "40-44", "45-49", "50-54", "55-59", "60-64", "65-69", "70-74", "75-79", "80-84", "85+")</f>
        <v>35-39</v>
      </c>
      <c r="D4301" t="s">
        <v>8</v>
      </c>
    </row>
    <row r="4302" spans="1:4">
      <c r="A4302" t="s">
        <v>6</v>
      </c>
      <c r="B4302">
        <v>44</v>
      </c>
      <c r="C4302" t="str">
        <f>CHOOSE(MATCH(B4302, {20,25,30,35,40,45,50,55,60,65,70,75,80,85}, 1), "20-24", "25-29", "30-34", "35-39", "40-44", "45-49", "50-54", "55-59", "60-64", "65-69", "70-74", "75-79", "80-84", "85+")</f>
        <v>40-44</v>
      </c>
      <c r="D4302" t="s">
        <v>7</v>
      </c>
    </row>
    <row r="4303" spans="1:4">
      <c r="A4303" t="s">
        <v>6</v>
      </c>
      <c r="B4303">
        <v>65</v>
      </c>
      <c r="C4303" t="str">
        <f>CHOOSE(MATCH(B4303, {20,25,30,35,40,45,50,55,60,65,70,75,80,85}, 1), "20-24", "25-29", "30-34", "35-39", "40-44", "45-49", "50-54", "55-59", "60-64", "65-69", "70-74", "75-79", "80-84", "85+")</f>
        <v>65-69</v>
      </c>
      <c r="D4303" t="s">
        <v>8</v>
      </c>
    </row>
    <row r="4304" spans="1:4">
      <c r="A4304" t="s">
        <v>6</v>
      </c>
      <c r="B4304">
        <v>26</v>
      </c>
      <c r="C4304" t="str">
        <f>CHOOSE(MATCH(B4304, {20,25,30,35,40,45,50,55,60,65,70,75,80,85}, 1), "20-24", "25-29", "30-34", "35-39", "40-44", "45-49", "50-54", "55-59", "60-64", "65-69", "70-74", "75-79", "80-84", "85+")</f>
        <v>25-29</v>
      </c>
      <c r="D4304" t="s">
        <v>7</v>
      </c>
    </row>
    <row r="4305" spans="1:4">
      <c r="A4305" t="s">
        <v>6</v>
      </c>
      <c r="B4305">
        <v>24</v>
      </c>
      <c r="C4305" t="str">
        <f>CHOOSE(MATCH(B4305, {20,25,30,35,40,45,50,55,60,65,70,75,80,85}, 1), "20-24", "25-29", "30-34", "35-39", "40-44", "45-49", "50-54", "55-59", "60-64", "65-69", "70-74", "75-79", "80-84", "85+")</f>
        <v>20-24</v>
      </c>
      <c r="D4305" t="s">
        <v>8</v>
      </c>
    </row>
    <row r="4306" spans="1:4">
      <c r="A4306" t="s">
        <v>6</v>
      </c>
      <c r="B4306">
        <v>65</v>
      </c>
      <c r="C4306" t="str">
        <f>CHOOSE(MATCH(B4306, {20,25,30,35,40,45,50,55,60,65,70,75,80,85}, 1), "20-24", "25-29", "30-34", "35-39", "40-44", "45-49", "50-54", "55-59", "60-64", "65-69", "70-74", "75-79", "80-84", "85+")</f>
        <v>65-69</v>
      </c>
      <c r="D4306" t="s">
        <v>8</v>
      </c>
    </row>
    <row r="4307" spans="1:4">
      <c r="A4307" t="s">
        <v>6</v>
      </c>
      <c r="B4307">
        <v>44</v>
      </c>
      <c r="C4307" t="str">
        <f>CHOOSE(MATCH(B4307, {20,25,30,35,40,45,50,55,60,65,70,75,80,85}, 1), "20-24", "25-29", "30-34", "35-39", "40-44", "45-49", "50-54", "55-59", "60-64", "65-69", "70-74", "75-79", "80-84", "85+")</f>
        <v>40-44</v>
      </c>
      <c r="D4307" t="s">
        <v>7</v>
      </c>
    </row>
    <row r="4308" spans="1:4">
      <c r="A4308" t="s">
        <v>6</v>
      </c>
      <c r="B4308">
        <v>42</v>
      </c>
      <c r="C4308" t="str">
        <f>CHOOSE(MATCH(B4308, {20,25,30,35,40,45,50,55,60,65,70,75,80,85}, 1), "20-24", "25-29", "30-34", "35-39", "40-44", "45-49", "50-54", "55-59", "60-64", "65-69", "70-74", "75-79", "80-84", "85+")</f>
        <v>40-44</v>
      </c>
      <c r="D4308" t="s">
        <v>7</v>
      </c>
    </row>
    <row r="4309" spans="1:4">
      <c r="A4309" t="s">
        <v>6</v>
      </c>
      <c r="B4309">
        <v>23</v>
      </c>
      <c r="C4309" t="str">
        <f>CHOOSE(MATCH(B4309, {20,25,30,35,40,45,50,55,60,65,70,75,80,85}, 1), "20-24", "25-29", "30-34", "35-39", "40-44", "45-49", "50-54", "55-59", "60-64", "65-69", "70-74", "75-79", "80-84", "85+")</f>
        <v>20-24</v>
      </c>
      <c r="D4309" t="s">
        <v>8</v>
      </c>
    </row>
    <row r="4310" spans="1:4">
      <c r="A4310" t="s">
        <v>6</v>
      </c>
      <c r="B4310">
        <v>53</v>
      </c>
      <c r="C4310" t="str">
        <f>CHOOSE(MATCH(B4310, {20,25,30,35,40,45,50,55,60,65,70,75,80,85}, 1), "20-24", "25-29", "30-34", "35-39", "40-44", "45-49", "50-54", "55-59", "60-64", "65-69", "70-74", "75-79", "80-84", "85+")</f>
        <v>50-54</v>
      </c>
      <c r="D4310" t="s">
        <v>7</v>
      </c>
    </row>
    <row r="4311" spans="1:4">
      <c r="A4311" t="s">
        <v>6</v>
      </c>
      <c r="B4311">
        <v>31</v>
      </c>
      <c r="C4311" t="str">
        <f>CHOOSE(MATCH(B4311, {20,25,30,35,40,45,50,55,60,65,70,75,80,85}, 1), "20-24", "25-29", "30-34", "35-39", "40-44", "45-49", "50-54", "55-59", "60-64", "65-69", "70-74", "75-79", "80-84", "85+")</f>
        <v>30-34</v>
      </c>
      <c r="D4311" t="s">
        <v>7</v>
      </c>
    </row>
    <row r="4312" spans="1:4">
      <c r="A4312" t="s">
        <v>6</v>
      </c>
      <c r="B4312">
        <v>38</v>
      </c>
      <c r="C4312" t="str">
        <f>CHOOSE(MATCH(B4312, {20,25,30,35,40,45,50,55,60,65,70,75,80,85}, 1), "20-24", "25-29", "30-34", "35-39", "40-44", "45-49", "50-54", "55-59", "60-64", "65-69", "70-74", "75-79", "80-84", "85+")</f>
        <v>35-39</v>
      </c>
      <c r="D4312" t="s">
        <v>8</v>
      </c>
    </row>
    <row r="4313" spans="1:4">
      <c r="A4313" t="s">
        <v>6</v>
      </c>
      <c r="B4313">
        <v>45</v>
      </c>
      <c r="C4313" t="str">
        <f>CHOOSE(MATCH(B4313, {20,25,30,35,40,45,50,55,60,65,70,75,80,85}, 1), "20-24", "25-29", "30-34", "35-39", "40-44", "45-49", "50-54", "55-59", "60-64", "65-69", "70-74", "75-79", "80-84", "85+")</f>
        <v>45-49</v>
      </c>
      <c r="D4313" t="s">
        <v>7</v>
      </c>
    </row>
    <row r="4314" spans="1:4">
      <c r="A4314" t="s">
        <v>6</v>
      </c>
      <c r="B4314">
        <v>30</v>
      </c>
      <c r="C4314" t="str">
        <f>CHOOSE(MATCH(B4314, {20,25,30,35,40,45,50,55,60,65,70,75,80,85}, 1), "20-24", "25-29", "30-34", "35-39", "40-44", "45-49", "50-54", "55-59", "60-64", "65-69", "70-74", "75-79", "80-84", "85+")</f>
        <v>30-34</v>
      </c>
      <c r="D4314" t="s">
        <v>8</v>
      </c>
    </row>
    <row r="4315" spans="1:4">
      <c r="A4315" t="s">
        <v>6</v>
      </c>
      <c r="B4315">
        <v>49</v>
      </c>
      <c r="C4315" t="str">
        <f>CHOOSE(MATCH(B4315, {20,25,30,35,40,45,50,55,60,65,70,75,80,85}, 1), "20-24", "25-29", "30-34", "35-39", "40-44", "45-49", "50-54", "55-59", "60-64", "65-69", "70-74", "75-79", "80-84", "85+")</f>
        <v>45-49</v>
      </c>
      <c r="D4315" t="s">
        <v>7</v>
      </c>
    </row>
    <row r="4316" spans="1:4">
      <c r="A4316" t="s">
        <v>6</v>
      </c>
      <c r="B4316">
        <v>40</v>
      </c>
      <c r="C4316" t="str">
        <f>CHOOSE(MATCH(B4316, {20,25,30,35,40,45,50,55,60,65,70,75,80,85}, 1), "20-24", "25-29", "30-34", "35-39", "40-44", "45-49", "50-54", "55-59", "60-64", "65-69", "70-74", "75-79", "80-84", "85+")</f>
        <v>40-44</v>
      </c>
      <c r="D4316" t="s">
        <v>7</v>
      </c>
    </row>
    <row r="4317" spans="1:4">
      <c r="A4317" t="s">
        <v>6</v>
      </c>
      <c r="B4317">
        <v>23</v>
      </c>
      <c r="C4317" t="str">
        <f>CHOOSE(MATCH(B4317, {20,25,30,35,40,45,50,55,60,65,70,75,80,85}, 1), "20-24", "25-29", "30-34", "35-39", "40-44", "45-49", "50-54", "55-59", "60-64", "65-69", "70-74", "75-79", "80-84", "85+")</f>
        <v>20-24</v>
      </c>
      <c r="D4317" t="s">
        <v>7</v>
      </c>
    </row>
    <row r="4318" spans="1:4">
      <c r="A4318" t="s">
        <v>6</v>
      </c>
      <c r="B4318">
        <v>67</v>
      </c>
      <c r="C4318" t="str">
        <f>CHOOSE(MATCH(B4318, {20,25,30,35,40,45,50,55,60,65,70,75,80,85}, 1), "20-24", "25-29", "30-34", "35-39", "40-44", "45-49", "50-54", "55-59", "60-64", "65-69", "70-74", "75-79", "80-84", "85+")</f>
        <v>65-69</v>
      </c>
      <c r="D4318" t="s">
        <v>7</v>
      </c>
    </row>
    <row r="4319" spans="1:4">
      <c r="A4319" t="s">
        <v>6</v>
      </c>
      <c r="B4319">
        <v>44</v>
      </c>
      <c r="C4319" t="str">
        <f>CHOOSE(MATCH(B4319, {20,25,30,35,40,45,50,55,60,65,70,75,80,85}, 1), "20-24", "25-29", "30-34", "35-39", "40-44", "45-49", "50-54", "55-59", "60-64", "65-69", "70-74", "75-79", "80-84", "85+")</f>
        <v>40-44</v>
      </c>
      <c r="D4319" t="s">
        <v>7</v>
      </c>
    </row>
    <row r="4320" spans="1:4">
      <c r="A4320" t="s">
        <v>6</v>
      </c>
      <c r="B4320">
        <v>51</v>
      </c>
      <c r="C4320" t="str">
        <f>CHOOSE(MATCH(B4320, {20,25,30,35,40,45,50,55,60,65,70,75,80,85}, 1), "20-24", "25-29", "30-34", "35-39", "40-44", "45-49", "50-54", "55-59", "60-64", "65-69", "70-74", "75-79", "80-84", "85+")</f>
        <v>50-54</v>
      </c>
      <c r="D4320" t="s">
        <v>7</v>
      </c>
    </row>
    <row r="4321" spans="1:4">
      <c r="A4321" t="s">
        <v>6</v>
      </c>
      <c r="B4321">
        <v>24</v>
      </c>
      <c r="C4321" t="str">
        <f>CHOOSE(MATCH(B4321, {20,25,30,35,40,45,50,55,60,65,70,75,80,85}, 1), "20-24", "25-29", "30-34", "35-39", "40-44", "45-49", "50-54", "55-59", "60-64", "65-69", "70-74", "75-79", "80-84", "85+")</f>
        <v>20-24</v>
      </c>
      <c r="D4321" t="s">
        <v>8</v>
      </c>
    </row>
    <row r="4322" spans="1:4">
      <c r="A4322" t="s">
        <v>6</v>
      </c>
      <c r="B4322">
        <v>37</v>
      </c>
      <c r="C4322" t="str">
        <f>CHOOSE(MATCH(B4322, {20,25,30,35,40,45,50,55,60,65,70,75,80,85}, 1), "20-24", "25-29", "30-34", "35-39", "40-44", "45-49", "50-54", "55-59", "60-64", "65-69", "70-74", "75-79", "80-84", "85+")</f>
        <v>35-39</v>
      </c>
      <c r="D4322" t="s">
        <v>8</v>
      </c>
    </row>
    <row r="4323" spans="1:4">
      <c r="A4323" t="s">
        <v>6</v>
      </c>
      <c r="B4323">
        <v>44</v>
      </c>
      <c r="C4323" t="str">
        <f>CHOOSE(MATCH(B4323, {20,25,30,35,40,45,50,55,60,65,70,75,80,85}, 1), "20-24", "25-29", "30-34", "35-39", "40-44", "45-49", "50-54", "55-59", "60-64", "65-69", "70-74", "75-79", "80-84", "85+")</f>
        <v>40-44</v>
      </c>
      <c r="D4323" t="s">
        <v>8</v>
      </c>
    </row>
    <row r="4324" spans="1:4">
      <c r="A4324" t="s">
        <v>6</v>
      </c>
      <c r="B4324">
        <v>29</v>
      </c>
      <c r="C4324" t="str">
        <f>CHOOSE(MATCH(B4324, {20,25,30,35,40,45,50,55,60,65,70,75,80,85}, 1), "20-24", "25-29", "30-34", "35-39", "40-44", "45-49", "50-54", "55-59", "60-64", "65-69", "70-74", "75-79", "80-84", "85+")</f>
        <v>25-29</v>
      </c>
      <c r="D4324" t="s">
        <v>8</v>
      </c>
    </row>
    <row r="4325" spans="1:4">
      <c r="A4325" t="s">
        <v>6</v>
      </c>
      <c r="B4325">
        <v>40</v>
      </c>
      <c r="C4325" t="str">
        <f>CHOOSE(MATCH(B4325, {20,25,30,35,40,45,50,55,60,65,70,75,80,85}, 1), "20-24", "25-29", "30-34", "35-39", "40-44", "45-49", "50-54", "55-59", "60-64", "65-69", "70-74", "75-79", "80-84", "85+")</f>
        <v>40-44</v>
      </c>
      <c r="D4325" t="s">
        <v>7</v>
      </c>
    </row>
    <row r="4326" spans="1:4">
      <c r="A4326" t="s">
        <v>6</v>
      </c>
      <c r="B4326">
        <v>27</v>
      </c>
      <c r="C4326" t="str">
        <f>CHOOSE(MATCH(B4326, {20,25,30,35,40,45,50,55,60,65,70,75,80,85}, 1), "20-24", "25-29", "30-34", "35-39", "40-44", "45-49", "50-54", "55-59", "60-64", "65-69", "70-74", "75-79", "80-84", "85+")</f>
        <v>25-29</v>
      </c>
      <c r="D4326" t="s">
        <v>8</v>
      </c>
    </row>
    <row r="4327" spans="1:4">
      <c r="A4327" t="s">
        <v>6</v>
      </c>
      <c r="B4327">
        <v>47</v>
      </c>
      <c r="C4327" t="str">
        <f>CHOOSE(MATCH(B4327, {20,25,30,35,40,45,50,55,60,65,70,75,80,85}, 1), "20-24", "25-29", "30-34", "35-39", "40-44", "45-49", "50-54", "55-59", "60-64", "65-69", "70-74", "75-79", "80-84", "85+")</f>
        <v>45-49</v>
      </c>
      <c r="D4327" t="s">
        <v>7</v>
      </c>
    </row>
    <row r="4328" spans="1:4">
      <c r="A4328" t="s">
        <v>6</v>
      </c>
      <c r="B4328">
        <v>36</v>
      </c>
      <c r="C4328" t="str">
        <f>CHOOSE(MATCH(B4328, {20,25,30,35,40,45,50,55,60,65,70,75,80,85}, 1), "20-24", "25-29", "30-34", "35-39", "40-44", "45-49", "50-54", "55-59", "60-64", "65-69", "70-74", "75-79", "80-84", "85+")</f>
        <v>35-39</v>
      </c>
      <c r="D4328" t="s">
        <v>7</v>
      </c>
    </row>
    <row r="4329" spans="1:4">
      <c r="A4329" t="s">
        <v>6</v>
      </c>
      <c r="B4329">
        <v>35</v>
      </c>
      <c r="C4329" t="str">
        <f>CHOOSE(MATCH(B4329, {20,25,30,35,40,45,50,55,60,65,70,75,80,85}, 1), "20-24", "25-29", "30-34", "35-39", "40-44", "45-49", "50-54", "55-59", "60-64", "65-69", "70-74", "75-79", "80-84", "85+")</f>
        <v>35-39</v>
      </c>
      <c r="D4329" t="s">
        <v>8</v>
      </c>
    </row>
    <row r="4330" spans="1:4">
      <c r="A4330" t="s">
        <v>6</v>
      </c>
      <c r="B4330">
        <v>34</v>
      </c>
      <c r="C4330" t="str">
        <f>CHOOSE(MATCH(B4330, {20,25,30,35,40,45,50,55,60,65,70,75,80,85}, 1), "20-24", "25-29", "30-34", "35-39", "40-44", "45-49", "50-54", "55-59", "60-64", "65-69", "70-74", "75-79", "80-84", "85+")</f>
        <v>30-34</v>
      </c>
      <c r="D4330" t="s">
        <v>7</v>
      </c>
    </row>
    <row r="4331" spans="1:4">
      <c r="A4331" t="s">
        <v>6</v>
      </c>
      <c r="B4331">
        <v>63</v>
      </c>
      <c r="C4331" t="str">
        <f>CHOOSE(MATCH(B4331, {20,25,30,35,40,45,50,55,60,65,70,75,80,85}, 1), "20-24", "25-29", "30-34", "35-39", "40-44", "45-49", "50-54", "55-59", "60-64", "65-69", "70-74", "75-79", "80-84", "85+")</f>
        <v>60-64</v>
      </c>
      <c r="D4331" t="s">
        <v>8</v>
      </c>
    </row>
    <row r="4332" spans="1:4">
      <c r="A4332" t="s">
        <v>6</v>
      </c>
      <c r="B4332">
        <v>23</v>
      </c>
      <c r="C4332" t="str">
        <f>CHOOSE(MATCH(B4332, {20,25,30,35,40,45,50,55,60,65,70,75,80,85}, 1), "20-24", "25-29", "30-34", "35-39", "40-44", "45-49", "50-54", "55-59", "60-64", "65-69", "70-74", "75-79", "80-84", "85+")</f>
        <v>20-24</v>
      </c>
      <c r="D4332" t="s">
        <v>8</v>
      </c>
    </row>
    <row r="4333" spans="1:4">
      <c r="A4333" t="s">
        <v>6</v>
      </c>
      <c r="B4333">
        <v>69</v>
      </c>
      <c r="C4333" t="str">
        <f>CHOOSE(MATCH(B4333, {20,25,30,35,40,45,50,55,60,65,70,75,80,85}, 1), "20-24", "25-29", "30-34", "35-39", "40-44", "45-49", "50-54", "55-59", "60-64", "65-69", "70-74", "75-79", "80-84", "85+")</f>
        <v>65-69</v>
      </c>
      <c r="D4333" t="s">
        <v>8</v>
      </c>
    </row>
    <row r="4334" spans="1:4">
      <c r="A4334" t="s">
        <v>6</v>
      </c>
      <c r="B4334">
        <v>66</v>
      </c>
      <c r="C4334" t="str">
        <f>CHOOSE(MATCH(B4334, {20,25,30,35,40,45,50,55,60,65,70,75,80,85}, 1), "20-24", "25-29", "30-34", "35-39", "40-44", "45-49", "50-54", "55-59", "60-64", "65-69", "70-74", "75-79", "80-84", "85+")</f>
        <v>65-69</v>
      </c>
      <c r="D4334" t="s">
        <v>7</v>
      </c>
    </row>
    <row r="4335" spans="1:4">
      <c r="A4335" t="s">
        <v>6</v>
      </c>
      <c r="B4335">
        <v>54</v>
      </c>
      <c r="C4335" t="str">
        <f>CHOOSE(MATCH(B4335, {20,25,30,35,40,45,50,55,60,65,70,75,80,85}, 1), "20-24", "25-29", "30-34", "35-39", "40-44", "45-49", "50-54", "55-59", "60-64", "65-69", "70-74", "75-79", "80-84", "85+")</f>
        <v>50-54</v>
      </c>
      <c r="D4335" t="s">
        <v>7</v>
      </c>
    </row>
    <row r="4336" spans="1:4">
      <c r="A4336" t="s">
        <v>6</v>
      </c>
      <c r="B4336">
        <v>37</v>
      </c>
      <c r="C4336" t="str">
        <f>CHOOSE(MATCH(B4336, {20,25,30,35,40,45,50,55,60,65,70,75,80,85}, 1), "20-24", "25-29", "30-34", "35-39", "40-44", "45-49", "50-54", "55-59", "60-64", "65-69", "70-74", "75-79", "80-84", "85+")</f>
        <v>35-39</v>
      </c>
      <c r="D4336" t="s">
        <v>7</v>
      </c>
    </row>
    <row r="4337" spans="1:4">
      <c r="A4337" t="s">
        <v>6</v>
      </c>
      <c r="B4337">
        <v>32</v>
      </c>
      <c r="C4337" t="str">
        <f>CHOOSE(MATCH(B4337, {20,25,30,35,40,45,50,55,60,65,70,75,80,85}, 1), "20-24", "25-29", "30-34", "35-39", "40-44", "45-49", "50-54", "55-59", "60-64", "65-69", "70-74", "75-79", "80-84", "85+")</f>
        <v>30-34</v>
      </c>
      <c r="D4337" t="s">
        <v>8</v>
      </c>
    </row>
    <row r="4338" spans="1:4">
      <c r="A4338" t="s">
        <v>6</v>
      </c>
      <c r="B4338">
        <v>40</v>
      </c>
      <c r="C4338" t="str">
        <f>CHOOSE(MATCH(B4338, {20,25,30,35,40,45,50,55,60,65,70,75,80,85}, 1), "20-24", "25-29", "30-34", "35-39", "40-44", "45-49", "50-54", "55-59", "60-64", "65-69", "70-74", "75-79", "80-84", "85+")</f>
        <v>40-44</v>
      </c>
      <c r="D4338" t="s">
        <v>7</v>
      </c>
    </row>
    <row r="4339" spans="1:4">
      <c r="A4339" t="s">
        <v>6</v>
      </c>
      <c r="B4339">
        <v>28</v>
      </c>
      <c r="C4339" t="str">
        <f>CHOOSE(MATCH(B4339, {20,25,30,35,40,45,50,55,60,65,70,75,80,85}, 1), "20-24", "25-29", "30-34", "35-39", "40-44", "45-49", "50-54", "55-59", "60-64", "65-69", "70-74", "75-79", "80-84", "85+")</f>
        <v>25-29</v>
      </c>
      <c r="D4339" t="s">
        <v>7</v>
      </c>
    </row>
    <row r="4340" spans="1:4">
      <c r="A4340" t="s">
        <v>6</v>
      </c>
      <c r="B4340">
        <v>51</v>
      </c>
      <c r="C4340" t="str">
        <f>CHOOSE(MATCH(B4340, {20,25,30,35,40,45,50,55,60,65,70,75,80,85}, 1), "20-24", "25-29", "30-34", "35-39", "40-44", "45-49", "50-54", "55-59", "60-64", "65-69", "70-74", "75-79", "80-84", "85+")</f>
        <v>50-54</v>
      </c>
      <c r="D4340" t="s">
        <v>7</v>
      </c>
    </row>
    <row r="4341" spans="1:4">
      <c r="A4341" t="s">
        <v>6</v>
      </c>
      <c r="B4341">
        <v>29</v>
      </c>
      <c r="C4341" t="str">
        <f>CHOOSE(MATCH(B4341, {20,25,30,35,40,45,50,55,60,65,70,75,80,85}, 1), "20-24", "25-29", "30-34", "35-39", "40-44", "45-49", "50-54", "55-59", "60-64", "65-69", "70-74", "75-79", "80-84", "85+")</f>
        <v>25-29</v>
      </c>
      <c r="D4341" t="s">
        <v>8</v>
      </c>
    </row>
    <row r="4342" spans="1:4">
      <c r="A4342" t="s">
        <v>6</v>
      </c>
      <c r="B4342">
        <v>34</v>
      </c>
      <c r="C4342" t="str">
        <f>CHOOSE(MATCH(B4342, {20,25,30,35,40,45,50,55,60,65,70,75,80,85}, 1), "20-24", "25-29", "30-34", "35-39", "40-44", "45-49", "50-54", "55-59", "60-64", "65-69", "70-74", "75-79", "80-84", "85+")</f>
        <v>30-34</v>
      </c>
      <c r="D4342" t="s">
        <v>8</v>
      </c>
    </row>
    <row r="4343" spans="1:4">
      <c r="A4343" t="s">
        <v>6</v>
      </c>
      <c r="B4343">
        <v>29</v>
      </c>
      <c r="C4343" t="str">
        <f>CHOOSE(MATCH(B4343, {20,25,30,35,40,45,50,55,60,65,70,75,80,85}, 1), "20-24", "25-29", "30-34", "35-39", "40-44", "45-49", "50-54", "55-59", "60-64", "65-69", "70-74", "75-79", "80-84", "85+")</f>
        <v>25-29</v>
      </c>
      <c r="D4343" t="s">
        <v>7</v>
      </c>
    </row>
    <row r="4344" spans="1:4">
      <c r="A4344" t="s">
        <v>6</v>
      </c>
      <c r="B4344">
        <v>67</v>
      </c>
      <c r="C4344" t="str">
        <f>CHOOSE(MATCH(B4344, {20,25,30,35,40,45,50,55,60,65,70,75,80,85}, 1), "20-24", "25-29", "30-34", "35-39", "40-44", "45-49", "50-54", "55-59", "60-64", "65-69", "70-74", "75-79", "80-84", "85+")</f>
        <v>65-69</v>
      </c>
      <c r="D4344" t="s">
        <v>7</v>
      </c>
    </row>
    <row r="4345" spans="1:4">
      <c r="A4345" t="s">
        <v>6</v>
      </c>
      <c r="B4345">
        <v>26</v>
      </c>
      <c r="C4345" t="str">
        <f>CHOOSE(MATCH(B4345, {20,25,30,35,40,45,50,55,60,65,70,75,80,85}, 1), "20-24", "25-29", "30-34", "35-39", "40-44", "45-49", "50-54", "55-59", "60-64", "65-69", "70-74", "75-79", "80-84", "85+")</f>
        <v>25-29</v>
      </c>
      <c r="D4345" t="s">
        <v>8</v>
      </c>
    </row>
    <row r="4346" spans="1:4">
      <c r="A4346" t="s">
        <v>6</v>
      </c>
      <c r="B4346">
        <v>22</v>
      </c>
      <c r="C4346" t="str">
        <f>CHOOSE(MATCH(B4346, {20,25,30,35,40,45,50,55,60,65,70,75,80,85}, 1), "20-24", "25-29", "30-34", "35-39", "40-44", "45-49", "50-54", "55-59", "60-64", "65-69", "70-74", "75-79", "80-84", "85+")</f>
        <v>20-24</v>
      </c>
      <c r="D4346" t="s">
        <v>7</v>
      </c>
    </row>
    <row r="4347" spans="1:4">
      <c r="A4347" t="s">
        <v>6</v>
      </c>
      <c r="B4347">
        <v>23</v>
      </c>
      <c r="C4347" t="str">
        <f>CHOOSE(MATCH(B4347, {20,25,30,35,40,45,50,55,60,65,70,75,80,85}, 1), "20-24", "25-29", "30-34", "35-39", "40-44", "45-49", "50-54", "55-59", "60-64", "65-69", "70-74", "75-79", "80-84", "85+")</f>
        <v>20-24</v>
      </c>
      <c r="D4347" t="s">
        <v>7</v>
      </c>
    </row>
    <row r="4348" spans="1:4">
      <c r="A4348" t="s">
        <v>6</v>
      </c>
      <c r="B4348">
        <v>66</v>
      </c>
      <c r="C4348" t="str">
        <f>CHOOSE(MATCH(B4348, {20,25,30,35,40,45,50,55,60,65,70,75,80,85}, 1), "20-24", "25-29", "30-34", "35-39", "40-44", "45-49", "50-54", "55-59", "60-64", "65-69", "70-74", "75-79", "80-84", "85+")</f>
        <v>65-69</v>
      </c>
      <c r="D4348" t="s">
        <v>7</v>
      </c>
    </row>
    <row r="4349" spans="1:4">
      <c r="A4349" t="s">
        <v>6</v>
      </c>
      <c r="B4349">
        <v>50</v>
      </c>
      <c r="C4349" t="str">
        <f>CHOOSE(MATCH(B4349, {20,25,30,35,40,45,50,55,60,65,70,75,80,85}, 1), "20-24", "25-29", "30-34", "35-39", "40-44", "45-49", "50-54", "55-59", "60-64", "65-69", "70-74", "75-79", "80-84", "85+")</f>
        <v>50-54</v>
      </c>
      <c r="D4349" t="s">
        <v>8</v>
      </c>
    </row>
    <row r="4350" spans="1:4">
      <c r="A4350" t="s">
        <v>6</v>
      </c>
      <c r="B4350">
        <v>32</v>
      </c>
      <c r="C4350" t="str">
        <f>CHOOSE(MATCH(B4350, {20,25,30,35,40,45,50,55,60,65,70,75,80,85}, 1), "20-24", "25-29", "30-34", "35-39", "40-44", "45-49", "50-54", "55-59", "60-64", "65-69", "70-74", "75-79", "80-84", "85+")</f>
        <v>30-34</v>
      </c>
      <c r="D4350" t="s">
        <v>7</v>
      </c>
    </row>
    <row r="4351" spans="1:4">
      <c r="A4351" t="s">
        <v>6</v>
      </c>
      <c r="B4351">
        <v>76</v>
      </c>
      <c r="C4351" t="str">
        <f>CHOOSE(MATCH(B4351, {20,25,30,35,40,45,50,55,60,65,70,75,80,85}, 1), "20-24", "25-29", "30-34", "35-39", "40-44", "45-49", "50-54", "55-59", "60-64", "65-69", "70-74", "75-79", "80-84", "85+")</f>
        <v>75-79</v>
      </c>
      <c r="D4351" t="s">
        <v>8</v>
      </c>
    </row>
    <row r="4352" spans="1:4">
      <c r="A4352" t="s">
        <v>6</v>
      </c>
      <c r="B4352">
        <v>44</v>
      </c>
      <c r="C4352" t="str">
        <f>CHOOSE(MATCH(B4352, {20,25,30,35,40,45,50,55,60,65,70,75,80,85}, 1), "20-24", "25-29", "30-34", "35-39", "40-44", "45-49", "50-54", "55-59", "60-64", "65-69", "70-74", "75-79", "80-84", "85+")</f>
        <v>40-44</v>
      </c>
      <c r="D4352" t="s">
        <v>8</v>
      </c>
    </row>
    <row r="4353" spans="1:4">
      <c r="A4353" t="s">
        <v>6</v>
      </c>
      <c r="B4353">
        <v>47</v>
      </c>
      <c r="C4353" t="str">
        <f>CHOOSE(MATCH(B4353, {20,25,30,35,40,45,50,55,60,65,70,75,80,85}, 1), "20-24", "25-29", "30-34", "35-39", "40-44", "45-49", "50-54", "55-59", "60-64", "65-69", "70-74", "75-79", "80-84", "85+")</f>
        <v>45-49</v>
      </c>
      <c r="D4353" t="s">
        <v>7</v>
      </c>
    </row>
    <row r="4354" spans="1:4">
      <c r="A4354" t="s">
        <v>6</v>
      </c>
      <c r="B4354">
        <v>46</v>
      </c>
      <c r="C4354" t="str">
        <f>CHOOSE(MATCH(B4354, {20,25,30,35,40,45,50,55,60,65,70,75,80,85}, 1), "20-24", "25-29", "30-34", "35-39", "40-44", "45-49", "50-54", "55-59", "60-64", "65-69", "70-74", "75-79", "80-84", "85+")</f>
        <v>45-49</v>
      </c>
      <c r="D4354" t="s">
        <v>7</v>
      </c>
    </row>
    <row r="4355" spans="1:4">
      <c r="A4355" t="s">
        <v>6</v>
      </c>
      <c r="B4355">
        <v>35</v>
      </c>
      <c r="C4355" t="str">
        <f>CHOOSE(MATCH(B4355, {20,25,30,35,40,45,50,55,60,65,70,75,80,85}, 1), "20-24", "25-29", "30-34", "35-39", "40-44", "45-49", "50-54", "55-59", "60-64", "65-69", "70-74", "75-79", "80-84", "85+")</f>
        <v>35-39</v>
      </c>
      <c r="D4355" t="s">
        <v>8</v>
      </c>
    </row>
    <row r="4356" spans="1:4">
      <c r="A4356" t="s">
        <v>6</v>
      </c>
      <c r="B4356">
        <v>31</v>
      </c>
      <c r="C4356" t="str">
        <f>CHOOSE(MATCH(B4356, {20,25,30,35,40,45,50,55,60,65,70,75,80,85}, 1), "20-24", "25-29", "30-34", "35-39", "40-44", "45-49", "50-54", "55-59", "60-64", "65-69", "70-74", "75-79", "80-84", "85+")</f>
        <v>30-34</v>
      </c>
      <c r="D4356" t="s">
        <v>7</v>
      </c>
    </row>
    <row r="4357" spans="1:4">
      <c r="A4357" t="s">
        <v>6</v>
      </c>
      <c r="B4357">
        <v>62</v>
      </c>
      <c r="C4357" t="str">
        <f>CHOOSE(MATCH(B4357, {20,25,30,35,40,45,50,55,60,65,70,75,80,85}, 1), "20-24", "25-29", "30-34", "35-39", "40-44", "45-49", "50-54", "55-59", "60-64", "65-69", "70-74", "75-79", "80-84", "85+")</f>
        <v>60-64</v>
      </c>
      <c r="D4357" t="s">
        <v>8</v>
      </c>
    </row>
    <row r="4358" spans="1:4">
      <c r="A4358" t="s">
        <v>6</v>
      </c>
      <c r="B4358">
        <v>36</v>
      </c>
      <c r="C4358" t="str">
        <f>CHOOSE(MATCH(B4358, {20,25,30,35,40,45,50,55,60,65,70,75,80,85}, 1), "20-24", "25-29", "30-34", "35-39", "40-44", "45-49", "50-54", "55-59", "60-64", "65-69", "70-74", "75-79", "80-84", "85+")</f>
        <v>35-39</v>
      </c>
      <c r="D4358" t="s">
        <v>8</v>
      </c>
    </row>
    <row r="4359" spans="1:4">
      <c r="A4359" t="s">
        <v>6</v>
      </c>
      <c r="B4359">
        <v>39</v>
      </c>
      <c r="C4359" t="str">
        <f>CHOOSE(MATCH(B4359, {20,25,30,35,40,45,50,55,60,65,70,75,80,85}, 1), "20-24", "25-29", "30-34", "35-39", "40-44", "45-49", "50-54", "55-59", "60-64", "65-69", "70-74", "75-79", "80-84", "85+")</f>
        <v>35-39</v>
      </c>
      <c r="D4359" t="s">
        <v>8</v>
      </c>
    </row>
    <row r="4360" spans="1:4">
      <c r="A4360" t="s">
        <v>6</v>
      </c>
      <c r="B4360">
        <v>36</v>
      </c>
      <c r="C4360" t="str">
        <f>CHOOSE(MATCH(B4360, {20,25,30,35,40,45,50,55,60,65,70,75,80,85}, 1), "20-24", "25-29", "30-34", "35-39", "40-44", "45-49", "50-54", "55-59", "60-64", "65-69", "70-74", "75-79", "80-84", "85+")</f>
        <v>35-39</v>
      </c>
      <c r="D4360" t="s">
        <v>7</v>
      </c>
    </row>
    <row r="4361" spans="1:4">
      <c r="A4361" t="s">
        <v>6</v>
      </c>
      <c r="B4361">
        <v>42</v>
      </c>
      <c r="C4361" t="str">
        <f>CHOOSE(MATCH(B4361, {20,25,30,35,40,45,50,55,60,65,70,75,80,85}, 1), "20-24", "25-29", "30-34", "35-39", "40-44", "45-49", "50-54", "55-59", "60-64", "65-69", "70-74", "75-79", "80-84", "85+")</f>
        <v>40-44</v>
      </c>
      <c r="D4361" t="s">
        <v>8</v>
      </c>
    </row>
    <row r="4362" spans="1:4">
      <c r="A4362" t="s">
        <v>6</v>
      </c>
      <c r="B4362">
        <v>70</v>
      </c>
      <c r="C4362" t="str">
        <f>CHOOSE(MATCH(B4362, {20,25,30,35,40,45,50,55,60,65,70,75,80,85}, 1), "20-24", "25-29", "30-34", "35-39", "40-44", "45-49", "50-54", "55-59", "60-64", "65-69", "70-74", "75-79", "80-84", "85+")</f>
        <v>70-74</v>
      </c>
      <c r="D4362" t="s">
        <v>7</v>
      </c>
    </row>
    <row r="4363" spans="1:4">
      <c r="A4363" t="s">
        <v>6</v>
      </c>
      <c r="B4363">
        <v>45</v>
      </c>
      <c r="C4363" t="str">
        <f>CHOOSE(MATCH(B4363, {20,25,30,35,40,45,50,55,60,65,70,75,80,85}, 1), "20-24", "25-29", "30-34", "35-39", "40-44", "45-49", "50-54", "55-59", "60-64", "65-69", "70-74", "75-79", "80-84", "85+")</f>
        <v>45-49</v>
      </c>
      <c r="D4363" t="s">
        <v>8</v>
      </c>
    </row>
    <row r="4364" spans="1:4">
      <c r="A4364" t="s">
        <v>6</v>
      </c>
      <c r="B4364">
        <v>41</v>
      </c>
      <c r="C4364" t="str">
        <f>CHOOSE(MATCH(B4364, {20,25,30,35,40,45,50,55,60,65,70,75,80,85}, 1), "20-24", "25-29", "30-34", "35-39", "40-44", "45-49", "50-54", "55-59", "60-64", "65-69", "70-74", "75-79", "80-84", "85+")</f>
        <v>40-44</v>
      </c>
      <c r="D4364" t="s">
        <v>7</v>
      </c>
    </row>
    <row r="4365" spans="1:4">
      <c r="A4365" t="s">
        <v>6</v>
      </c>
      <c r="B4365">
        <v>49</v>
      </c>
      <c r="C4365" t="str">
        <f>CHOOSE(MATCH(B4365, {20,25,30,35,40,45,50,55,60,65,70,75,80,85}, 1), "20-24", "25-29", "30-34", "35-39", "40-44", "45-49", "50-54", "55-59", "60-64", "65-69", "70-74", "75-79", "80-84", "85+")</f>
        <v>45-49</v>
      </c>
      <c r="D4365" t="s">
        <v>8</v>
      </c>
    </row>
    <row r="4366" spans="1:4">
      <c r="A4366" t="s">
        <v>6</v>
      </c>
      <c r="B4366">
        <v>28</v>
      </c>
      <c r="C4366" t="str">
        <f>CHOOSE(MATCH(B4366, {20,25,30,35,40,45,50,55,60,65,70,75,80,85}, 1), "20-24", "25-29", "30-34", "35-39", "40-44", "45-49", "50-54", "55-59", "60-64", "65-69", "70-74", "75-79", "80-84", "85+")</f>
        <v>25-29</v>
      </c>
      <c r="D4366" t="s">
        <v>8</v>
      </c>
    </row>
    <row r="4367" spans="1:4">
      <c r="A4367" t="s">
        <v>6</v>
      </c>
      <c r="B4367">
        <v>28</v>
      </c>
      <c r="C4367" t="str">
        <f>CHOOSE(MATCH(B4367, {20,25,30,35,40,45,50,55,60,65,70,75,80,85}, 1), "20-24", "25-29", "30-34", "35-39", "40-44", "45-49", "50-54", "55-59", "60-64", "65-69", "70-74", "75-79", "80-84", "85+")</f>
        <v>25-29</v>
      </c>
      <c r="D4367" t="s">
        <v>7</v>
      </c>
    </row>
    <row r="4368" spans="1:4">
      <c r="A4368" t="s">
        <v>6</v>
      </c>
      <c r="B4368">
        <v>51</v>
      </c>
      <c r="C4368" t="str">
        <f>CHOOSE(MATCH(B4368, {20,25,30,35,40,45,50,55,60,65,70,75,80,85}, 1), "20-24", "25-29", "30-34", "35-39", "40-44", "45-49", "50-54", "55-59", "60-64", "65-69", "70-74", "75-79", "80-84", "85+")</f>
        <v>50-54</v>
      </c>
      <c r="D4368" t="s">
        <v>7</v>
      </c>
    </row>
    <row r="4369" spans="1:4">
      <c r="A4369" t="s">
        <v>6</v>
      </c>
      <c r="B4369">
        <v>40</v>
      </c>
      <c r="C4369" t="str">
        <f>CHOOSE(MATCH(B4369, {20,25,30,35,40,45,50,55,60,65,70,75,80,85}, 1), "20-24", "25-29", "30-34", "35-39", "40-44", "45-49", "50-54", "55-59", "60-64", "65-69", "70-74", "75-79", "80-84", "85+")</f>
        <v>40-44</v>
      </c>
      <c r="D4369" t="s">
        <v>7</v>
      </c>
    </row>
    <row r="4370" spans="1:4">
      <c r="A4370" t="s">
        <v>6</v>
      </c>
      <c r="B4370">
        <v>23</v>
      </c>
      <c r="C4370" t="str">
        <f>CHOOSE(MATCH(B4370, {20,25,30,35,40,45,50,55,60,65,70,75,80,85}, 1), "20-24", "25-29", "30-34", "35-39", "40-44", "45-49", "50-54", "55-59", "60-64", "65-69", "70-74", "75-79", "80-84", "85+")</f>
        <v>20-24</v>
      </c>
      <c r="D4370" t="s">
        <v>8</v>
      </c>
    </row>
    <row r="4371" spans="1:4">
      <c r="A4371" t="s">
        <v>6</v>
      </c>
      <c r="B4371">
        <v>34</v>
      </c>
      <c r="C4371" t="str">
        <f>CHOOSE(MATCH(B4371, {20,25,30,35,40,45,50,55,60,65,70,75,80,85}, 1), "20-24", "25-29", "30-34", "35-39", "40-44", "45-49", "50-54", "55-59", "60-64", "65-69", "70-74", "75-79", "80-84", "85+")</f>
        <v>30-34</v>
      </c>
      <c r="D4371" t="s">
        <v>7</v>
      </c>
    </row>
    <row r="4372" spans="1:4">
      <c r="A4372" t="s">
        <v>6</v>
      </c>
      <c r="B4372">
        <v>60</v>
      </c>
      <c r="C4372" t="str">
        <f>CHOOSE(MATCH(B4372, {20,25,30,35,40,45,50,55,60,65,70,75,80,85}, 1), "20-24", "25-29", "30-34", "35-39", "40-44", "45-49", "50-54", "55-59", "60-64", "65-69", "70-74", "75-79", "80-84", "85+")</f>
        <v>60-64</v>
      </c>
      <c r="D4372" t="s">
        <v>8</v>
      </c>
    </row>
    <row r="4373" spans="1:4">
      <c r="A4373" t="s">
        <v>6</v>
      </c>
      <c r="B4373">
        <v>27</v>
      </c>
      <c r="C4373" t="str">
        <f>CHOOSE(MATCH(B4373, {20,25,30,35,40,45,50,55,60,65,70,75,80,85}, 1), "20-24", "25-29", "30-34", "35-39", "40-44", "45-49", "50-54", "55-59", "60-64", "65-69", "70-74", "75-79", "80-84", "85+")</f>
        <v>25-29</v>
      </c>
      <c r="D4373" t="s">
        <v>7</v>
      </c>
    </row>
    <row r="4374" spans="1:4">
      <c r="A4374" t="s">
        <v>6</v>
      </c>
      <c r="B4374">
        <v>35</v>
      </c>
      <c r="C4374" t="str">
        <f>CHOOSE(MATCH(B4374, {20,25,30,35,40,45,50,55,60,65,70,75,80,85}, 1), "20-24", "25-29", "30-34", "35-39", "40-44", "45-49", "50-54", "55-59", "60-64", "65-69", "70-74", "75-79", "80-84", "85+")</f>
        <v>35-39</v>
      </c>
      <c r="D4374" t="s">
        <v>7</v>
      </c>
    </row>
    <row r="4375" spans="1:4">
      <c r="A4375" t="s">
        <v>6</v>
      </c>
      <c r="B4375">
        <v>36</v>
      </c>
      <c r="C4375" t="str">
        <f>CHOOSE(MATCH(B4375, {20,25,30,35,40,45,50,55,60,65,70,75,80,85}, 1), "20-24", "25-29", "30-34", "35-39", "40-44", "45-49", "50-54", "55-59", "60-64", "65-69", "70-74", "75-79", "80-84", "85+")</f>
        <v>35-39</v>
      </c>
      <c r="D4375" t="s">
        <v>8</v>
      </c>
    </row>
    <row r="4376" spans="1:4">
      <c r="A4376" t="s">
        <v>6</v>
      </c>
      <c r="B4376">
        <v>41</v>
      </c>
      <c r="C4376" t="str">
        <f>CHOOSE(MATCH(B4376, {20,25,30,35,40,45,50,55,60,65,70,75,80,85}, 1), "20-24", "25-29", "30-34", "35-39", "40-44", "45-49", "50-54", "55-59", "60-64", "65-69", "70-74", "75-79", "80-84", "85+")</f>
        <v>40-44</v>
      </c>
      <c r="D4376" t="s">
        <v>7</v>
      </c>
    </row>
    <row r="4377" spans="1:4">
      <c r="A4377" t="s">
        <v>6</v>
      </c>
      <c r="B4377">
        <v>33</v>
      </c>
      <c r="C4377" t="str">
        <f>CHOOSE(MATCH(B4377, {20,25,30,35,40,45,50,55,60,65,70,75,80,85}, 1), "20-24", "25-29", "30-34", "35-39", "40-44", "45-49", "50-54", "55-59", "60-64", "65-69", "70-74", "75-79", "80-84", "85+")</f>
        <v>30-34</v>
      </c>
      <c r="D4377" t="s">
        <v>8</v>
      </c>
    </row>
    <row r="4378" spans="1:4">
      <c r="A4378" t="s">
        <v>6</v>
      </c>
      <c r="B4378">
        <v>32</v>
      </c>
      <c r="C4378" t="str">
        <f>CHOOSE(MATCH(B4378, {20,25,30,35,40,45,50,55,60,65,70,75,80,85}, 1), "20-24", "25-29", "30-34", "35-39", "40-44", "45-49", "50-54", "55-59", "60-64", "65-69", "70-74", "75-79", "80-84", "85+")</f>
        <v>30-34</v>
      </c>
      <c r="D4378" t="s">
        <v>8</v>
      </c>
    </row>
    <row r="4379" spans="1:4">
      <c r="A4379" t="s">
        <v>6</v>
      </c>
      <c r="B4379">
        <v>50</v>
      </c>
      <c r="C4379" t="str">
        <f>CHOOSE(MATCH(B4379, {20,25,30,35,40,45,50,55,60,65,70,75,80,85}, 1), "20-24", "25-29", "30-34", "35-39", "40-44", "45-49", "50-54", "55-59", "60-64", "65-69", "70-74", "75-79", "80-84", "85+")</f>
        <v>50-54</v>
      </c>
      <c r="D4379" t="s">
        <v>7</v>
      </c>
    </row>
    <row r="4380" spans="1:4">
      <c r="A4380" t="s">
        <v>6</v>
      </c>
      <c r="B4380">
        <v>36</v>
      </c>
      <c r="C4380" t="str">
        <f>CHOOSE(MATCH(B4380, {20,25,30,35,40,45,50,55,60,65,70,75,80,85}, 1), "20-24", "25-29", "30-34", "35-39", "40-44", "45-49", "50-54", "55-59", "60-64", "65-69", "70-74", "75-79", "80-84", "85+")</f>
        <v>35-39</v>
      </c>
      <c r="D4380" t="s">
        <v>8</v>
      </c>
    </row>
    <row r="4381" spans="1:4">
      <c r="A4381" t="s">
        <v>6</v>
      </c>
      <c r="B4381">
        <v>27</v>
      </c>
      <c r="C4381" t="str">
        <f>CHOOSE(MATCH(B4381, {20,25,30,35,40,45,50,55,60,65,70,75,80,85}, 1), "20-24", "25-29", "30-34", "35-39", "40-44", "45-49", "50-54", "55-59", "60-64", "65-69", "70-74", "75-79", "80-84", "85+")</f>
        <v>25-29</v>
      </c>
      <c r="D4381" t="s">
        <v>7</v>
      </c>
    </row>
    <row r="4382" spans="1:4">
      <c r="A4382" t="s">
        <v>6</v>
      </c>
      <c r="B4382">
        <v>26</v>
      </c>
      <c r="C4382" t="str">
        <f>CHOOSE(MATCH(B4382, {20,25,30,35,40,45,50,55,60,65,70,75,80,85}, 1), "20-24", "25-29", "30-34", "35-39", "40-44", "45-49", "50-54", "55-59", "60-64", "65-69", "70-74", "75-79", "80-84", "85+")</f>
        <v>25-29</v>
      </c>
      <c r="D4382" t="s">
        <v>7</v>
      </c>
    </row>
    <row r="4383" spans="1:4">
      <c r="A4383" t="s">
        <v>6</v>
      </c>
      <c r="B4383">
        <v>71</v>
      </c>
      <c r="C4383" t="str">
        <f>CHOOSE(MATCH(B4383, {20,25,30,35,40,45,50,55,60,65,70,75,80,85}, 1), "20-24", "25-29", "30-34", "35-39", "40-44", "45-49", "50-54", "55-59", "60-64", "65-69", "70-74", "75-79", "80-84", "85+")</f>
        <v>70-74</v>
      </c>
      <c r="D4383" t="s">
        <v>7</v>
      </c>
    </row>
    <row r="4384" spans="1:4">
      <c r="A4384" t="s">
        <v>6</v>
      </c>
      <c r="B4384">
        <v>35</v>
      </c>
      <c r="C4384" t="str">
        <f>CHOOSE(MATCH(B4384, {20,25,30,35,40,45,50,55,60,65,70,75,80,85}, 1), "20-24", "25-29", "30-34", "35-39", "40-44", "45-49", "50-54", "55-59", "60-64", "65-69", "70-74", "75-79", "80-84", "85+")</f>
        <v>35-39</v>
      </c>
      <c r="D4384" t="s">
        <v>8</v>
      </c>
    </row>
    <row r="4385" spans="1:4">
      <c r="A4385" t="s">
        <v>6</v>
      </c>
      <c r="B4385">
        <v>45</v>
      </c>
      <c r="C4385" t="str">
        <f>CHOOSE(MATCH(B4385, {20,25,30,35,40,45,50,55,60,65,70,75,80,85}, 1), "20-24", "25-29", "30-34", "35-39", "40-44", "45-49", "50-54", "55-59", "60-64", "65-69", "70-74", "75-79", "80-84", "85+")</f>
        <v>45-49</v>
      </c>
      <c r="D4385" t="s">
        <v>8</v>
      </c>
    </row>
    <row r="4386" spans="1:4">
      <c r="A4386" t="s">
        <v>6</v>
      </c>
      <c r="B4386">
        <v>34</v>
      </c>
      <c r="C4386" t="str">
        <f>CHOOSE(MATCH(B4386, {20,25,30,35,40,45,50,55,60,65,70,75,80,85}, 1), "20-24", "25-29", "30-34", "35-39", "40-44", "45-49", "50-54", "55-59", "60-64", "65-69", "70-74", "75-79", "80-84", "85+")</f>
        <v>30-34</v>
      </c>
      <c r="D4386" t="s">
        <v>8</v>
      </c>
    </row>
    <row r="4387" spans="1:4">
      <c r="A4387" t="s">
        <v>6</v>
      </c>
      <c r="B4387">
        <v>22</v>
      </c>
      <c r="C4387" t="str">
        <f>CHOOSE(MATCH(B4387, {20,25,30,35,40,45,50,55,60,65,70,75,80,85}, 1), "20-24", "25-29", "30-34", "35-39", "40-44", "45-49", "50-54", "55-59", "60-64", "65-69", "70-74", "75-79", "80-84", "85+")</f>
        <v>20-24</v>
      </c>
      <c r="D4387" t="s">
        <v>7</v>
      </c>
    </row>
    <row r="4388" spans="1:4">
      <c r="A4388" t="s">
        <v>6</v>
      </c>
      <c r="B4388">
        <v>37</v>
      </c>
      <c r="C4388" t="str">
        <f>CHOOSE(MATCH(B4388, {20,25,30,35,40,45,50,55,60,65,70,75,80,85}, 1), "20-24", "25-29", "30-34", "35-39", "40-44", "45-49", "50-54", "55-59", "60-64", "65-69", "70-74", "75-79", "80-84", "85+")</f>
        <v>35-39</v>
      </c>
      <c r="D4388" t="s">
        <v>7</v>
      </c>
    </row>
    <row r="4389" spans="1:4">
      <c r="A4389" t="s">
        <v>6</v>
      </c>
      <c r="B4389">
        <v>46</v>
      </c>
      <c r="C4389" t="str">
        <f>CHOOSE(MATCH(B4389, {20,25,30,35,40,45,50,55,60,65,70,75,80,85}, 1), "20-24", "25-29", "30-34", "35-39", "40-44", "45-49", "50-54", "55-59", "60-64", "65-69", "70-74", "75-79", "80-84", "85+")</f>
        <v>45-49</v>
      </c>
      <c r="D4389" t="s">
        <v>7</v>
      </c>
    </row>
    <row r="4390" spans="1:4">
      <c r="A4390" t="s">
        <v>6</v>
      </c>
      <c r="B4390">
        <v>82</v>
      </c>
      <c r="C4390" t="str">
        <f>CHOOSE(MATCH(B4390, {20,25,30,35,40,45,50,55,60,65,70,75,80,85}, 1), "20-24", "25-29", "30-34", "35-39", "40-44", "45-49", "50-54", "55-59", "60-64", "65-69", "70-74", "75-79", "80-84", "85+")</f>
        <v>80-84</v>
      </c>
      <c r="D4390" t="s">
        <v>7</v>
      </c>
    </row>
    <row r="4391" spans="1:4">
      <c r="A4391" t="s">
        <v>6</v>
      </c>
      <c r="B4391">
        <v>39</v>
      </c>
      <c r="C4391" t="str">
        <f>CHOOSE(MATCH(B4391, {20,25,30,35,40,45,50,55,60,65,70,75,80,85}, 1), "20-24", "25-29", "30-34", "35-39", "40-44", "45-49", "50-54", "55-59", "60-64", "65-69", "70-74", "75-79", "80-84", "85+")</f>
        <v>35-39</v>
      </c>
      <c r="D4391" t="s">
        <v>8</v>
      </c>
    </row>
    <row r="4392" spans="1:4">
      <c r="A4392" t="s">
        <v>6</v>
      </c>
      <c r="B4392">
        <v>63</v>
      </c>
      <c r="C4392" t="str">
        <f>CHOOSE(MATCH(B4392, {20,25,30,35,40,45,50,55,60,65,70,75,80,85}, 1), "20-24", "25-29", "30-34", "35-39", "40-44", "45-49", "50-54", "55-59", "60-64", "65-69", "70-74", "75-79", "80-84", "85+")</f>
        <v>60-64</v>
      </c>
      <c r="D4392" t="s">
        <v>8</v>
      </c>
    </row>
    <row r="4393" spans="1:4">
      <c r="A4393" t="s">
        <v>6</v>
      </c>
      <c r="B4393">
        <v>25</v>
      </c>
      <c r="C4393" t="str">
        <f>CHOOSE(MATCH(B4393, {20,25,30,35,40,45,50,55,60,65,70,75,80,85}, 1), "20-24", "25-29", "30-34", "35-39", "40-44", "45-49", "50-54", "55-59", "60-64", "65-69", "70-74", "75-79", "80-84", "85+")</f>
        <v>25-29</v>
      </c>
      <c r="D4393" t="s">
        <v>8</v>
      </c>
    </row>
    <row r="4394" spans="1:4">
      <c r="A4394" t="s">
        <v>6</v>
      </c>
      <c r="B4394">
        <v>42</v>
      </c>
      <c r="C4394" t="str">
        <f>CHOOSE(MATCH(B4394, {20,25,30,35,40,45,50,55,60,65,70,75,80,85}, 1), "20-24", "25-29", "30-34", "35-39", "40-44", "45-49", "50-54", "55-59", "60-64", "65-69", "70-74", "75-79", "80-84", "85+")</f>
        <v>40-44</v>
      </c>
      <c r="D4394" t="s">
        <v>7</v>
      </c>
    </row>
    <row r="4395" spans="1:4">
      <c r="A4395" t="s">
        <v>6</v>
      </c>
      <c r="B4395">
        <v>77</v>
      </c>
      <c r="C4395" t="str">
        <f>CHOOSE(MATCH(B4395, {20,25,30,35,40,45,50,55,60,65,70,75,80,85}, 1), "20-24", "25-29", "30-34", "35-39", "40-44", "45-49", "50-54", "55-59", "60-64", "65-69", "70-74", "75-79", "80-84", "85+")</f>
        <v>75-79</v>
      </c>
      <c r="D4395" t="s">
        <v>8</v>
      </c>
    </row>
    <row r="4396" spans="1:4">
      <c r="A4396" t="s">
        <v>6</v>
      </c>
      <c r="B4396">
        <v>25</v>
      </c>
      <c r="C4396" t="str">
        <f>CHOOSE(MATCH(B4396, {20,25,30,35,40,45,50,55,60,65,70,75,80,85}, 1), "20-24", "25-29", "30-34", "35-39", "40-44", "45-49", "50-54", "55-59", "60-64", "65-69", "70-74", "75-79", "80-84", "85+")</f>
        <v>25-29</v>
      </c>
      <c r="D4396" t="s">
        <v>7</v>
      </c>
    </row>
    <row r="4397" spans="1:4">
      <c r="A4397" t="s">
        <v>6</v>
      </c>
      <c r="B4397">
        <v>82</v>
      </c>
      <c r="C4397" t="str">
        <f>CHOOSE(MATCH(B4397, {20,25,30,35,40,45,50,55,60,65,70,75,80,85}, 1), "20-24", "25-29", "30-34", "35-39", "40-44", "45-49", "50-54", "55-59", "60-64", "65-69", "70-74", "75-79", "80-84", "85+")</f>
        <v>80-84</v>
      </c>
      <c r="D4397" t="s">
        <v>7</v>
      </c>
    </row>
    <row r="4398" spans="1:4">
      <c r="A4398" t="s">
        <v>6</v>
      </c>
      <c r="B4398">
        <v>38</v>
      </c>
      <c r="C4398" t="str">
        <f>CHOOSE(MATCH(B4398, {20,25,30,35,40,45,50,55,60,65,70,75,80,85}, 1), "20-24", "25-29", "30-34", "35-39", "40-44", "45-49", "50-54", "55-59", "60-64", "65-69", "70-74", "75-79", "80-84", "85+")</f>
        <v>35-39</v>
      </c>
      <c r="D4398" t="s">
        <v>7</v>
      </c>
    </row>
    <row r="4399" spans="1:4">
      <c r="A4399" t="s">
        <v>6</v>
      </c>
      <c r="B4399">
        <v>62</v>
      </c>
      <c r="C4399" t="str">
        <f>CHOOSE(MATCH(B4399, {20,25,30,35,40,45,50,55,60,65,70,75,80,85}, 1), "20-24", "25-29", "30-34", "35-39", "40-44", "45-49", "50-54", "55-59", "60-64", "65-69", "70-74", "75-79", "80-84", "85+")</f>
        <v>60-64</v>
      </c>
      <c r="D4399" t="s">
        <v>8</v>
      </c>
    </row>
    <row r="4400" spans="1:4">
      <c r="A4400" t="s">
        <v>6</v>
      </c>
      <c r="B4400">
        <v>32</v>
      </c>
      <c r="C4400" t="str">
        <f>CHOOSE(MATCH(B4400, {20,25,30,35,40,45,50,55,60,65,70,75,80,85}, 1), "20-24", "25-29", "30-34", "35-39", "40-44", "45-49", "50-54", "55-59", "60-64", "65-69", "70-74", "75-79", "80-84", "85+")</f>
        <v>30-34</v>
      </c>
      <c r="D4400" t="s">
        <v>7</v>
      </c>
    </row>
    <row r="4401" spans="1:4">
      <c r="A4401" t="s">
        <v>6</v>
      </c>
      <c r="B4401">
        <v>41</v>
      </c>
      <c r="C4401" t="str">
        <f>CHOOSE(MATCH(B4401, {20,25,30,35,40,45,50,55,60,65,70,75,80,85}, 1), "20-24", "25-29", "30-34", "35-39", "40-44", "45-49", "50-54", "55-59", "60-64", "65-69", "70-74", "75-79", "80-84", "85+")</f>
        <v>40-44</v>
      </c>
      <c r="D4401" t="s">
        <v>7</v>
      </c>
    </row>
    <row r="4402" spans="1:4">
      <c r="A4402" t="s">
        <v>6</v>
      </c>
      <c r="B4402">
        <v>53</v>
      </c>
      <c r="C4402" t="str">
        <f>CHOOSE(MATCH(B4402, {20,25,30,35,40,45,50,55,60,65,70,75,80,85}, 1), "20-24", "25-29", "30-34", "35-39", "40-44", "45-49", "50-54", "55-59", "60-64", "65-69", "70-74", "75-79", "80-84", "85+")</f>
        <v>50-54</v>
      </c>
      <c r="D4402" t="s">
        <v>7</v>
      </c>
    </row>
    <row r="4403" spans="1:4">
      <c r="A4403" t="s">
        <v>6</v>
      </c>
      <c r="B4403">
        <v>64</v>
      </c>
      <c r="C4403" t="str">
        <f>CHOOSE(MATCH(B4403, {20,25,30,35,40,45,50,55,60,65,70,75,80,85}, 1), "20-24", "25-29", "30-34", "35-39", "40-44", "45-49", "50-54", "55-59", "60-64", "65-69", "70-74", "75-79", "80-84", "85+")</f>
        <v>60-64</v>
      </c>
      <c r="D4403" t="s">
        <v>8</v>
      </c>
    </row>
    <row r="4404" spans="1:4">
      <c r="A4404" t="s">
        <v>6</v>
      </c>
      <c r="B4404">
        <v>26</v>
      </c>
      <c r="C4404" t="str">
        <f>CHOOSE(MATCH(B4404, {20,25,30,35,40,45,50,55,60,65,70,75,80,85}, 1), "20-24", "25-29", "30-34", "35-39", "40-44", "45-49", "50-54", "55-59", "60-64", "65-69", "70-74", "75-79", "80-84", "85+")</f>
        <v>25-29</v>
      </c>
      <c r="D4404" t="s">
        <v>7</v>
      </c>
    </row>
    <row r="4405" spans="1:4">
      <c r="A4405" t="s">
        <v>6</v>
      </c>
      <c r="B4405">
        <v>37</v>
      </c>
      <c r="C4405" t="str">
        <f>CHOOSE(MATCH(B4405, {20,25,30,35,40,45,50,55,60,65,70,75,80,85}, 1), "20-24", "25-29", "30-34", "35-39", "40-44", "45-49", "50-54", "55-59", "60-64", "65-69", "70-74", "75-79", "80-84", "85+")</f>
        <v>35-39</v>
      </c>
      <c r="D4405" t="s">
        <v>8</v>
      </c>
    </row>
    <row r="4406" spans="1:4">
      <c r="A4406" t="s">
        <v>6</v>
      </c>
      <c r="B4406">
        <v>59</v>
      </c>
      <c r="C4406" t="str">
        <f>CHOOSE(MATCH(B4406, {20,25,30,35,40,45,50,55,60,65,70,75,80,85}, 1), "20-24", "25-29", "30-34", "35-39", "40-44", "45-49", "50-54", "55-59", "60-64", "65-69", "70-74", "75-79", "80-84", "85+")</f>
        <v>55-59</v>
      </c>
      <c r="D4406" t="s">
        <v>7</v>
      </c>
    </row>
    <row r="4407" spans="1:4">
      <c r="A4407" t="s">
        <v>6</v>
      </c>
      <c r="B4407">
        <v>54</v>
      </c>
      <c r="C4407" t="str">
        <f>CHOOSE(MATCH(B4407, {20,25,30,35,40,45,50,55,60,65,70,75,80,85}, 1), "20-24", "25-29", "30-34", "35-39", "40-44", "45-49", "50-54", "55-59", "60-64", "65-69", "70-74", "75-79", "80-84", "85+")</f>
        <v>50-54</v>
      </c>
      <c r="D4407" t="s">
        <v>8</v>
      </c>
    </row>
    <row r="4408" spans="1:4">
      <c r="A4408" t="s">
        <v>6</v>
      </c>
      <c r="B4408">
        <v>33</v>
      </c>
      <c r="C4408" t="str">
        <f>CHOOSE(MATCH(B4408, {20,25,30,35,40,45,50,55,60,65,70,75,80,85}, 1), "20-24", "25-29", "30-34", "35-39", "40-44", "45-49", "50-54", "55-59", "60-64", "65-69", "70-74", "75-79", "80-84", "85+")</f>
        <v>30-34</v>
      </c>
      <c r="D4408" t="s">
        <v>7</v>
      </c>
    </row>
    <row r="4409" spans="1:4">
      <c r="A4409" t="s">
        <v>6</v>
      </c>
      <c r="B4409">
        <v>27</v>
      </c>
      <c r="C4409" t="str">
        <f>CHOOSE(MATCH(B4409, {20,25,30,35,40,45,50,55,60,65,70,75,80,85}, 1), "20-24", "25-29", "30-34", "35-39", "40-44", "45-49", "50-54", "55-59", "60-64", "65-69", "70-74", "75-79", "80-84", "85+")</f>
        <v>25-29</v>
      </c>
      <c r="D4409" t="s">
        <v>7</v>
      </c>
    </row>
    <row r="4410" spans="1:4">
      <c r="A4410" t="s">
        <v>6</v>
      </c>
      <c r="B4410">
        <v>36</v>
      </c>
      <c r="C4410" t="str">
        <f>CHOOSE(MATCH(B4410, {20,25,30,35,40,45,50,55,60,65,70,75,80,85}, 1), "20-24", "25-29", "30-34", "35-39", "40-44", "45-49", "50-54", "55-59", "60-64", "65-69", "70-74", "75-79", "80-84", "85+")</f>
        <v>35-39</v>
      </c>
      <c r="D4410" t="s">
        <v>8</v>
      </c>
    </row>
    <row r="4411" spans="1:4">
      <c r="A4411" t="s">
        <v>6</v>
      </c>
      <c r="B4411">
        <v>32</v>
      </c>
      <c r="C4411" t="str">
        <f>CHOOSE(MATCH(B4411, {20,25,30,35,40,45,50,55,60,65,70,75,80,85}, 1), "20-24", "25-29", "30-34", "35-39", "40-44", "45-49", "50-54", "55-59", "60-64", "65-69", "70-74", "75-79", "80-84", "85+")</f>
        <v>30-34</v>
      </c>
      <c r="D4411" t="s">
        <v>7</v>
      </c>
    </row>
    <row r="4412" spans="1:4">
      <c r="A4412" t="s">
        <v>6</v>
      </c>
      <c r="B4412">
        <v>54</v>
      </c>
      <c r="C4412" t="str">
        <f>CHOOSE(MATCH(B4412, {20,25,30,35,40,45,50,55,60,65,70,75,80,85}, 1), "20-24", "25-29", "30-34", "35-39", "40-44", "45-49", "50-54", "55-59", "60-64", "65-69", "70-74", "75-79", "80-84", "85+")</f>
        <v>50-54</v>
      </c>
      <c r="D4412" t="s">
        <v>7</v>
      </c>
    </row>
    <row r="4413" spans="1:4">
      <c r="A4413" t="s">
        <v>6</v>
      </c>
      <c r="B4413">
        <v>58</v>
      </c>
      <c r="C4413" t="str">
        <f>CHOOSE(MATCH(B4413, {20,25,30,35,40,45,50,55,60,65,70,75,80,85}, 1), "20-24", "25-29", "30-34", "35-39", "40-44", "45-49", "50-54", "55-59", "60-64", "65-69", "70-74", "75-79", "80-84", "85+")</f>
        <v>55-59</v>
      </c>
      <c r="D4413" t="s">
        <v>7</v>
      </c>
    </row>
    <row r="4414" spans="1:4">
      <c r="A4414" t="s">
        <v>6</v>
      </c>
      <c r="B4414">
        <v>25</v>
      </c>
      <c r="C4414" t="str">
        <f>CHOOSE(MATCH(B4414, {20,25,30,35,40,45,50,55,60,65,70,75,80,85}, 1), "20-24", "25-29", "30-34", "35-39", "40-44", "45-49", "50-54", "55-59", "60-64", "65-69", "70-74", "75-79", "80-84", "85+")</f>
        <v>25-29</v>
      </c>
      <c r="D4414" t="s">
        <v>7</v>
      </c>
    </row>
    <row r="4415" spans="1:4">
      <c r="A4415" t="s">
        <v>6</v>
      </c>
      <c r="B4415">
        <v>34</v>
      </c>
      <c r="C4415" t="str">
        <f>CHOOSE(MATCH(B4415, {20,25,30,35,40,45,50,55,60,65,70,75,80,85}, 1), "20-24", "25-29", "30-34", "35-39", "40-44", "45-49", "50-54", "55-59", "60-64", "65-69", "70-74", "75-79", "80-84", "85+")</f>
        <v>30-34</v>
      </c>
      <c r="D4415" t="s">
        <v>7</v>
      </c>
    </row>
    <row r="4416" spans="1:4">
      <c r="A4416" t="s">
        <v>6</v>
      </c>
      <c r="B4416">
        <v>70</v>
      </c>
      <c r="C4416" t="str">
        <f>CHOOSE(MATCH(B4416, {20,25,30,35,40,45,50,55,60,65,70,75,80,85}, 1), "20-24", "25-29", "30-34", "35-39", "40-44", "45-49", "50-54", "55-59", "60-64", "65-69", "70-74", "75-79", "80-84", "85+")</f>
        <v>70-74</v>
      </c>
      <c r="D4416" t="s">
        <v>8</v>
      </c>
    </row>
    <row r="4417" spans="1:4">
      <c r="A4417" t="s">
        <v>6</v>
      </c>
      <c r="B4417">
        <v>35</v>
      </c>
      <c r="C4417" t="str">
        <f>CHOOSE(MATCH(B4417, {20,25,30,35,40,45,50,55,60,65,70,75,80,85}, 1), "20-24", "25-29", "30-34", "35-39", "40-44", "45-49", "50-54", "55-59", "60-64", "65-69", "70-74", "75-79", "80-84", "85+")</f>
        <v>35-39</v>
      </c>
      <c r="D4417" t="s">
        <v>8</v>
      </c>
    </row>
    <row r="4418" spans="1:4">
      <c r="A4418" t="s">
        <v>6</v>
      </c>
      <c r="B4418">
        <v>25</v>
      </c>
      <c r="C4418" t="str">
        <f>CHOOSE(MATCH(B4418, {20,25,30,35,40,45,50,55,60,65,70,75,80,85}, 1), "20-24", "25-29", "30-34", "35-39", "40-44", "45-49", "50-54", "55-59", "60-64", "65-69", "70-74", "75-79", "80-84", "85+")</f>
        <v>25-29</v>
      </c>
      <c r="D4418" t="s">
        <v>7</v>
      </c>
    </row>
    <row r="4419" spans="1:4">
      <c r="A4419" t="s">
        <v>6</v>
      </c>
      <c r="B4419">
        <v>37</v>
      </c>
      <c r="C4419" t="str">
        <f>CHOOSE(MATCH(B4419, {20,25,30,35,40,45,50,55,60,65,70,75,80,85}, 1), "20-24", "25-29", "30-34", "35-39", "40-44", "45-49", "50-54", "55-59", "60-64", "65-69", "70-74", "75-79", "80-84", "85+")</f>
        <v>35-39</v>
      </c>
      <c r="D4419" t="s">
        <v>7</v>
      </c>
    </row>
    <row r="4420" spans="1:4">
      <c r="A4420" t="s">
        <v>6</v>
      </c>
      <c r="B4420">
        <v>31</v>
      </c>
      <c r="C4420" t="str">
        <f>CHOOSE(MATCH(B4420, {20,25,30,35,40,45,50,55,60,65,70,75,80,85}, 1), "20-24", "25-29", "30-34", "35-39", "40-44", "45-49", "50-54", "55-59", "60-64", "65-69", "70-74", "75-79", "80-84", "85+")</f>
        <v>30-34</v>
      </c>
      <c r="D4420" t="s">
        <v>7</v>
      </c>
    </row>
    <row r="4421" spans="1:4">
      <c r="A4421" t="s">
        <v>6</v>
      </c>
      <c r="B4421">
        <v>44</v>
      </c>
      <c r="C4421" t="str">
        <f>CHOOSE(MATCH(B4421, {20,25,30,35,40,45,50,55,60,65,70,75,80,85}, 1), "20-24", "25-29", "30-34", "35-39", "40-44", "45-49", "50-54", "55-59", "60-64", "65-69", "70-74", "75-79", "80-84", "85+")</f>
        <v>40-44</v>
      </c>
      <c r="D4421" t="s">
        <v>8</v>
      </c>
    </row>
    <row r="4422" spans="1:4">
      <c r="A4422" t="s">
        <v>6</v>
      </c>
      <c r="B4422">
        <v>61</v>
      </c>
      <c r="C4422" t="str">
        <f>CHOOSE(MATCH(B4422, {20,25,30,35,40,45,50,55,60,65,70,75,80,85}, 1), "20-24", "25-29", "30-34", "35-39", "40-44", "45-49", "50-54", "55-59", "60-64", "65-69", "70-74", "75-79", "80-84", "85+")</f>
        <v>60-64</v>
      </c>
      <c r="D4422" t="s">
        <v>8</v>
      </c>
    </row>
    <row r="4423" spans="1:4">
      <c r="A4423" t="s">
        <v>6</v>
      </c>
      <c r="B4423">
        <v>23</v>
      </c>
      <c r="C4423" t="str">
        <f>CHOOSE(MATCH(B4423, {20,25,30,35,40,45,50,55,60,65,70,75,80,85}, 1), "20-24", "25-29", "30-34", "35-39", "40-44", "45-49", "50-54", "55-59", "60-64", "65-69", "70-74", "75-79", "80-84", "85+")</f>
        <v>20-24</v>
      </c>
      <c r="D4423" t="s">
        <v>7</v>
      </c>
    </row>
    <row r="4424" spans="1:4">
      <c r="A4424" t="s">
        <v>6</v>
      </c>
      <c r="B4424">
        <v>29</v>
      </c>
      <c r="C4424" t="str">
        <f>CHOOSE(MATCH(B4424, {20,25,30,35,40,45,50,55,60,65,70,75,80,85}, 1), "20-24", "25-29", "30-34", "35-39", "40-44", "45-49", "50-54", "55-59", "60-64", "65-69", "70-74", "75-79", "80-84", "85+")</f>
        <v>25-29</v>
      </c>
      <c r="D4424" t="s">
        <v>8</v>
      </c>
    </row>
    <row r="4425" spans="1:4">
      <c r="A4425" t="s">
        <v>6</v>
      </c>
      <c r="B4425">
        <v>49</v>
      </c>
      <c r="C4425" t="str">
        <f>CHOOSE(MATCH(B4425, {20,25,30,35,40,45,50,55,60,65,70,75,80,85}, 1), "20-24", "25-29", "30-34", "35-39", "40-44", "45-49", "50-54", "55-59", "60-64", "65-69", "70-74", "75-79", "80-84", "85+")</f>
        <v>45-49</v>
      </c>
      <c r="D4425" t="s">
        <v>7</v>
      </c>
    </row>
    <row r="4426" spans="1:4">
      <c r="A4426" t="s">
        <v>6</v>
      </c>
      <c r="B4426">
        <v>65</v>
      </c>
      <c r="C4426" t="str">
        <f>CHOOSE(MATCH(B4426, {20,25,30,35,40,45,50,55,60,65,70,75,80,85}, 1), "20-24", "25-29", "30-34", "35-39", "40-44", "45-49", "50-54", "55-59", "60-64", "65-69", "70-74", "75-79", "80-84", "85+")</f>
        <v>65-69</v>
      </c>
      <c r="D4426" t="s">
        <v>8</v>
      </c>
    </row>
    <row r="4427" spans="1:4">
      <c r="A4427" t="s">
        <v>6</v>
      </c>
      <c r="B4427">
        <v>61</v>
      </c>
      <c r="C4427" t="str">
        <f>CHOOSE(MATCH(B4427, {20,25,30,35,40,45,50,55,60,65,70,75,80,85}, 1), "20-24", "25-29", "30-34", "35-39", "40-44", "45-49", "50-54", "55-59", "60-64", "65-69", "70-74", "75-79", "80-84", "85+")</f>
        <v>60-64</v>
      </c>
      <c r="D4427" t="s">
        <v>8</v>
      </c>
    </row>
    <row r="4428" spans="1:4">
      <c r="A4428" t="s">
        <v>6</v>
      </c>
      <c r="B4428">
        <v>46</v>
      </c>
      <c r="C4428" t="str">
        <f>CHOOSE(MATCH(B4428, {20,25,30,35,40,45,50,55,60,65,70,75,80,85}, 1), "20-24", "25-29", "30-34", "35-39", "40-44", "45-49", "50-54", "55-59", "60-64", "65-69", "70-74", "75-79", "80-84", "85+")</f>
        <v>45-49</v>
      </c>
      <c r="D4428" t="s">
        <v>8</v>
      </c>
    </row>
    <row r="4429" spans="1:4">
      <c r="A4429" t="s">
        <v>6</v>
      </c>
      <c r="B4429">
        <v>25</v>
      </c>
      <c r="C4429" t="str">
        <f>CHOOSE(MATCH(B4429, {20,25,30,35,40,45,50,55,60,65,70,75,80,85}, 1), "20-24", "25-29", "30-34", "35-39", "40-44", "45-49", "50-54", "55-59", "60-64", "65-69", "70-74", "75-79", "80-84", "85+")</f>
        <v>25-29</v>
      </c>
      <c r="D4429" t="s">
        <v>7</v>
      </c>
    </row>
    <row r="4430" spans="1:4">
      <c r="A4430" t="s">
        <v>6</v>
      </c>
      <c r="B4430">
        <v>38</v>
      </c>
      <c r="C4430" t="str">
        <f>CHOOSE(MATCH(B4430, {20,25,30,35,40,45,50,55,60,65,70,75,80,85}, 1), "20-24", "25-29", "30-34", "35-39", "40-44", "45-49", "50-54", "55-59", "60-64", "65-69", "70-74", "75-79", "80-84", "85+")</f>
        <v>35-39</v>
      </c>
      <c r="D4430" t="s">
        <v>7</v>
      </c>
    </row>
    <row r="4431" spans="1:4">
      <c r="A4431" t="s">
        <v>6</v>
      </c>
      <c r="B4431">
        <v>29</v>
      </c>
      <c r="C4431" t="str">
        <f>CHOOSE(MATCH(B4431, {20,25,30,35,40,45,50,55,60,65,70,75,80,85}, 1), "20-24", "25-29", "30-34", "35-39", "40-44", "45-49", "50-54", "55-59", "60-64", "65-69", "70-74", "75-79", "80-84", "85+")</f>
        <v>25-29</v>
      </c>
      <c r="D4431" t="s">
        <v>8</v>
      </c>
    </row>
    <row r="4432" spans="1:4">
      <c r="A4432" t="s">
        <v>6</v>
      </c>
      <c r="B4432">
        <v>24</v>
      </c>
      <c r="C4432" t="str">
        <f>CHOOSE(MATCH(B4432, {20,25,30,35,40,45,50,55,60,65,70,75,80,85}, 1), "20-24", "25-29", "30-34", "35-39", "40-44", "45-49", "50-54", "55-59", "60-64", "65-69", "70-74", "75-79", "80-84", "85+")</f>
        <v>20-24</v>
      </c>
      <c r="D4432" t="s">
        <v>7</v>
      </c>
    </row>
    <row r="4433" spans="1:4">
      <c r="A4433" t="s">
        <v>6</v>
      </c>
      <c r="B4433">
        <v>65</v>
      </c>
      <c r="C4433" t="str">
        <f>CHOOSE(MATCH(B4433, {20,25,30,35,40,45,50,55,60,65,70,75,80,85}, 1), "20-24", "25-29", "30-34", "35-39", "40-44", "45-49", "50-54", "55-59", "60-64", "65-69", "70-74", "75-79", "80-84", "85+")</f>
        <v>65-69</v>
      </c>
      <c r="D4433" t="s">
        <v>8</v>
      </c>
    </row>
    <row r="4434" spans="1:4">
      <c r="A4434" t="s">
        <v>6</v>
      </c>
      <c r="B4434">
        <v>23</v>
      </c>
      <c r="C4434" t="str">
        <f>CHOOSE(MATCH(B4434, {20,25,30,35,40,45,50,55,60,65,70,75,80,85}, 1), "20-24", "25-29", "30-34", "35-39", "40-44", "45-49", "50-54", "55-59", "60-64", "65-69", "70-74", "75-79", "80-84", "85+")</f>
        <v>20-24</v>
      </c>
      <c r="D4434" t="s">
        <v>7</v>
      </c>
    </row>
    <row r="4435" spans="1:4">
      <c r="A4435" t="s">
        <v>6</v>
      </c>
      <c r="B4435">
        <v>28</v>
      </c>
      <c r="C4435" t="str">
        <f>CHOOSE(MATCH(B4435, {20,25,30,35,40,45,50,55,60,65,70,75,80,85}, 1), "20-24", "25-29", "30-34", "35-39", "40-44", "45-49", "50-54", "55-59", "60-64", "65-69", "70-74", "75-79", "80-84", "85+")</f>
        <v>25-29</v>
      </c>
      <c r="D4435" t="s">
        <v>7</v>
      </c>
    </row>
    <row r="4436" spans="1:4">
      <c r="A4436" t="s">
        <v>6</v>
      </c>
      <c r="B4436">
        <v>39</v>
      </c>
      <c r="C4436" t="str">
        <f>CHOOSE(MATCH(B4436, {20,25,30,35,40,45,50,55,60,65,70,75,80,85}, 1), "20-24", "25-29", "30-34", "35-39", "40-44", "45-49", "50-54", "55-59", "60-64", "65-69", "70-74", "75-79", "80-84", "85+")</f>
        <v>35-39</v>
      </c>
      <c r="D4436" t="s">
        <v>7</v>
      </c>
    </row>
    <row r="4437" spans="1:4">
      <c r="A4437" t="s">
        <v>6</v>
      </c>
      <c r="B4437">
        <v>41</v>
      </c>
      <c r="C4437" t="str">
        <f>CHOOSE(MATCH(B4437, {20,25,30,35,40,45,50,55,60,65,70,75,80,85}, 1), "20-24", "25-29", "30-34", "35-39", "40-44", "45-49", "50-54", "55-59", "60-64", "65-69", "70-74", "75-79", "80-84", "85+")</f>
        <v>40-44</v>
      </c>
      <c r="D4437" t="s">
        <v>8</v>
      </c>
    </row>
    <row r="4438" spans="1:4">
      <c r="A4438" t="s">
        <v>6</v>
      </c>
      <c r="B4438">
        <v>37</v>
      </c>
      <c r="C4438" t="str">
        <f>CHOOSE(MATCH(B4438, {20,25,30,35,40,45,50,55,60,65,70,75,80,85}, 1), "20-24", "25-29", "30-34", "35-39", "40-44", "45-49", "50-54", "55-59", "60-64", "65-69", "70-74", "75-79", "80-84", "85+")</f>
        <v>35-39</v>
      </c>
      <c r="D4438" t="s">
        <v>7</v>
      </c>
    </row>
    <row r="4439" spans="1:4">
      <c r="A4439" t="s">
        <v>6</v>
      </c>
      <c r="B4439">
        <v>21</v>
      </c>
      <c r="C4439" t="str">
        <f>CHOOSE(MATCH(B4439, {20,25,30,35,40,45,50,55,60,65,70,75,80,85}, 1), "20-24", "25-29", "30-34", "35-39", "40-44", "45-49", "50-54", "55-59", "60-64", "65-69", "70-74", "75-79", "80-84", "85+")</f>
        <v>20-24</v>
      </c>
      <c r="D4439" t="s">
        <v>7</v>
      </c>
    </row>
    <row r="4440" spans="1:4">
      <c r="A4440" t="s">
        <v>6</v>
      </c>
      <c r="B4440">
        <v>35</v>
      </c>
      <c r="C4440" t="str">
        <f>CHOOSE(MATCH(B4440, {20,25,30,35,40,45,50,55,60,65,70,75,80,85}, 1), "20-24", "25-29", "30-34", "35-39", "40-44", "45-49", "50-54", "55-59", "60-64", "65-69", "70-74", "75-79", "80-84", "85+")</f>
        <v>35-39</v>
      </c>
      <c r="D4440" t="s">
        <v>8</v>
      </c>
    </row>
    <row r="4441" spans="1:4">
      <c r="A4441" t="s">
        <v>6</v>
      </c>
      <c r="B4441">
        <v>89</v>
      </c>
      <c r="C4441" t="str">
        <f>CHOOSE(MATCH(B4441, {20,25,30,35,40,45,50,55,60,65,70,75,80,85}, 1), "20-24", "25-29", "30-34", "35-39", "40-44", "45-49", "50-54", "55-59", "60-64", "65-69", "70-74", "75-79", "80-84", "85+")</f>
        <v>85+</v>
      </c>
      <c r="D4441" t="s">
        <v>7</v>
      </c>
    </row>
    <row r="4442" spans="1:4">
      <c r="A4442" t="s">
        <v>6</v>
      </c>
      <c r="B4442">
        <v>27</v>
      </c>
      <c r="C4442" t="str">
        <f>CHOOSE(MATCH(B4442, {20,25,30,35,40,45,50,55,60,65,70,75,80,85}, 1), "20-24", "25-29", "30-34", "35-39", "40-44", "45-49", "50-54", "55-59", "60-64", "65-69", "70-74", "75-79", "80-84", "85+")</f>
        <v>25-29</v>
      </c>
      <c r="D4442" t="s">
        <v>7</v>
      </c>
    </row>
    <row r="4443" spans="1:4">
      <c r="A4443" t="s">
        <v>6</v>
      </c>
      <c r="B4443">
        <v>32</v>
      </c>
      <c r="C4443" t="str">
        <f>CHOOSE(MATCH(B4443, {20,25,30,35,40,45,50,55,60,65,70,75,80,85}, 1), "20-24", "25-29", "30-34", "35-39", "40-44", "45-49", "50-54", "55-59", "60-64", "65-69", "70-74", "75-79", "80-84", "85+")</f>
        <v>30-34</v>
      </c>
      <c r="D4443" t="s">
        <v>7</v>
      </c>
    </row>
    <row r="4444" spans="1:4">
      <c r="A4444" t="s">
        <v>6</v>
      </c>
      <c r="B4444">
        <v>40</v>
      </c>
      <c r="C4444" t="str">
        <f>CHOOSE(MATCH(B4444, {20,25,30,35,40,45,50,55,60,65,70,75,80,85}, 1), "20-24", "25-29", "30-34", "35-39", "40-44", "45-49", "50-54", "55-59", "60-64", "65-69", "70-74", "75-79", "80-84", "85+")</f>
        <v>40-44</v>
      </c>
      <c r="D4444" t="s">
        <v>7</v>
      </c>
    </row>
    <row r="4445" spans="1:4">
      <c r="A4445" t="s">
        <v>6</v>
      </c>
      <c r="B4445">
        <v>37</v>
      </c>
      <c r="C4445" t="str">
        <f>CHOOSE(MATCH(B4445, {20,25,30,35,40,45,50,55,60,65,70,75,80,85}, 1), "20-24", "25-29", "30-34", "35-39", "40-44", "45-49", "50-54", "55-59", "60-64", "65-69", "70-74", "75-79", "80-84", "85+")</f>
        <v>35-39</v>
      </c>
      <c r="D4445" t="s">
        <v>8</v>
      </c>
    </row>
    <row r="4446" spans="1:4">
      <c r="A4446" t="s">
        <v>6</v>
      </c>
      <c r="B4446">
        <v>47</v>
      </c>
      <c r="C4446" t="str">
        <f>CHOOSE(MATCH(B4446, {20,25,30,35,40,45,50,55,60,65,70,75,80,85}, 1), "20-24", "25-29", "30-34", "35-39", "40-44", "45-49", "50-54", "55-59", "60-64", "65-69", "70-74", "75-79", "80-84", "85+")</f>
        <v>45-49</v>
      </c>
      <c r="D4446" t="s">
        <v>7</v>
      </c>
    </row>
    <row r="4447" spans="1:4">
      <c r="A4447" t="s">
        <v>6</v>
      </c>
      <c r="B4447">
        <v>34</v>
      </c>
      <c r="C4447" t="str">
        <f>CHOOSE(MATCH(B4447, {20,25,30,35,40,45,50,55,60,65,70,75,80,85}, 1), "20-24", "25-29", "30-34", "35-39", "40-44", "45-49", "50-54", "55-59", "60-64", "65-69", "70-74", "75-79", "80-84", "85+")</f>
        <v>30-34</v>
      </c>
      <c r="D4447" t="s">
        <v>7</v>
      </c>
    </row>
    <row r="4448" spans="1:4">
      <c r="A4448" t="s">
        <v>6</v>
      </c>
      <c r="B4448">
        <v>37</v>
      </c>
      <c r="C4448" t="str">
        <f>CHOOSE(MATCH(B4448, {20,25,30,35,40,45,50,55,60,65,70,75,80,85}, 1), "20-24", "25-29", "30-34", "35-39", "40-44", "45-49", "50-54", "55-59", "60-64", "65-69", "70-74", "75-79", "80-84", "85+")</f>
        <v>35-39</v>
      </c>
      <c r="D4448" t="s">
        <v>7</v>
      </c>
    </row>
    <row r="4449" spans="1:4">
      <c r="A4449" t="s">
        <v>6</v>
      </c>
      <c r="B4449">
        <v>39</v>
      </c>
      <c r="C4449" t="str">
        <f>CHOOSE(MATCH(B4449, {20,25,30,35,40,45,50,55,60,65,70,75,80,85}, 1), "20-24", "25-29", "30-34", "35-39", "40-44", "45-49", "50-54", "55-59", "60-64", "65-69", "70-74", "75-79", "80-84", "85+")</f>
        <v>35-39</v>
      </c>
      <c r="D4449" t="s">
        <v>8</v>
      </c>
    </row>
    <row r="4450" spans="1:4">
      <c r="A4450" t="s">
        <v>6</v>
      </c>
      <c r="B4450">
        <v>41</v>
      </c>
      <c r="C4450" t="str">
        <f>CHOOSE(MATCH(B4450, {20,25,30,35,40,45,50,55,60,65,70,75,80,85}, 1), "20-24", "25-29", "30-34", "35-39", "40-44", "45-49", "50-54", "55-59", "60-64", "65-69", "70-74", "75-79", "80-84", "85+")</f>
        <v>40-44</v>
      </c>
      <c r="D4450" t="s">
        <v>8</v>
      </c>
    </row>
    <row r="4451" spans="1:4">
      <c r="A4451" t="s">
        <v>6</v>
      </c>
      <c r="B4451">
        <v>37</v>
      </c>
      <c r="C4451" t="str">
        <f>CHOOSE(MATCH(B4451, {20,25,30,35,40,45,50,55,60,65,70,75,80,85}, 1), "20-24", "25-29", "30-34", "35-39", "40-44", "45-49", "50-54", "55-59", "60-64", "65-69", "70-74", "75-79", "80-84", "85+")</f>
        <v>35-39</v>
      </c>
      <c r="D4451" t="s">
        <v>8</v>
      </c>
    </row>
    <row r="4452" spans="1:4">
      <c r="A4452" t="s">
        <v>6</v>
      </c>
      <c r="B4452">
        <v>29</v>
      </c>
      <c r="C4452" t="str">
        <f>CHOOSE(MATCH(B4452, {20,25,30,35,40,45,50,55,60,65,70,75,80,85}, 1), "20-24", "25-29", "30-34", "35-39", "40-44", "45-49", "50-54", "55-59", "60-64", "65-69", "70-74", "75-79", "80-84", "85+")</f>
        <v>25-29</v>
      </c>
      <c r="D4452" t="s">
        <v>8</v>
      </c>
    </row>
    <row r="4453" spans="1:4">
      <c r="A4453" t="s">
        <v>6</v>
      </c>
      <c r="B4453">
        <v>46</v>
      </c>
      <c r="C4453" t="str">
        <f>CHOOSE(MATCH(B4453, {20,25,30,35,40,45,50,55,60,65,70,75,80,85}, 1), "20-24", "25-29", "30-34", "35-39", "40-44", "45-49", "50-54", "55-59", "60-64", "65-69", "70-74", "75-79", "80-84", "85+")</f>
        <v>45-49</v>
      </c>
      <c r="D4453" t="s">
        <v>8</v>
      </c>
    </row>
    <row r="4454" spans="1:4">
      <c r="A4454" t="s">
        <v>6</v>
      </c>
      <c r="B4454">
        <v>67</v>
      </c>
      <c r="C4454" t="str">
        <f>CHOOSE(MATCH(B4454, {20,25,30,35,40,45,50,55,60,65,70,75,80,85}, 1), "20-24", "25-29", "30-34", "35-39", "40-44", "45-49", "50-54", "55-59", "60-64", "65-69", "70-74", "75-79", "80-84", "85+")</f>
        <v>65-69</v>
      </c>
      <c r="D4454" t="s">
        <v>8</v>
      </c>
    </row>
    <row r="4455" spans="1:4">
      <c r="A4455" t="s">
        <v>6</v>
      </c>
      <c r="B4455">
        <v>53</v>
      </c>
      <c r="C4455" t="str">
        <f>CHOOSE(MATCH(B4455, {20,25,30,35,40,45,50,55,60,65,70,75,80,85}, 1), "20-24", "25-29", "30-34", "35-39", "40-44", "45-49", "50-54", "55-59", "60-64", "65-69", "70-74", "75-79", "80-84", "85+")</f>
        <v>50-54</v>
      </c>
      <c r="D4455" t="s">
        <v>7</v>
      </c>
    </row>
    <row r="4456" spans="1:4">
      <c r="A4456" t="s">
        <v>6</v>
      </c>
      <c r="B4456">
        <v>32</v>
      </c>
      <c r="C4456" t="str">
        <f>CHOOSE(MATCH(B4456, {20,25,30,35,40,45,50,55,60,65,70,75,80,85}, 1), "20-24", "25-29", "30-34", "35-39", "40-44", "45-49", "50-54", "55-59", "60-64", "65-69", "70-74", "75-79", "80-84", "85+")</f>
        <v>30-34</v>
      </c>
      <c r="D4456" t="s">
        <v>7</v>
      </c>
    </row>
    <row r="4457" spans="1:4">
      <c r="A4457" t="s">
        <v>6</v>
      </c>
      <c r="B4457">
        <v>55</v>
      </c>
      <c r="C4457" t="str">
        <f>CHOOSE(MATCH(B4457, {20,25,30,35,40,45,50,55,60,65,70,75,80,85}, 1), "20-24", "25-29", "30-34", "35-39", "40-44", "45-49", "50-54", "55-59", "60-64", "65-69", "70-74", "75-79", "80-84", "85+")</f>
        <v>55-59</v>
      </c>
      <c r="D4457" t="s">
        <v>7</v>
      </c>
    </row>
    <row r="4458" spans="1:4">
      <c r="A4458" t="s">
        <v>6</v>
      </c>
      <c r="B4458">
        <v>64</v>
      </c>
      <c r="C4458" t="str">
        <f>CHOOSE(MATCH(B4458, {20,25,30,35,40,45,50,55,60,65,70,75,80,85}, 1), "20-24", "25-29", "30-34", "35-39", "40-44", "45-49", "50-54", "55-59", "60-64", "65-69", "70-74", "75-79", "80-84", "85+")</f>
        <v>60-64</v>
      </c>
      <c r="D4458" t="s">
        <v>8</v>
      </c>
    </row>
    <row r="4459" spans="1:4">
      <c r="A4459" t="s">
        <v>6</v>
      </c>
      <c r="B4459">
        <v>25</v>
      </c>
      <c r="C4459" t="str">
        <f>CHOOSE(MATCH(B4459, {20,25,30,35,40,45,50,55,60,65,70,75,80,85}, 1), "20-24", "25-29", "30-34", "35-39", "40-44", "45-49", "50-54", "55-59", "60-64", "65-69", "70-74", "75-79", "80-84", "85+")</f>
        <v>25-29</v>
      </c>
      <c r="D4459" t="s">
        <v>7</v>
      </c>
    </row>
    <row r="4460" spans="1:4">
      <c r="A4460" t="s">
        <v>6</v>
      </c>
      <c r="B4460">
        <v>36</v>
      </c>
      <c r="C4460" t="str">
        <f>CHOOSE(MATCH(B4460, {20,25,30,35,40,45,50,55,60,65,70,75,80,85}, 1), "20-24", "25-29", "30-34", "35-39", "40-44", "45-49", "50-54", "55-59", "60-64", "65-69", "70-74", "75-79", "80-84", "85+")</f>
        <v>35-39</v>
      </c>
      <c r="D4460" t="s">
        <v>7</v>
      </c>
    </row>
    <row r="4461" spans="1:4">
      <c r="A4461" t="s">
        <v>6</v>
      </c>
      <c r="B4461">
        <v>25</v>
      </c>
      <c r="C4461" t="str">
        <f>CHOOSE(MATCH(B4461, {20,25,30,35,40,45,50,55,60,65,70,75,80,85}, 1), "20-24", "25-29", "30-34", "35-39", "40-44", "45-49", "50-54", "55-59", "60-64", "65-69", "70-74", "75-79", "80-84", "85+")</f>
        <v>25-29</v>
      </c>
      <c r="D4461" t="s">
        <v>7</v>
      </c>
    </row>
    <row r="4462" spans="1:4">
      <c r="A4462" t="s">
        <v>6</v>
      </c>
      <c r="B4462">
        <v>29</v>
      </c>
      <c r="C4462" t="str">
        <f>CHOOSE(MATCH(B4462, {20,25,30,35,40,45,50,55,60,65,70,75,80,85}, 1), "20-24", "25-29", "30-34", "35-39", "40-44", "45-49", "50-54", "55-59", "60-64", "65-69", "70-74", "75-79", "80-84", "85+")</f>
        <v>25-29</v>
      </c>
      <c r="D4462" t="s">
        <v>7</v>
      </c>
    </row>
    <row r="4463" spans="1:4">
      <c r="A4463" t="s">
        <v>6</v>
      </c>
      <c r="B4463">
        <v>40</v>
      </c>
      <c r="C4463" t="str">
        <f>CHOOSE(MATCH(B4463, {20,25,30,35,40,45,50,55,60,65,70,75,80,85}, 1), "20-24", "25-29", "30-34", "35-39", "40-44", "45-49", "50-54", "55-59", "60-64", "65-69", "70-74", "75-79", "80-84", "85+")</f>
        <v>40-44</v>
      </c>
      <c r="D4463" t="s">
        <v>7</v>
      </c>
    </row>
    <row r="4464" spans="1:4">
      <c r="A4464" t="s">
        <v>6</v>
      </c>
      <c r="B4464">
        <v>35</v>
      </c>
      <c r="C4464" t="str">
        <f>CHOOSE(MATCH(B4464, {20,25,30,35,40,45,50,55,60,65,70,75,80,85}, 1), "20-24", "25-29", "30-34", "35-39", "40-44", "45-49", "50-54", "55-59", "60-64", "65-69", "70-74", "75-79", "80-84", "85+")</f>
        <v>35-39</v>
      </c>
      <c r="D4464" t="s">
        <v>7</v>
      </c>
    </row>
    <row r="4465" spans="1:4">
      <c r="A4465" t="s">
        <v>6</v>
      </c>
      <c r="B4465">
        <v>31</v>
      </c>
      <c r="C4465" t="str">
        <f>CHOOSE(MATCH(B4465, {20,25,30,35,40,45,50,55,60,65,70,75,80,85}, 1), "20-24", "25-29", "30-34", "35-39", "40-44", "45-49", "50-54", "55-59", "60-64", "65-69", "70-74", "75-79", "80-84", "85+")</f>
        <v>30-34</v>
      </c>
      <c r="D4465" t="s">
        <v>7</v>
      </c>
    </row>
    <row r="4466" spans="1:4">
      <c r="A4466" t="s">
        <v>6</v>
      </c>
      <c r="B4466">
        <v>30</v>
      </c>
      <c r="C4466" t="str">
        <f>CHOOSE(MATCH(B4466, {20,25,30,35,40,45,50,55,60,65,70,75,80,85}, 1), "20-24", "25-29", "30-34", "35-39", "40-44", "45-49", "50-54", "55-59", "60-64", "65-69", "70-74", "75-79", "80-84", "85+")</f>
        <v>30-34</v>
      </c>
      <c r="D4466" t="s">
        <v>7</v>
      </c>
    </row>
    <row r="4467" spans="1:4">
      <c r="A4467" t="s">
        <v>6</v>
      </c>
      <c r="B4467">
        <v>67</v>
      </c>
      <c r="C4467" t="str">
        <f>CHOOSE(MATCH(B4467, {20,25,30,35,40,45,50,55,60,65,70,75,80,85}, 1), "20-24", "25-29", "30-34", "35-39", "40-44", "45-49", "50-54", "55-59", "60-64", "65-69", "70-74", "75-79", "80-84", "85+")</f>
        <v>65-69</v>
      </c>
      <c r="D4467" t="s">
        <v>7</v>
      </c>
    </row>
    <row r="4468" spans="1:4">
      <c r="A4468" t="s">
        <v>6</v>
      </c>
      <c r="B4468">
        <v>32</v>
      </c>
      <c r="C4468" t="str">
        <f>CHOOSE(MATCH(B4468, {20,25,30,35,40,45,50,55,60,65,70,75,80,85}, 1), "20-24", "25-29", "30-34", "35-39", "40-44", "45-49", "50-54", "55-59", "60-64", "65-69", "70-74", "75-79", "80-84", "85+")</f>
        <v>30-34</v>
      </c>
      <c r="D4468" t="s">
        <v>8</v>
      </c>
    </row>
    <row r="4469" spans="1:4">
      <c r="A4469" t="s">
        <v>6</v>
      </c>
      <c r="B4469">
        <v>43</v>
      </c>
      <c r="C4469" t="str">
        <f>CHOOSE(MATCH(B4469, {20,25,30,35,40,45,50,55,60,65,70,75,80,85}, 1), "20-24", "25-29", "30-34", "35-39", "40-44", "45-49", "50-54", "55-59", "60-64", "65-69", "70-74", "75-79", "80-84", "85+")</f>
        <v>40-44</v>
      </c>
      <c r="D4469" t="s">
        <v>7</v>
      </c>
    </row>
    <row r="4470" spans="1:4">
      <c r="A4470" t="s">
        <v>6</v>
      </c>
      <c r="B4470">
        <v>36</v>
      </c>
      <c r="C4470" t="str">
        <f>CHOOSE(MATCH(B4470, {20,25,30,35,40,45,50,55,60,65,70,75,80,85}, 1), "20-24", "25-29", "30-34", "35-39", "40-44", "45-49", "50-54", "55-59", "60-64", "65-69", "70-74", "75-79", "80-84", "85+")</f>
        <v>35-39</v>
      </c>
      <c r="D4470" t="s">
        <v>7</v>
      </c>
    </row>
    <row r="4471" spans="1:4">
      <c r="A4471" t="s">
        <v>6</v>
      </c>
      <c r="B4471">
        <v>39</v>
      </c>
      <c r="C4471" t="str">
        <f>CHOOSE(MATCH(B4471, {20,25,30,35,40,45,50,55,60,65,70,75,80,85}, 1), "20-24", "25-29", "30-34", "35-39", "40-44", "45-49", "50-54", "55-59", "60-64", "65-69", "70-74", "75-79", "80-84", "85+")</f>
        <v>35-39</v>
      </c>
      <c r="D4471" t="s">
        <v>8</v>
      </c>
    </row>
    <row r="4472" spans="1:4">
      <c r="A4472" t="s">
        <v>6</v>
      </c>
      <c r="B4472">
        <v>36</v>
      </c>
      <c r="C4472" t="str">
        <f>CHOOSE(MATCH(B4472, {20,25,30,35,40,45,50,55,60,65,70,75,80,85}, 1), "20-24", "25-29", "30-34", "35-39", "40-44", "45-49", "50-54", "55-59", "60-64", "65-69", "70-74", "75-79", "80-84", "85+")</f>
        <v>35-39</v>
      </c>
      <c r="D4472" t="s">
        <v>7</v>
      </c>
    </row>
    <row r="4473" spans="1:4">
      <c r="A4473" t="s">
        <v>6</v>
      </c>
      <c r="B4473">
        <v>57</v>
      </c>
      <c r="C4473" t="str">
        <f>CHOOSE(MATCH(B4473, {20,25,30,35,40,45,50,55,60,65,70,75,80,85}, 1), "20-24", "25-29", "30-34", "35-39", "40-44", "45-49", "50-54", "55-59", "60-64", "65-69", "70-74", "75-79", "80-84", "85+")</f>
        <v>55-59</v>
      </c>
      <c r="D4473" t="s">
        <v>8</v>
      </c>
    </row>
    <row r="4474" spans="1:4">
      <c r="A4474" t="s">
        <v>6</v>
      </c>
      <c r="B4474">
        <v>47</v>
      </c>
      <c r="C4474" t="str">
        <f>CHOOSE(MATCH(B4474, {20,25,30,35,40,45,50,55,60,65,70,75,80,85}, 1), "20-24", "25-29", "30-34", "35-39", "40-44", "45-49", "50-54", "55-59", "60-64", "65-69", "70-74", "75-79", "80-84", "85+")</f>
        <v>45-49</v>
      </c>
      <c r="D4474" t="s">
        <v>7</v>
      </c>
    </row>
    <row r="4475" spans="1:4">
      <c r="A4475" t="s">
        <v>6</v>
      </c>
      <c r="B4475">
        <v>37</v>
      </c>
      <c r="C4475" t="str">
        <f>CHOOSE(MATCH(B4475, {20,25,30,35,40,45,50,55,60,65,70,75,80,85}, 1), "20-24", "25-29", "30-34", "35-39", "40-44", "45-49", "50-54", "55-59", "60-64", "65-69", "70-74", "75-79", "80-84", "85+")</f>
        <v>35-39</v>
      </c>
      <c r="D4475" t="s">
        <v>8</v>
      </c>
    </row>
    <row r="4476" spans="1:4">
      <c r="A4476" t="s">
        <v>6</v>
      </c>
      <c r="B4476">
        <v>44</v>
      </c>
      <c r="C4476" t="str">
        <f>CHOOSE(MATCH(B4476, {20,25,30,35,40,45,50,55,60,65,70,75,80,85}, 1), "20-24", "25-29", "30-34", "35-39", "40-44", "45-49", "50-54", "55-59", "60-64", "65-69", "70-74", "75-79", "80-84", "85+")</f>
        <v>40-44</v>
      </c>
      <c r="D4476" t="s">
        <v>8</v>
      </c>
    </row>
    <row r="4477" spans="1:4">
      <c r="A4477" t="s">
        <v>6</v>
      </c>
      <c r="B4477">
        <v>26</v>
      </c>
      <c r="C4477" t="str">
        <f>CHOOSE(MATCH(B4477, {20,25,30,35,40,45,50,55,60,65,70,75,80,85}, 1), "20-24", "25-29", "30-34", "35-39", "40-44", "45-49", "50-54", "55-59", "60-64", "65-69", "70-74", "75-79", "80-84", "85+")</f>
        <v>25-29</v>
      </c>
      <c r="D4477" t="s">
        <v>7</v>
      </c>
    </row>
    <row r="4478" spans="1:4">
      <c r="A4478" t="s">
        <v>6</v>
      </c>
      <c r="B4478">
        <v>86</v>
      </c>
      <c r="C4478" t="str">
        <f>CHOOSE(MATCH(B4478, {20,25,30,35,40,45,50,55,60,65,70,75,80,85}, 1), "20-24", "25-29", "30-34", "35-39", "40-44", "45-49", "50-54", "55-59", "60-64", "65-69", "70-74", "75-79", "80-84", "85+")</f>
        <v>85+</v>
      </c>
      <c r="D4478" t="s">
        <v>7</v>
      </c>
    </row>
    <row r="4479" spans="1:4">
      <c r="A4479" t="s">
        <v>6</v>
      </c>
      <c r="B4479">
        <v>66</v>
      </c>
      <c r="C4479" t="str">
        <f>CHOOSE(MATCH(B4479, {20,25,30,35,40,45,50,55,60,65,70,75,80,85}, 1), "20-24", "25-29", "30-34", "35-39", "40-44", "45-49", "50-54", "55-59", "60-64", "65-69", "70-74", "75-79", "80-84", "85+")</f>
        <v>65-69</v>
      </c>
      <c r="D4479" t="s">
        <v>8</v>
      </c>
    </row>
    <row r="4480" spans="1:4">
      <c r="A4480" t="s">
        <v>6</v>
      </c>
      <c r="B4480">
        <v>42</v>
      </c>
      <c r="C4480" t="str">
        <f>CHOOSE(MATCH(B4480, {20,25,30,35,40,45,50,55,60,65,70,75,80,85}, 1), "20-24", "25-29", "30-34", "35-39", "40-44", "45-49", "50-54", "55-59", "60-64", "65-69", "70-74", "75-79", "80-84", "85+")</f>
        <v>40-44</v>
      </c>
      <c r="D4480" t="s">
        <v>7</v>
      </c>
    </row>
    <row r="4481" spans="1:4">
      <c r="A4481" t="s">
        <v>6</v>
      </c>
      <c r="B4481">
        <v>37</v>
      </c>
      <c r="C4481" t="str">
        <f>CHOOSE(MATCH(B4481, {20,25,30,35,40,45,50,55,60,65,70,75,80,85}, 1), "20-24", "25-29", "30-34", "35-39", "40-44", "45-49", "50-54", "55-59", "60-64", "65-69", "70-74", "75-79", "80-84", "85+")</f>
        <v>35-39</v>
      </c>
      <c r="D4481" t="s">
        <v>8</v>
      </c>
    </row>
    <row r="4482" spans="1:4">
      <c r="A4482" t="s">
        <v>6</v>
      </c>
      <c r="B4482">
        <v>23</v>
      </c>
      <c r="C4482" t="str">
        <f>CHOOSE(MATCH(B4482, {20,25,30,35,40,45,50,55,60,65,70,75,80,85}, 1), "20-24", "25-29", "30-34", "35-39", "40-44", "45-49", "50-54", "55-59", "60-64", "65-69", "70-74", "75-79", "80-84", "85+")</f>
        <v>20-24</v>
      </c>
      <c r="D4482" t="s">
        <v>7</v>
      </c>
    </row>
    <row r="4483" spans="1:4">
      <c r="A4483" t="s">
        <v>6</v>
      </c>
      <c r="B4483">
        <v>48</v>
      </c>
      <c r="C4483" t="str">
        <f>CHOOSE(MATCH(B4483, {20,25,30,35,40,45,50,55,60,65,70,75,80,85}, 1), "20-24", "25-29", "30-34", "35-39", "40-44", "45-49", "50-54", "55-59", "60-64", "65-69", "70-74", "75-79", "80-84", "85+")</f>
        <v>45-49</v>
      </c>
      <c r="D4483" t="s">
        <v>7</v>
      </c>
    </row>
    <row r="4484" spans="1:4">
      <c r="A4484" t="s">
        <v>6</v>
      </c>
      <c r="B4484">
        <v>87</v>
      </c>
      <c r="C4484" t="str">
        <f>CHOOSE(MATCH(B4484, {20,25,30,35,40,45,50,55,60,65,70,75,80,85}, 1), "20-24", "25-29", "30-34", "35-39", "40-44", "45-49", "50-54", "55-59", "60-64", "65-69", "70-74", "75-79", "80-84", "85+")</f>
        <v>85+</v>
      </c>
      <c r="D4484" t="s">
        <v>7</v>
      </c>
    </row>
    <row r="4485" spans="1:4">
      <c r="A4485" t="s">
        <v>6</v>
      </c>
      <c r="B4485">
        <v>25</v>
      </c>
      <c r="C4485" t="str">
        <f>CHOOSE(MATCH(B4485, {20,25,30,35,40,45,50,55,60,65,70,75,80,85}, 1), "20-24", "25-29", "30-34", "35-39", "40-44", "45-49", "50-54", "55-59", "60-64", "65-69", "70-74", "75-79", "80-84", "85+")</f>
        <v>25-29</v>
      </c>
      <c r="D4485" t="s">
        <v>7</v>
      </c>
    </row>
    <row r="4486" spans="1:4">
      <c r="A4486" t="s">
        <v>6</v>
      </c>
      <c r="B4486">
        <v>27</v>
      </c>
      <c r="C4486" t="str">
        <f>CHOOSE(MATCH(B4486, {20,25,30,35,40,45,50,55,60,65,70,75,80,85}, 1), "20-24", "25-29", "30-34", "35-39", "40-44", "45-49", "50-54", "55-59", "60-64", "65-69", "70-74", "75-79", "80-84", "85+")</f>
        <v>25-29</v>
      </c>
      <c r="D4486" t="s">
        <v>8</v>
      </c>
    </row>
    <row r="4487" spans="1:4">
      <c r="A4487" t="s">
        <v>6</v>
      </c>
      <c r="B4487">
        <v>39</v>
      </c>
      <c r="C4487" t="str">
        <f>CHOOSE(MATCH(B4487, {20,25,30,35,40,45,50,55,60,65,70,75,80,85}, 1), "20-24", "25-29", "30-34", "35-39", "40-44", "45-49", "50-54", "55-59", "60-64", "65-69", "70-74", "75-79", "80-84", "85+")</f>
        <v>35-39</v>
      </c>
      <c r="D4487" t="s">
        <v>7</v>
      </c>
    </row>
    <row r="4488" spans="1:4">
      <c r="A4488" t="s">
        <v>6</v>
      </c>
      <c r="B4488">
        <v>38</v>
      </c>
      <c r="C4488" t="str">
        <f>CHOOSE(MATCH(B4488, {20,25,30,35,40,45,50,55,60,65,70,75,80,85}, 1), "20-24", "25-29", "30-34", "35-39", "40-44", "45-49", "50-54", "55-59", "60-64", "65-69", "70-74", "75-79", "80-84", "85+")</f>
        <v>35-39</v>
      </c>
      <c r="D4488" t="s">
        <v>8</v>
      </c>
    </row>
    <row r="4489" spans="1:4">
      <c r="A4489" t="s">
        <v>6</v>
      </c>
      <c r="B4489">
        <v>63</v>
      </c>
      <c r="C4489" t="str">
        <f>CHOOSE(MATCH(B4489, {20,25,30,35,40,45,50,55,60,65,70,75,80,85}, 1), "20-24", "25-29", "30-34", "35-39", "40-44", "45-49", "50-54", "55-59", "60-64", "65-69", "70-74", "75-79", "80-84", "85+")</f>
        <v>60-64</v>
      </c>
      <c r="D4489" t="s">
        <v>7</v>
      </c>
    </row>
    <row r="4490" spans="1:4">
      <c r="A4490" t="s">
        <v>6</v>
      </c>
      <c r="B4490">
        <v>42</v>
      </c>
      <c r="C4490" t="str">
        <f>CHOOSE(MATCH(B4490, {20,25,30,35,40,45,50,55,60,65,70,75,80,85}, 1), "20-24", "25-29", "30-34", "35-39", "40-44", "45-49", "50-54", "55-59", "60-64", "65-69", "70-74", "75-79", "80-84", "85+")</f>
        <v>40-44</v>
      </c>
      <c r="D4490" t="s">
        <v>7</v>
      </c>
    </row>
    <row r="4491" spans="1:4">
      <c r="A4491" t="s">
        <v>6</v>
      </c>
      <c r="B4491">
        <v>38</v>
      </c>
      <c r="C4491" t="str">
        <f>CHOOSE(MATCH(B4491, {20,25,30,35,40,45,50,55,60,65,70,75,80,85}, 1), "20-24", "25-29", "30-34", "35-39", "40-44", "45-49", "50-54", "55-59", "60-64", "65-69", "70-74", "75-79", "80-84", "85+")</f>
        <v>35-39</v>
      </c>
      <c r="D4491" t="s">
        <v>7</v>
      </c>
    </row>
    <row r="4492" spans="1:4">
      <c r="A4492" t="s">
        <v>6</v>
      </c>
      <c r="B4492">
        <v>46</v>
      </c>
      <c r="C4492" t="str">
        <f>CHOOSE(MATCH(B4492, {20,25,30,35,40,45,50,55,60,65,70,75,80,85}, 1), "20-24", "25-29", "30-34", "35-39", "40-44", "45-49", "50-54", "55-59", "60-64", "65-69", "70-74", "75-79", "80-84", "85+")</f>
        <v>45-49</v>
      </c>
      <c r="D4492" t="s">
        <v>8</v>
      </c>
    </row>
    <row r="4493" spans="1:4">
      <c r="A4493" t="s">
        <v>6</v>
      </c>
      <c r="B4493">
        <v>57</v>
      </c>
      <c r="C4493" t="str">
        <f>CHOOSE(MATCH(B4493, {20,25,30,35,40,45,50,55,60,65,70,75,80,85}, 1), "20-24", "25-29", "30-34", "35-39", "40-44", "45-49", "50-54", "55-59", "60-64", "65-69", "70-74", "75-79", "80-84", "85+")</f>
        <v>55-59</v>
      </c>
      <c r="D4493" t="s">
        <v>8</v>
      </c>
    </row>
    <row r="4494" spans="1:4">
      <c r="A4494" t="s">
        <v>6</v>
      </c>
      <c r="B4494">
        <v>60</v>
      </c>
      <c r="C4494" t="str">
        <f>CHOOSE(MATCH(B4494, {20,25,30,35,40,45,50,55,60,65,70,75,80,85}, 1), "20-24", "25-29", "30-34", "35-39", "40-44", "45-49", "50-54", "55-59", "60-64", "65-69", "70-74", "75-79", "80-84", "85+")</f>
        <v>60-64</v>
      </c>
      <c r="D4494" t="s">
        <v>7</v>
      </c>
    </row>
    <row r="4495" spans="1:4">
      <c r="A4495" t="s">
        <v>6</v>
      </c>
      <c r="B4495">
        <v>26</v>
      </c>
      <c r="C4495" t="str">
        <f>CHOOSE(MATCH(B4495, {20,25,30,35,40,45,50,55,60,65,70,75,80,85}, 1), "20-24", "25-29", "30-34", "35-39", "40-44", "45-49", "50-54", "55-59", "60-64", "65-69", "70-74", "75-79", "80-84", "85+")</f>
        <v>25-29</v>
      </c>
      <c r="D4495" t="s">
        <v>7</v>
      </c>
    </row>
    <row r="4496" spans="1:4">
      <c r="A4496" t="s">
        <v>6</v>
      </c>
      <c r="B4496">
        <v>25</v>
      </c>
      <c r="C4496" t="str">
        <f>CHOOSE(MATCH(B4496, {20,25,30,35,40,45,50,55,60,65,70,75,80,85}, 1), "20-24", "25-29", "30-34", "35-39", "40-44", "45-49", "50-54", "55-59", "60-64", "65-69", "70-74", "75-79", "80-84", "85+")</f>
        <v>25-29</v>
      </c>
      <c r="D4496" t="s">
        <v>7</v>
      </c>
    </row>
    <row r="4497" spans="1:4">
      <c r="A4497" t="s">
        <v>6</v>
      </c>
      <c r="B4497">
        <v>53</v>
      </c>
      <c r="C4497" t="str">
        <f>CHOOSE(MATCH(B4497, {20,25,30,35,40,45,50,55,60,65,70,75,80,85}, 1), "20-24", "25-29", "30-34", "35-39", "40-44", "45-49", "50-54", "55-59", "60-64", "65-69", "70-74", "75-79", "80-84", "85+")</f>
        <v>50-54</v>
      </c>
      <c r="D4497" t="s">
        <v>8</v>
      </c>
    </row>
    <row r="4498" spans="1:4">
      <c r="A4498" t="s">
        <v>6</v>
      </c>
      <c r="B4498">
        <v>47</v>
      </c>
      <c r="C4498" t="str">
        <f>CHOOSE(MATCH(B4498, {20,25,30,35,40,45,50,55,60,65,70,75,80,85}, 1), "20-24", "25-29", "30-34", "35-39", "40-44", "45-49", "50-54", "55-59", "60-64", "65-69", "70-74", "75-79", "80-84", "85+")</f>
        <v>45-49</v>
      </c>
      <c r="D4498" t="s">
        <v>7</v>
      </c>
    </row>
    <row r="4499" spans="1:4">
      <c r="A4499" t="s">
        <v>6</v>
      </c>
      <c r="B4499">
        <v>36</v>
      </c>
      <c r="C4499" t="str">
        <f>CHOOSE(MATCH(B4499, {20,25,30,35,40,45,50,55,60,65,70,75,80,85}, 1), "20-24", "25-29", "30-34", "35-39", "40-44", "45-49", "50-54", "55-59", "60-64", "65-69", "70-74", "75-79", "80-84", "85+")</f>
        <v>35-39</v>
      </c>
      <c r="D4499" t="s">
        <v>8</v>
      </c>
    </row>
    <row r="4500" spans="1:4">
      <c r="A4500" t="s">
        <v>6</v>
      </c>
      <c r="B4500">
        <v>26</v>
      </c>
      <c r="C4500" t="str">
        <f>CHOOSE(MATCH(B4500, {20,25,30,35,40,45,50,55,60,65,70,75,80,85}, 1), "20-24", "25-29", "30-34", "35-39", "40-44", "45-49", "50-54", "55-59", "60-64", "65-69", "70-74", "75-79", "80-84", "85+")</f>
        <v>25-29</v>
      </c>
      <c r="D4500" t="s">
        <v>7</v>
      </c>
    </row>
    <row r="4501" spans="1:4">
      <c r="A4501" t="s">
        <v>6</v>
      </c>
      <c r="B4501">
        <v>73</v>
      </c>
      <c r="C4501" t="str">
        <f>CHOOSE(MATCH(B4501, {20,25,30,35,40,45,50,55,60,65,70,75,80,85}, 1), "20-24", "25-29", "30-34", "35-39", "40-44", "45-49", "50-54", "55-59", "60-64", "65-69", "70-74", "75-79", "80-84", "85+")</f>
        <v>70-74</v>
      </c>
      <c r="D4501" t="s">
        <v>7</v>
      </c>
    </row>
    <row r="4502" spans="1:4">
      <c r="A4502" t="s">
        <v>6</v>
      </c>
      <c r="B4502">
        <v>33</v>
      </c>
      <c r="C4502" t="str">
        <f>CHOOSE(MATCH(B4502, {20,25,30,35,40,45,50,55,60,65,70,75,80,85}, 1), "20-24", "25-29", "30-34", "35-39", "40-44", "45-49", "50-54", "55-59", "60-64", "65-69", "70-74", "75-79", "80-84", "85+")</f>
        <v>30-34</v>
      </c>
      <c r="D4502" t="s">
        <v>7</v>
      </c>
    </row>
    <row r="4503" spans="1:4">
      <c r="A4503" t="s">
        <v>6</v>
      </c>
      <c r="B4503">
        <v>81</v>
      </c>
      <c r="C4503" t="str">
        <f>CHOOSE(MATCH(B4503, {20,25,30,35,40,45,50,55,60,65,70,75,80,85}, 1), "20-24", "25-29", "30-34", "35-39", "40-44", "45-49", "50-54", "55-59", "60-64", "65-69", "70-74", "75-79", "80-84", "85+")</f>
        <v>80-84</v>
      </c>
      <c r="D4503" t="s">
        <v>8</v>
      </c>
    </row>
    <row r="4504" spans="1:4">
      <c r="A4504" t="s">
        <v>6</v>
      </c>
      <c r="B4504">
        <v>27</v>
      </c>
      <c r="C4504" t="str">
        <f>CHOOSE(MATCH(B4504, {20,25,30,35,40,45,50,55,60,65,70,75,80,85}, 1), "20-24", "25-29", "30-34", "35-39", "40-44", "45-49", "50-54", "55-59", "60-64", "65-69", "70-74", "75-79", "80-84", "85+")</f>
        <v>25-29</v>
      </c>
      <c r="D4504" t="s">
        <v>7</v>
      </c>
    </row>
    <row r="4505" spans="1:4">
      <c r="A4505" t="s">
        <v>6</v>
      </c>
      <c r="B4505">
        <v>39</v>
      </c>
      <c r="C4505" t="str">
        <f>CHOOSE(MATCH(B4505, {20,25,30,35,40,45,50,55,60,65,70,75,80,85}, 1), "20-24", "25-29", "30-34", "35-39", "40-44", "45-49", "50-54", "55-59", "60-64", "65-69", "70-74", "75-79", "80-84", "85+")</f>
        <v>35-39</v>
      </c>
      <c r="D4505" t="s">
        <v>7</v>
      </c>
    </row>
    <row r="4506" spans="1:4">
      <c r="A4506" t="s">
        <v>6</v>
      </c>
      <c r="B4506">
        <v>25</v>
      </c>
      <c r="C4506" t="str">
        <f>CHOOSE(MATCH(B4506, {20,25,30,35,40,45,50,55,60,65,70,75,80,85}, 1), "20-24", "25-29", "30-34", "35-39", "40-44", "45-49", "50-54", "55-59", "60-64", "65-69", "70-74", "75-79", "80-84", "85+")</f>
        <v>25-29</v>
      </c>
      <c r="D4506" t="s">
        <v>7</v>
      </c>
    </row>
    <row r="4507" spans="1:4">
      <c r="A4507" t="s">
        <v>6</v>
      </c>
      <c r="B4507">
        <v>67</v>
      </c>
      <c r="C4507" t="str">
        <f>CHOOSE(MATCH(B4507, {20,25,30,35,40,45,50,55,60,65,70,75,80,85}, 1), "20-24", "25-29", "30-34", "35-39", "40-44", "45-49", "50-54", "55-59", "60-64", "65-69", "70-74", "75-79", "80-84", "85+")</f>
        <v>65-69</v>
      </c>
      <c r="D4507" t="s">
        <v>8</v>
      </c>
    </row>
    <row r="4508" spans="1:4">
      <c r="A4508" t="s">
        <v>6</v>
      </c>
      <c r="B4508">
        <v>70</v>
      </c>
      <c r="C4508" t="str">
        <f>CHOOSE(MATCH(B4508, {20,25,30,35,40,45,50,55,60,65,70,75,80,85}, 1), "20-24", "25-29", "30-34", "35-39", "40-44", "45-49", "50-54", "55-59", "60-64", "65-69", "70-74", "75-79", "80-84", "85+")</f>
        <v>70-74</v>
      </c>
      <c r="D4508" t="s">
        <v>8</v>
      </c>
    </row>
    <row r="4509" spans="1:4">
      <c r="A4509" t="s">
        <v>6</v>
      </c>
      <c r="B4509">
        <v>26</v>
      </c>
      <c r="C4509" t="str">
        <f>CHOOSE(MATCH(B4509, {20,25,30,35,40,45,50,55,60,65,70,75,80,85}, 1), "20-24", "25-29", "30-34", "35-39", "40-44", "45-49", "50-54", "55-59", "60-64", "65-69", "70-74", "75-79", "80-84", "85+")</f>
        <v>25-29</v>
      </c>
      <c r="D4509" t="s">
        <v>7</v>
      </c>
    </row>
    <row r="4510" spans="1:4">
      <c r="A4510" t="s">
        <v>6</v>
      </c>
      <c r="B4510">
        <v>26</v>
      </c>
      <c r="C4510" t="str">
        <f>CHOOSE(MATCH(B4510, {20,25,30,35,40,45,50,55,60,65,70,75,80,85}, 1), "20-24", "25-29", "30-34", "35-39", "40-44", "45-49", "50-54", "55-59", "60-64", "65-69", "70-74", "75-79", "80-84", "85+")</f>
        <v>25-29</v>
      </c>
      <c r="D4510" t="s">
        <v>7</v>
      </c>
    </row>
    <row r="4511" spans="1:4">
      <c r="A4511" t="s">
        <v>6</v>
      </c>
      <c r="B4511">
        <v>61</v>
      </c>
      <c r="C4511" t="str">
        <f>CHOOSE(MATCH(B4511, {20,25,30,35,40,45,50,55,60,65,70,75,80,85}, 1), "20-24", "25-29", "30-34", "35-39", "40-44", "45-49", "50-54", "55-59", "60-64", "65-69", "70-74", "75-79", "80-84", "85+")</f>
        <v>60-64</v>
      </c>
      <c r="D4511" t="s">
        <v>8</v>
      </c>
    </row>
    <row r="4512" spans="1:4">
      <c r="A4512" t="s">
        <v>6</v>
      </c>
      <c r="B4512">
        <v>35</v>
      </c>
      <c r="C4512" t="str">
        <f>CHOOSE(MATCH(B4512, {20,25,30,35,40,45,50,55,60,65,70,75,80,85}, 1), "20-24", "25-29", "30-34", "35-39", "40-44", "45-49", "50-54", "55-59", "60-64", "65-69", "70-74", "75-79", "80-84", "85+")</f>
        <v>35-39</v>
      </c>
      <c r="D4512" t="s">
        <v>8</v>
      </c>
    </row>
    <row r="4513" spans="1:4">
      <c r="A4513" t="s">
        <v>6</v>
      </c>
      <c r="B4513">
        <v>27</v>
      </c>
      <c r="C4513" t="str">
        <f>CHOOSE(MATCH(B4513, {20,25,30,35,40,45,50,55,60,65,70,75,80,85}, 1), "20-24", "25-29", "30-34", "35-39", "40-44", "45-49", "50-54", "55-59", "60-64", "65-69", "70-74", "75-79", "80-84", "85+")</f>
        <v>25-29</v>
      </c>
      <c r="D4513" t="s">
        <v>8</v>
      </c>
    </row>
    <row r="4514" spans="1:4">
      <c r="A4514" t="s">
        <v>6</v>
      </c>
      <c r="B4514">
        <v>76</v>
      </c>
      <c r="C4514" t="str">
        <f>CHOOSE(MATCH(B4514, {20,25,30,35,40,45,50,55,60,65,70,75,80,85}, 1), "20-24", "25-29", "30-34", "35-39", "40-44", "45-49", "50-54", "55-59", "60-64", "65-69", "70-74", "75-79", "80-84", "85+")</f>
        <v>75-79</v>
      </c>
      <c r="D4514" t="s">
        <v>8</v>
      </c>
    </row>
    <row r="4515" spans="1:4">
      <c r="A4515" t="s">
        <v>6</v>
      </c>
      <c r="B4515">
        <v>24</v>
      </c>
      <c r="C4515" t="str">
        <f>CHOOSE(MATCH(B4515, {20,25,30,35,40,45,50,55,60,65,70,75,80,85}, 1), "20-24", "25-29", "30-34", "35-39", "40-44", "45-49", "50-54", "55-59", "60-64", "65-69", "70-74", "75-79", "80-84", "85+")</f>
        <v>20-24</v>
      </c>
      <c r="D4515" t="s">
        <v>7</v>
      </c>
    </row>
    <row r="4516" spans="1:4">
      <c r="A4516" t="s">
        <v>6</v>
      </c>
      <c r="B4516">
        <v>47</v>
      </c>
      <c r="C4516" t="str">
        <f>CHOOSE(MATCH(B4516, {20,25,30,35,40,45,50,55,60,65,70,75,80,85}, 1), "20-24", "25-29", "30-34", "35-39", "40-44", "45-49", "50-54", "55-59", "60-64", "65-69", "70-74", "75-79", "80-84", "85+")</f>
        <v>45-49</v>
      </c>
      <c r="D4516" t="s">
        <v>7</v>
      </c>
    </row>
    <row r="4517" spans="1:4">
      <c r="A4517" t="s">
        <v>6</v>
      </c>
      <c r="B4517">
        <v>46</v>
      </c>
      <c r="C4517" t="str">
        <f>CHOOSE(MATCH(B4517, {20,25,30,35,40,45,50,55,60,65,70,75,80,85}, 1), "20-24", "25-29", "30-34", "35-39", "40-44", "45-49", "50-54", "55-59", "60-64", "65-69", "70-74", "75-79", "80-84", "85+")</f>
        <v>45-49</v>
      </c>
      <c r="D4517" t="s">
        <v>8</v>
      </c>
    </row>
    <row r="4518" spans="1:4">
      <c r="A4518" t="s">
        <v>6</v>
      </c>
      <c r="B4518">
        <v>50</v>
      </c>
      <c r="C4518" t="str">
        <f>CHOOSE(MATCH(B4518, {20,25,30,35,40,45,50,55,60,65,70,75,80,85}, 1), "20-24", "25-29", "30-34", "35-39", "40-44", "45-49", "50-54", "55-59", "60-64", "65-69", "70-74", "75-79", "80-84", "85+")</f>
        <v>50-54</v>
      </c>
      <c r="D4518" t="s">
        <v>8</v>
      </c>
    </row>
    <row r="4519" spans="1:4">
      <c r="A4519" t="s">
        <v>6</v>
      </c>
      <c r="B4519">
        <v>74</v>
      </c>
      <c r="C4519" t="str">
        <f>CHOOSE(MATCH(B4519, {20,25,30,35,40,45,50,55,60,65,70,75,80,85}, 1), "20-24", "25-29", "30-34", "35-39", "40-44", "45-49", "50-54", "55-59", "60-64", "65-69", "70-74", "75-79", "80-84", "85+")</f>
        <v>70-74</v>
      </c>
      <c r="D4519" t="s">
        <v>7</v>
      </c>
    </row>
    <row r="4520" spans="1:4">
      <c r="A4520" t="s">
        <v>6</v>
      </c>
      <c r="B4520">
        <v>38</v>
      </c>
      <c r="C4520" t="str">
        <f>CHOOSE(MATCH(B4520, {20,25,30,35,40,45,50,55,60,65,70,75,80,85}, 1), "20-24", "25-29", "30-34", "35-39", "40-44", "45-49", "50-54", "55-59", "60-64", "65-69", "70-74", "75-79", "80-84", "85+")</f>
        <v>35-39</v>
      </c>
      <c r="D4520" t="s">
        <v>7</v>
      </c>
    </row>
    <row r="4521" spans="1:4">
      <c r="A4521" t="s">
        <v>6</v>
      </c>
      <c r="B4521">
        <v>48</v>
      </c>
      <c r="C4521" t="str">
        <f>CHOOSE(MATCH(B4521, {20,25,30,35,40,45,50,55,60,65,70,75,80,85}, 1), "20-24", "25-29", "30-34", "35-39", "40-44", "45-49", "50-54", "55-59", "60-64", "65-69", "70-74", "75-79", "80-84", "85+")</f>
        <v>45-49</v>
      </c>
      <c r="D4521" t="s">
        <v>8</v>
      </c>
    </row>
    <row r="4522" spans="1:4">
      <c r="A4522" t="s">
        <v>6</v>
      </c>
      <c r="B4522">
        <v>48</v>
      </c>
      <c r="C4522" t="str">
        <f>CHOOSE(MATCH(B4522, {20,25,30,35,40,45,50,55,60,65,70,75,80,85}, 1), "20-24", "25-29", "30-34", "35-39", "40-44", "45-49", "50-54", "55-59", "60-64", "65-69", "70-74", "75-79", "80-84", "85+")</f>
        <v>45-49</v>
      </c>
      <c r="D4522" t="s">
        <v>8</v>
      </c>
    </row>
    <row r="4523" spans="1:4">
      <c r="A4523" t="s">
        <v>6</v>
      </c>
      <c r="B4523">
        <v>36</v>
      </c>
      <c r="C4523" t="str">
        <f>CHOOSE(MATCH(B4523, {20,25,30,35,40,45,50,55,60,65,70,75,80,85}, 1), "20-24", "25-29", "30-34", "35-39", "40-44", "45-49", "50-54", "55-59", "60-64", "65-69", "70-74", "75-79", "80-84", "85+")</f>
        <v>35-39</v>
      </c>
      <c r="D4523" t="s">
        <v>7</v>
      </c>
    </row>
    <row r="4524" spans="1:4">
      <c r="A4524" t="s">
        <v>6</v>
      </c>
      <c r="B4524">
        <v>41</v>
      </c>
      <c r="C4524" t="str">
        <f>CHOOSE(MATCH(B4524, {20,25,30,35,40,45,50,55,60,65,70,75,80,85}, 1), "20-24", "25-29", "30-34", "35-39", "40-44", "45-49", "50-54", "55-59", "60-64", "65-69", "70-74", "75-79", "80-84", "85+")</f>
        <v>40-44</v>
      </c>
      <c r="D4524" t="s">
        <v>8</v>
      </c>
    </row>
    <row r="4525" spans="1:4">
      <c r="A4525" t="s">
        <v>6</v>
      </c>
      <c r="B4525">
        <v>36</v>
      </c>
      <c r="C4525" t="str">
        <f>CHOOSE(MATCH(B4525, {20,25,30,35,40,45,50,55,60,65,70,75,80,85}, 1), "20-24", "25-29", "30-34", "35-39", "40-44", "45-49", "50-54", "55-59", "60-64", "65-69", "70-74", "75-79", "80-84", "85+")</f>
        <v>35-39</v>
      </c>
      <c r="D4525" t="s">
        <v>7</v>
      </c>
    </row>
    <row r="4526" spans="1:4">
      <c r="A4526" t="s">
        <v>6</v>
      </c>
      <c r="B4526">
        <v>29</v>
      </c>
      <c r="C4526" t="str">
        <f>CHOOSE(MATCH(B4526, {20,25,30,35,40,45,50,55,60,65,70,75,80,85}, 1), "20-24", "25-29", "30-34", "35-39", "40-44", "45-49", "50-54", "55-59", "60-64", "65-69", "70-74", "75-79", "80-84", "85+")</f>
        <v>25-29</v>
      </c>
      <c r="D4526" t="s">
        <v>7</v>
      </c>
    </row>
    <row r="4527" spans="1:4">
      <c r="A4527" t="s">
        <v>6</v>
      </c>
      <c r="B4527">
        <v>36</v>
      </c>
      <c r="C4527" t="str">
        <f>CHOOSE(MATCH(B4527, {20,25,30,35,40,45,50,55,60,65,70,75,80,85}, 1), "20-24", "25-29", "30-34", "35-39", "40-44", "45-49", "50-54", "55-59", "60-64", "65-69", "70-74", "75-79", "80-84", "85+")</f>
        <v>35-39</v>
      </c>
      <c r="D4527" t="s">
        <v>7</v>
      </c>
    </row>
    <row r="4528" spans="1:4">
      <c r="A4528" t="s">
        <v>6</v>
      </c>
      <c r="B4528">
        <v>38</v>
      </c>
      <c r="C4528" t="str">
        <f>CHOOSE(MATCH(B4528, {20,25,30,35,40,45,50,55,60,65,70,75,80,85}, 1), "20-24", "25-29", "30-34", "35-39", "40-44", "45-49", "50-54", "55-59", "60-64", "65-69", "70-74", "75-79", "80-84", "85+")</f>
        <v>35-39</v>
      </c>
      <c r="D4528" t="s">
        <v>7</v>
      </c>
    </row>
    <row r="4529" spans="1:4">
      <c r="A4529" t="s">
        <v>6</v>
      </c>
      <c r="B4529">
        <v>28</v>
      </c>
      <c r="C4529" t="str">
        <f>CHOOSE(MATCH(B4529, {20,25,30,35,40,45,50,55,60,65,70,75,80,85}, 1), "20-24", "25-29", "30-34", "35-39", "40-44", "45-49", "50-54", "55-59", "60-64", "65-69", "70-74", "75-79", "80-84", "85+")</f>
        <v>25-29</v>
      </c>
      <c r="D4529" t="s">
        <v>7</v>
      </c>
    </row>
    <row r="4530" spans="1:4">
      <c r="A4530" t="s">
        <v>6</v>
      </c>
      <c r="B4530">
        <v>27</v>
      </c>
      <c r="C4530" t="str">
        <f>CHOOSE(MATCH(B4530, {20,25,30,35,40,45,50,55,60,65,70,75,80,85}, 1), "20-24", "25-29", "30-34", "35-39", "40-44", "45-49", "50-54", "55-59", "60-64", "65-69", "70-74", "75-79", "80-84", "85+")</f>
        <v>25-29</v>
      </c>
      <c r="D4530" t="s">
        <v>7</v>
      </c>
    </row>
    <row r="4531" spans="1:4">
      <c r="A4531" t="s">
        <v>6</v>
      </c>
      <c r="B4531">
        <v>38</v>
      </c>
      <c r="C4531" t="str">
        <f>CHOOSE(MATCH(B4531, {20,25,30,35,40,45,50,55,60,65,70,75,80,85}, 1), "20-24", "25-29", "30-34", "35-39", "40-44", "45-49", "50-54", "55-59", "60-64", "65-69", "70-74", "75-79", "80-84", "85+")</f>
        <v>35-39</v>
      </c>
      <c r="D4531" t="s">
        <v>8</v>
      </c>
    </row>
    <row r="4532" spans="1:4">
      <c r="A4532" t="s">
        <v>6</v>
      </c>
      <c r="B4532">
        <v>45</v>
      </c>
      <c r="C4532" t="str">
        <f>CHOOSE(MATCH(B4532, {20,25,30,35,40,45,50,55,60,65,70,75,80,85}, 1), "20-24", "25-29", "30-34", "35-39", "40-44", "45-49", "50-54", "55-59", "60-64", "65-69", "70-74", "75-79", "80-84", "85+")</f>
        <v>45-49</v>
      </c>
      <c r="D4532" t="s">
        <v>8</v>
      </c>
    </row>
    <row r="4533" spans="1:4">
      <c r="A4533" t="s">
        <v>6</v>
      </c>
      <c r="B4533">
        <v>29</v>
      </c>
      <c r="C4533" t="str">
        <f>CHOOSE(MATCH(B4533, {20,25,30,35,40,45,50,55,60,65,70,75,80,85}, 1), "20-24", "25-29", "30-34", "35-39", "40-44", "45-49", "50-54", "55-59", "60-64", "65-69", "70-74", "75-79", "80-84", "85+")</f>
        <v>25-29</v>
      </c>
      <c r="D4533" t="s">
        <v>7</v>
      </c>
    </row>
    <row r="4534" spans="1:4">
      <c r="A4534" t="s">
        <v>6</v>
      </c>
      <c r="B4534">
        <v>33</v>
      </c>
      <c r="C4534" t="str">
        <f>CHOOSE(MATCH(B4534, {20,25,30,35,40,45,50,55,60,65,70,75,80,85}, 1), "20-24", "25-29", "30-34", "35-39", "40-44", "45-49", "50-54", "55-59", "60-64", "65-69", "70-74", "75-79", "80-84", "85+")</f>
        <v>30-34</v>
      </c>
      <c r="D4534" t="s">
        <v>7</v>
      </c>
    </row>
    <row r="4535" spans="1:4">
      <c r="A4535" t="s">
        <v>6</v>
      </c>
      <c r="B4535">
        <v>24</v>
      </c>
      <c r="C4535" t="str">
        <f>CHOOSE(MATCH(B4535, {20,25,30,35,40,45,50,55,60,65,70,75,80,85}, 1), "20-24", "25-29", "30-34", "35-39", "40-44", "45-49", "50-54", "55-59", "60-64", "65-69", "70-74", "75-79", "80-84", "85+")</f>
        <v>20-24</v>
      </c>
      <c r="D4535" t="s">
        <v>8</v>
      </c>
    </row>
    <row r="4536" spans="1:4">
      <c r="A4536" t="s">
        <v>6</v>
      </c>
      <c r="B4536">
        <v>27</v>
      </c>
      <c r="C4536" t="str">
        <f>CHOOSE(MATCH(B4536, {20,25,30,35,40,45,50,55,60,65,70,75,80,85}, 1), "20-24", "25-29", "30-34", "35-39", "40-44", "45-49", "50-54", "55-59", "60-64", "65-69", "70-74", "75-79", "80-84", "85+")</f>
        <v>25-29</v>
      </c>
      <c r="D4536" t="s">
        <v>8</v>
      </c>
    </row>
    <row r="4537" spans="1:4">
      <c r="A4537" t="s">
        <v>6</v>
      </c>
      <c r="B4537">
        <v>35</v>
      </c>
      <c r="C4537" t="str">
        <f>CHOOSE(MATCH(B4537, {20,25,30,35,40,45,50,55,60,65,70,75,80,85}, 1), "20-24", "25-29", "30-34", "35-39", "40-44", "45-49", "50-54", "55-59", "60-64", "65-69", "70-74", "75-79", "80-84", "85+")</f>
        <v>35-39</v>
      </c>
      <c r="D4537" t="s">
        <v>8</v>
      </c>
    </row>
    <row r="4538" spans="1:4">
      <c r="A4538" t="s">
        <v>6</v>
      </c>
      <c r="B4538">
        <v>28</v>
      </c>
      <c r="C4538" t="str">
        <f>CHOOSE(MATCH(B4538, {20,25,30,35,40,45,50,55,60,65,70,75,80,85}, 1), "20-24", "25-29", "30-34", "35-39", "40-44", "45-49", "50-54", "55-59", "60-64", "65-69", "70-74", "75-79", "80-84", "85+")</f>
        <v>25-29</v>
      </c>
      <c r="D4538" t="s">
        <v>8</v>
      </c>
    </row>
    <row r="4539" spans="1:4">
      <c r="A4539" t="s">
        <v>6</v>
      </c>
      <c r="B4539">
        <v>32</v>
      </c>
      <c r="C4539" t="str">
        <f>CHOOSE(MATCH(B4539, {20,25,30,35,40,45,50,55,60,65,70,75,80,85}, 1), "20-24", "25-29", "30-34", "35-39", "40-44", "45-49", "50-54", "55-59", "60-64", "65-69", "70-74", "75-79", "80-84", "85+")</f>
        <v>30-34</v>
      </c>
      <c r="D4539" t="s">
        <v>8</v>
      </c>
    </row>
    <row r="4540" spans="1:4">
      <c r="A4540" t="s">
        <v>6</v>
      </c>
      <c r="B4540">
        <v>30</v>
      </c>
      <c r="C4540" t="str">
        <f>CHOOSE(MATCH(B4540, {20,25,30,35,40,45,50,55,60,65,70,75,80,85}, 1), "20-24", "25-29", "30-34", "35-39", "40-44", "45-49", "50-54", "55-59", "60-64", "65-69", "70-74", "75-79", "80-84", "85+")</f>
        <v>30-34</v>
      </c>
      <c r="D4540" t="s">
        <v>7</v>
      </c>
    </row>
    <row r="4541" spans="1:4">
      <c r="A4541" t="s">
        <v>6</v>
      </c>
      <c r="B4541">
        <v>35</v>
      </c>
      <c r="C4541" t="str">
        <f>CHOOSE(MATCH(B4541, {20,25,30,35,40,45,50,55,60,65,70,75,80,85}, 1), "20-24", "25-29", "30-34", "35-39", "40-44", "45-49", "50-54", "55-59", "60-64", "65-69", "70-74", "75-79", "80-84", "85+")</f>
        <v>35-39</v>
      </c>
      <c r="D4541" t="s">
        <v>7</v>
      </c>
    </row>
    <row r="4542" spans="1:4">
      <c r="A4542" t="s">
        <v>6</v>
      </c>
      <c r="B4542">
        <v>47</v>
      </c>
      <c r="C4542" t="str">
        <f>CHOOSE(MATCH(B4542, {20,25,30,35,40,45,50,55,60,65,70,75,80,85}, 1), "20-24", "25-29", "30-34", "35-39", "40-44", "45-49", "50-54", "55-59", "60-64", "65-69", "70-74", "75-79", "80-84", "85+")</f>
        <v>45-49</v>
      </c>
      <c r="D4542" t="s">
        <v>8</v>
      </c>
    </row>
    <row r="4543" spans="1:4">
      <c r="A4543" t="s">
        <v>6</v>
      </c>
      <c r="B4543">
        <v>27</v>
      </c>
      <c r="C4543" t="str">
        <f>CHOOSE(MATCH(B4543, {20,25,30,35,40,45,50,55,60,65,70,75,80,85}, 1), "20-24", "25-29", "30-34", "35-39", "40-44", "45-49", "50-54", "55-59", "60-64", "65-69", "70-74", "75-79", "80-84", "85+")</f>
        <v>25-29</v>
      </c>
      <c r="D4543" t="s">
        <v>7</v>
      </c>
    </row>
    <row r="4544" spans="1:4">
      <c r="A4544" t="s">
        <v>6</v>
      </c>
      <c r="B4544">
        <v>20</v>
      </c>
      <c r="C4544" t="str">
        <f>CHOOSE(MATCH(B4544, {20,25,30,35,40,45,50,55,60,65,70,75,80,85}, 1), "20-24", "25-29", "30-34", "35-39", "40-44", "45-49", "50-54", "55-59", "60-64", "65-69", "70-74", "75-79", "80-84", "85+")</f>
        <v>20-24</v>
      </c>
      <c r="D4544" t="s">
        <v>7</v>
      </c>
    </row>
    <row r="4545" spans="1:4">
      <c r="A4545" t="s">
        <v>6</v>
      </c>
      <c r="B4545">
        <v>29</v>
      </c>
      <c r="C4545" t="str">
        <f>CHOOSE(MATCH(B4545, {20,25,30,35,40,45,50,55,60,65,70,75,80,85}, 1), "20-24", "25-29", "30-34", "35-39", "40-44", "45-49", "50-54", "55-59", "60-64", "65-69", "70-74", "75-79", "80-84", "85+")</f>
        <v>25-29</v>
      </c>
      <c r="D4545" t="s">
        <v>7</v>
      </c>
    </row>
    <row r="4546" spans="1:4">
      <c r="A4546" t="s">
        <v>6</v>
      </c>
      <c r="B4546">
        <v>41</v>
      </c>
      <c r="C4546" t="str">
        <f>CHOOSE(MATCH(B4546, {20,25,30,35,40,45,50,55,60,65,70,75,80,85}, 1), "20-24", "25-29", "30-34", "35-39", "40-44", "45-49", "50-54", "55-59", "60-64", "65-69", "70-74", "75-79", "80-84", "85+")</f>
        <v>40-44</v>
      </c>
      <c r="D4546" t="s">
        <v>7</v>
      </c>
    </row>
    <row r="4547" spans="1:4">
      <c r="A4547" t="s">
        <v>6</v>
      </c>
      <c r="B4547">
        <v>30</v>
      </c>
      <c r="C4547" t="str">
        <f>CHOOSE(MATCH(B4547, {20,25,30,35,40,45,50,55,60,65,70,75,80,85}, 1), "20-24", "25-29", "30-34", "35-39", "40-44", "45-49", "50-54", "55-59", "60-64", "65-69", "70-74", "75-79", "80-84", "85+")</f>
        <v>30-34</v>
      </c>
      <c r="D4547" t="s">
        <v>7</v>
      </c>
    </row>
    <row r="4548" spans="1:4">
      <c r="A4548" t="s">
        <v>6</v>
      </c>
      <c r="B4548">
        <v>26</v>
      </c>
      <c r="C4548" t="str">
        <f>CHOOSE(MATCH(B4548, {20,25,30,35,40,45,50,55,60,65,70,75,80,85}, 1), "20-24", "25-29", "30-34", "35-39", "40-44", "45-49", "50-54", "55-59", "60-64", "65-69", "70-74", "75-79", "80-84", "85+")</f>
        <v>25-29</v>
      </c>
      <c r="D4548" t="s">
        <v>7</v>
      </c>
    </row>
    <row r="4549" spans="1:4">
      <c r="A4549" t="s">
        <v>6</v>
      </c>
      <c r="B4549">
        <v>58</v>
      </c>
      <c r="C4549" t="str">
        <f>CHOOSE(MATCH(B4549, {20,25,30,35,40,45,50,55,60,65,70,75,80,85}, 1), "20-24", "25-29", "30-34", "35-39", "40-44", "45-49", "50-54", "55-59", "60-64", "65-69", "70-74", "75-79", "80-84", "85+")</f>
        <v>55-59</v>
      </c>
      <c r="D4549" t="s">
        <v>7</v>
      </c>
    </row>
    <row r="4550" spans="1:4">
      <c r="A4550" t="s">
        <v>6</v>
      </c>
      <c r="B4550">
        <v>77</v>
      </c>
      <c r="C4550" t="str">
        <f>CHOOSE(MATCH(B4550, {20,25,30,35,40,45,50,55,60,65,70,75,80,85}, 1), "20-24", "25-29", "30-34", "35-39", "40-44", "45-49", "50-54", "55-59", "60-64", "65-69", "70-74", "75-79", "80-84", "85+")</f>
        <v>75-79</v>
      </c>
      <c r="D4550" t="s">
        <v>8</v>
      </c>
    </row>
    <row r="4551" spans="1:4">
      <c r="A4551" t="s">
        <v>6</v>
      </c>
      <c r="B4551">
        <v>46</v>
      </c>
      <c r="C4551" t="str">
        <f>CHOOSE(MATCH(B4551, {20,25,30,35,40,45,50,55,60,65,70,75,80,85}, 1), "20-24", "25-29", "30-34", "35-39", "40-44", "45-49", "50-54", "55-59", "60-64", "65-69", "70-74", "75-79", "80-84", "85+")</f>
        <v>45-49</v>
      </c>
      <c r="D4551" t="s">
        <v>7</v>
      </c>
    </row>
    <row r="4552" spans="1:4">
      <c r="A4552" t="s">
        <v>6</v>
      </c>
      <c r="B4552">
        <v>41</v>
      </c>
      <c r="C4552" t="str">
        <f>CHOOSE(MATCH(B4552, {20,25,30,35,40,45,50,55,60,65,70,75,80,85}, 1), "20-24", "25-29", "30-34", "35-39", "40-44", "45-49", "50-54", "55-59", "60-64", "65-69", "70-74", "75-79", "80-84", "85+")</f>
        <v>40-44</v>
      </c>
      <c r="D4552" t="s">
        <v>7</v>
      </c>
    </row>
    <row r="4553" spans="1:4">
      <c r="A4553" t="s">
        <v>6</v>
      </c>
      <c r="B4553">
        <v>43</v>
      </c>
      <c r="C4553" t="str">
        <f>CHOOSE(MATCH(B4553, {20,25,30,35,40,45,50,55,60,65,70,75,80,85}, 1), "20-24", "25-29", "30-34", "35-39", "40-44", "45-49", "50-54", "55-59", "60-64", "65-69", "70-74", "75-79", "80-84", "85+")</f>
        <v>40-44</v>
      </c>
      <c r="D4553" t="s">
        <v>7</v>
      </c>
    </row>
    <row r="4554" spans="1:4">
      <c r="A4554" t="s">
        <v>6</v>
      </c>
      <c r="B4554">
        <v>72</v>
      </c>
      <c r="C4554" t="str">
        <f>CHOOSE(MATCH(B4554, {20,25,30,35,40,45,50,55,60,65,70,75,80,85}, 1), "20-24", "25-29", "30-34", "35-39", "40-44", "45-49", "50-54", "55-59", "60-64", "65-69", "70-74", "75-79", "80-84", "85+")</f>
        <v>70-74</v>
      </c>
      <c r="D4554" t="s">
        <v>7</v>
      </c>
    </row>
    <row r="4555" spans="1:4">
      <c r="A4555" t="s">
        <v>6</v>
      </c>
      <c r="B4555">
        <v>29</v>
      </c>
      <c r="C4555" t="str">
        <f>CHOOSE(MATCH(B4555, {20,25,30,35,40,45,50,55,60,65,70,75,80,85}, 1), "20-24", "25-29", "30-34", "35-39", "40-44", "45-49", "50-54", "55-59", "60-64", "65-69", "70-74", "75-79", "80-84", "85+")</f>
        <v>25-29</v>
      </c>
      <c r="D4555" t="s">
        <v>7</v>
      </c>
    </row>
    <row r="4556" spans="1:4">
      <c r="A4556" t="s">
        <v>6</v>
      </c>
      <c r="B4556">
        <v>31</v>
      </c>
      <c r="C4556" t="str">
        <f>CHOOSE(MATCH(B4556, {20,25,30,35,40,45,50,55,60,65,70,75,80,85}, 1), "20-24", "25-29", "30-34", "35-39", "40-44", "45-49", "50-54", "55-59", "60-64", "65-69", "70-74", "75-79", "80-84", "85+")</f>
        <v>30-34</v>
      </c>
      <c r="D4556" t="s">
        <v>7</v>
      </c>
    </row>
    <row r="4557" spans="1:4">
      <c r="A4557" t="s">
        <v>6</v>
      </c>
      <c r="B4557">
        <v>70</v>
      </c>
      <c r="C4557" t="str">
        <f>CHOOSE(MATCH(B4557, {20,25,30,35,40,45,50,55,60,65,70,75,80,85}, 1), "20-24", "25-29", "30-34", "35-39", "40-44", "45-49", "50-54", "55-59", "60-64", "65-69", "70-74", "75-79", "80-84", "85+")</f>
        <v>70-74</v>
      </c>
      <c r="D4557" t="s">
        <v>8</v>
      </c>
    </row>
    <row r="4558" spans="1:4">
      <c r="A4558" t="s">
        <v>6</v>
      </c>
      <c r="B4558">
        <v>34</v>
      </c>
      <c r="C4558" t="str">
        <f>CHOOSE(MATCH(B4558, {20,25,30,35,40,45,50,55,60,65,70,75,80,85}, 1), "20-24", "25-29", "30-34", "35-39", "40-44", "45-49", "50-54", "55-59", "60-64", "65-69", "70-74", "75-79", "80-84", "85+")</f>
        <v>30-34</v>
      </c>
      <c r="D4558" t="s">
        <v>7</v>
      </c>
    </row>
    <row r="4559" spans="1:4">
      <c r="A4559" t="s">
        <v>6</v>
      </c>
      <c r="B4559">
        <v>32</v>
      </c>
      <c r="C4559" t="str">
        <f>CHOOSE(MATCH(B4559, {20,25,30,35,40,45,50,55,60,65,70,75,80,85}, 1), "20-24", "25-29", "30-34", "35-39", "40-44", "45-49", "50-54", "55-59", "60-64", "65-69", "70-74", "75-79", "80-84", "85+")</f>
        <v>30-34</v>
      </c>
      <c r="D4559" t="s">
        <v>7</v>
      </c>
    </row>
    <row r="4560" spans="1:4">
      <c r="A4560" t="s">
        <v>6</v>
      </c>
      <c r="B4560">
        <v>27</v>
      </c>
      <c r="C4560" t="str">
        <f>CHOOSE(MATCH(B4560, {20,25,30,35,40,45,50,55,60,65,70,75,80,85}, 1), "20-24", "25-29", "30-34", "35-39", "40-44", "45-49", "50-54", "55-59", "60-64", "65-69", "70-74", "75-79", "80-84", "85+")</f>
        <v>25-29</v>
      </c>
      <c r="D4560" t="s">
        <v>7</v>
      </c>
    </row>
    <row r="4561" spans="1:4">
      <c r="A4561" t="s">
        <v>6</v>
      </c>
      <c r="B4561">
        <v>63</v>
      </c>
      <c r="C4561" t="str">
        <f>CHOOSE(MATCH(B4561, {20,25,30,35,40,45,50,55,60,65,70,75,80,85}, 1), "20-24", "25-29", "30-34", "35-39", "40-44", "45-49", "50-54", "55-59", "60-64", "65-69", "70-74", "75-79", "80-84", "85+")</f>
        <v>60-64</v>
      </c>
      <c r="D4561" t="s">
        <v>7</v>
      </c>
    </row>
    <row r="4562" spans="1:4">
      <c r="A4562" t="s">
        <v>6</v>
      </c>
      <c r="B4562">
        <v>31</v>
      </c>
      <c r="C4562" t="str">
        <f>CHOOSE(MATCH(B4562, {20,25,30,35,40,45,50,55,60,65,70,75,80,85}, 1), "20-24", "25-29", "30-34", "35-39", "40-44", "45-49", "50-54", "55-59", "60-64", "65-69", "70-74", "75-79", "80-84", "85+")</f>
        <v>30-34</v>
      </c>
      <c r="D4562" t="s">
        <v>7</v>
      </c>
    </row>
    <row r="4563" spans="1:4">
      <c r="A4563" t="s">
        <v>6</v>
      </c>
      <c r="B4563">
        <v>34</v>
      </c>
      <c r="C4563" t="str">
        <f>CHOOSE(MATCH(B4563, {20,25,30,35,40,45,50,55,60,65,70,75,80,85}, 1), "20-24", "25-29", "30-34", "35-39", "40-44", "45-49", "50-54", "55-59", "60-64", "65-69", "70-74", "75-79", "80-84", "85+")</f>
        <v>30-34</v>
      </c>
      <c r="D4563" t="s">
        <v>8</v>
      </c>
    </row>
    <row r="4564" spans="1:4">
      <c r="A4564" t="s">
        <v>6</v>
      </c>
      <c r="B4564">
        <v>38</v>
      </c>
      <c r="C4564" t="str">
        <f>CHOOSE(MATCH(B4564, {20,25,30,35,40,45,50,55,60,65,70,75,80,85}, 1), "20-24", "25-29", "30-34", "35-39", "40-44", "45-49", "50-54", "55-59", "60-64", "65-69", "70-74", "75-79", "80-84", "85+")</f>
        <v>35-39</v>
      </c>
      <c r="D4564" t="s">
        <v>8</v>
      </c>
    </row>
    <row r="4565" spans="1:4">
      <c r="A4565" t="s">
        <v>6</v>
      </c>
      <c r="B4565">
        <v>24</v>
      </c>
      <c r="C4565" t="str">
        <f>CHOOSE(MATCH(B4565, {20,25,30,35,40,45,50,55,60,65,70,75,80,85}, 1), "20-24", "25-29", "30-34", "35-39", "40-44", "45-49", "50-54", "55-59", "60-64", "65-69", "70-74", "75-79", "80-84", "85+")</f>
        <v>20-24</v>
      </c>
      <c r="D4565" t="s">
        <v>7</v>
      </c>
    </row>
    <row r="4566" spans="1:4">
      <c r="A4566" t="s">
        <v>6</v>
      </c>
      <c r="B4566">
        <v>35</v>
      </c>
      <c r="C4566" t="str">
        <f>CHOOSE(MATCH(B4566, {20,25,30,35,40,45,50,55,60,65,70,75,80,85}, 1), "20-24", "25-29", "30-34", "35-39", "40-44", "45-49", "50-54", "55-59", "60-64", "65-69", "70-74", "75-79", "80-84", "85+")</f>
        <v>35-39</v>
      </c>
      <c r="D4566" t="s">
        <v>8</v>
      </c>
    </row>
    <row r="4567" spans="1:4">
      <c r="A4567" t="s">
        <v>6</v>
      </c>
      <c r="B4567">
        <v>32</v>
      </c>
      <c r="C4567" t="str">
        <f>CHOOSE(MATCH(B4567, {20,25,30,35,40,45,50,55,60,65,70,75,80,85}, 1), "20-24", "25-29", "30-34", "35-39", "40-44", "45-49", "50-54", "55-59", "60-64", "65-69", "70-74", "75-79", "80-84", "85+")</f>
        <v>30-34</v>
      </c>
      <c r="D4567" t="s">
        <v>7</v>
      </c>
    </row>
    <row r="4568" spans="1:4">
      <c r="A4568" t="s">
        <v>6</v>
      </c>
      <c r="B4568">
        <v>33</v>
      </c>
      <c r="C4568" t="str">
        <f>CHOOSE(MATCH(B4568, {20,25,30,35,40,45,50,55,60,65,70,75,80,85}, 1), "20-24", "25-29", "30-34", "35-39", "40-44", "45-49", "50-54", "55-59", "60-64", "65-69", "70-74", "75-79", "80-84", "85+")</f>
        <v>30-34</v>
      </c>
      <c r="D4568" t="s">
        <v>7</v>
      </c>
    </row>
    <row r="4569" spans="1:4">
      <c r="A4569" t="s">
        <v>6</v>
      </c>
      <c r="B4569">
        <v>39</v>
      </c>
      <c r="C4569" t="str">
        <f>CHOOSE(MATCH(B4569, {20,25,30,35,40,45,50,55,60,65,70,75,80,85}, 1), "20-24", "25-29", "30-34", "35-39", "40-44", "45-49", "50-54", "55-59", "60-64", "65-69", "70-74", "75-79", "80-84", "85+")</f>
        <v>35-39</v>
      </c>
      <c r="D4569" t="s">
        <v>8</v>
      </c>
    </row>
    <row r="4570" spans="1:4">
      <c r="A4570" t="s">
        <v>6</v>
      </c>
      <c r="B4570">
        <v>21</v>
      </c>
      <c r="C4570" t="str">
        <f>CHOOSE(MATCH(B4570, {20,25,30,35,40,45,50,55,60,65,70,75,80,85}, 1), "20-24", "25-29", "30-34", "35-39", "40-44", "45-49", "50-54", "55-59", "60-64", "65-69", "70-74", "75-79", "80-84", "85+")</f>
        <v>20-24</v>
      </c>
      <c r="D4570" t="s">
        <v>8</v>
      </c>
    </row>
    <row r="4571" spans="1:4">
      <c r="A4571" t="s">
        <v>6</v>
      </c>
      <c r="B4571">
        <v>21</v>
      </c>
      <c r="C4571" t="str">
        <f>CHOOSE(MATCH(B4571, {20,25,30,35,40,45,50,55,60,65,70,75,80,85}, 1), "20-24", "25-29", "30-34", "35-39", "40-44", "45-49", "50-54", "55-59", "60-64", "65-69", "70-74", "75-79", "80-84", "85+")</f>
        <v>20-24</v>
      </c>
      <c r="D4571" t="s">
        <v>8</v>
      </c>
    </row>
    <row r="4572" spans="1:4">
      <c r="A4572" t="s">
        <v>6</v>
      </c>
      <c r="B4572">
        <v>35</v>
      </c>
      <c r="C4572" t="str">
        <f>CHOOSE(MATCH(B4572, {20,25,30,35,40,45,50,55,60,65,70,75,80,85}, 1), "20-24", "25-29", "30-34", "35-39", "40-44", "45-49", "50-54", "55-59", "60-64", "65-69", "70-74", "75-79", "80-84", "85+")</f>
        <v>35-39</v>
      </c>
      <c r="D4572" t="s">
        <v>8</v>
      </c>
    </row>
    <row r="4573" spans="1:4">
      <c r="A4573" t="s">
        <v>6</v>
      </c>
      <c r="B4573">
        <v>33</v>
      </c>
      <c r="C4573" t="str">
        <f>CHOOSE(MATCH(B4573, {20,25,30,35,40,45,50,55,60,65,70,75,80,85}, 1), "20-24", "25-29", "30-34", "35-39", "40-44", "45-49", "50-54", "55-59", "60-64", "65-69", "70-74", "75-79", "80-84", "85+")</f>
        <v>30-34</v>
      </c>
      <c r="D4573" t="s">
        <v>7</v>
      </c>
    </row>
    <row r="4574" spans="1:4">
      <c r="A4574" t="s">
        <v>6</v>
      </c>
      <c r="B4574">
        <v>56</v>
      </c>
      <c r="C4574" t="str">
        <f>CHOOSE(MATCH(B4574, {20,25,30,35,40,45,50,55,60,65,70,75,80,85}, 1), "20-24", "25-29", "30-34", "35-39", "40-44", "45-49", "50-54", "55-59", "60-64", "65-69", "70-74", "75-79", "80-84", "85+")</f>
        <v>55-59</v>
      </c>
      <c r="D4574" t="s">
        <v>8</v>
      </c>
    </row>
    <row r="4575" spans="1:4">
      <c r="A4575" t="s">
        <v>6</v>
      </c>
      <c r="B4575">
        <v>45</v>
      </c>
      <c r="C4575" t="str">
        <f>CHOOSE(MATCH(B4575, {20,25,30,35,40,45,50,55,60,65,70,75,80,85}, 1), "20-24", "25-29", "30-34", "35-39", "40-44", "45-49", "50-54", "55-59", "60-64", "65-69", "70-74", "75-79", "80-84", "85+")</f>
        <v>45-49</v>
      </c>
      <c r="D4575" t="s">
        <v>8</v>
      </c>
    </row>
    <row r="4576" spans="1:4">
      <c r="A4576" t="s">
        <v>6</v>
      </c>
      <c r="B4576">
        <v>33</v>
      </c>
      <c r="C4576" t="str">
        <f>CHOOSE(MATCH(B4576, {20,25,30,35,40,45,50,55,60,65,70,75,80,85}, 1), "20-24", "25-29", "30-34", "35-39", "40-44", "45-49", "50-54", "55-59", "60-64", "65-69", "70-74", "75-79", "80-84", "85+")</f>
        <v>30-34</v>
      </c>
      <c r="D4576" t="s">
        <v>8</v>
      </c>
    </row>
    <row r="4577" spans="1:4">
      <c r="A4577" t="s">
        <v>6</v>
      </c>
      <c r="B4577">
        <v>54</v>
      </c>
      <c r="C4577" t="str">
        <f>CHOOSE(MATCH(B4577, {20,25,30,35,40,45,50,55,60,65,70,75,80,85}, 1), "20-24", "25-29", "30-34", "35-39", "40-44", "45-49", "50-54", "55-59", "60-64", "65-69", "70-74", "75-79", "80-84", "85+")</f>
        <v>50-54</v>
      </c>
      <c r="D4577" t="s">
        <v>8</v>
      </c>
    </row>
    <row r="4578" spans="1:4">
      <c r="A4578" t="s">
        <v>6</v>
      </c>
      <c r="B4578">
        <v>26</v>
      </c>
      <c r="C4578" t="str">
        <f>CHOOSE(MATCH(B4578, {20,25,30,35,40,45,50,55,60,65,70,75,80,85}, 1), "20-24", "25-29", "30-34", "35-39", "40-44", "45-49", "50-54", "55-59", "60-64", "65-69", "70-74", "75-79", "80-84", "85+")</f>
        <v>25-29</v>
      </c>
      <c r="D4578" t="s">
        <v>7</v>
      </c>
    </row>
    <row r="4579" spans="1:4">
      <c r="A4579" t="s">
        <v>6</v>
      </c>
      <c r="B4579">
        <v>37</v>
      </c>
      <c r="C4579" t="str">
        <f>CHOOSE(MATCH(B4579, {20,25,30,35,40,45,50,55,60,65,70,75,80,85}, 1), "20-24", "25-29", "30-34", "35-39", "40-44", "45-49", "50-54", "55-59", "60-64", "65-69", "70-74", "75-79", "80-84", "85+")</f>
        <v>35-39</v>
      </c>
      <c r="D4579" t="s">
        <v>7</v>
      </c>
    </row>
    <row r="4580" spans="1:4">
      <c r="A4580" t="s">
        <v>6</v>
      </c>
      <c r="B4580">
        <v>37</v>
      </c>
      <c r="C4580" t="str">
        <f>CHOOSE(MATCH(B4580, {20,25,30,35,40,45,50,55,60,65,70,75,80,85}, 1), "20-24", "25-29", "30-34", "35-39", "40-44", "45-49", "50-54", "55-59", "60-64", "65-69", "70-74", "75-79", "80-84", "85+")</f>
        <v>35-39</v>
      </c>
      <c r="D4580" t="s">
        <v>7</v>
      </c>
    </row>
    <row r="4581" spans="1:4">
      <c r="A4581" t="s">
        <v>6</v>
      </c>
      <c r="B4581">
        <v>29</v>
      </c>
      <c r="C4581" t="str">
        <f>CHOOSE(MATCH(B4581, {20,25,30,35,40,45,50,55,60,65,70,75,80,85}, 1), "20-24", "25-29", "30-34", "35-39", "40-44", "45-49", "50-54", "55-59", "60-64", "65-69", "70-74", "75-79", "80-84", "85+")</f>
        <v>25-29</v>
      </c>
      <c r="D4581" t="s">
        <v>7</v>
      </c>
    </row>
    <row r="4582" spans="1:4">
      <c r="A4582" t="s">
        <v>6</v>
      </c>
      <c r="B4582">
        <v>29</v>
      </c>
      <c r="C4582" t="str">
        <f>CHOOSE(MATCH(B4582, {20,25,30,35,40,45,50,55,60,65,70,75,80,85}, 1), "20-24", "25-29", "30-34", "35-39", "40-44", "45-49", "50-54", "55-59", "60-64", "65-69", "70-74", "75-79", "80-84", "85+")</f>
        <v>25-29</v>
      </c>
      <c r="D4582" t="s">
        <v>7</v>
      </c>
    </row>
    <row r="4583" spans="1:4">
      <c r="A4583" t="s">
        <v>6</v>
      </c>
      <c r="B4583">
        <v>20</v>
      </c>
      <c r="C4583" t="str">
        <f>CHOOSE(MATCH(B4583, {20,25,30,35,40,45,50,55,60,65,70,75,80,85}, 1), "20-24", "25-29", "30-34", "35-39", "40-44", "45-49", "50-54", "55-59", "60-64", "65-69", "70-74", "75-79", "80-84", "85+")</f>
        <v>20-24</v>
      </c>
      <c r="D4583" t="s">
        <v>8</v>
      </c>
    </row>
    <row r="4584" spans="1:4">
      <c r="A4584" t="s">
        <v>6</v>
      </c>
      <c r="B4584">
        <v>41</v>
      </c>
      <c r="C4584" t="str">
        <f>CHOOSE(MATCH(B4584, {20,25,30,35,40,45,50,55,60,65,70,75,80,85}, 1), "20-24", "25-29", "30-34", "35-39", "40-44", "45-49", "50-54", "55-59", "60-64", "65-69", "70-74", "75-79", "80-84", "85+")</f>
        <v>40-44</v>
      </c>
      <c r="D4584" t="s">
        <v>7</v>
      </c>
    </row>
    <row r="4585" spans="1:4">
      <c r="A4585" t="s">
        <v>6</v>
      </c>
      <c r="B4585">
        <v>57</v>
      </c>
      <c r="C4585" t="str">
        <f>CHOOSE(MATCH(B4585, {20,25,30,35,40,45,50,55,60,65,70,75,80,85}, 1), "20-24", "25-29", "30-34", "35-39", "40-44", "45-49", "50-54", "55-59", "60-64", "65-69", "70-74", "75-79", "80-84", "85+")</f>
        <v>55-59</v>
      </c>
      <c r="D4585" t="s">
        <v>8</v>
      </c>
    </row>
    <row r="4586" spans="1:4">
      <c r="A4586" t="s">
        <v>6</v>
      </c>
      <c r="B4586">
        <v>35</v>
      </c>
      <c r="C4586" t="str">
        <f>CHOOSE(MATCH(B4586, {20,25,30,35,40,45,50,55,60,65,70,75,80,85}, 1), "20-24", "25-29", "30-34", "35-39", "40-44", "45-49", "50-54", "55-59", "60-64", "65-69", "70-74", "75-79", "80-84", "85+")</f>
        <v>35-39</v>
      </c>
      <c r="D4586" t="s">
        <v>7</v>
      </c>
    </row>
    <row r="4587" spans="1:4">
      <c r="A4587" t="s">
        <v>6</v>
      </c>
      <c r="B4587">
        <v>32</v>
      </c>
      <c r="C4587" t="str">
        <f>CHOOSE(MATCH(B4587, {20,25,30,35,40,45,50,55,60,65,70,75,80,85}, 1), "20-24", "25-29", "30-34", "35-39", "40-44", "45-49", "50-54", "55-59", "60-64", "65-69", "70-74", "75-79", "80-84", "85+")</f>
        <v>30-34</v>
      </c>
      <c r="D4587" t="s">
        <v>7</v>
      </c>
    </row>
    <row r="4588" spans="1:4">
      <c r="A4588" t="s">
        <v>6</v>
      </c>
      <c r="B4588">
        <v>46</v>
      </c>
      <c r="C4588" t="str">
        <f>CHOOSE(MATCH(B4588, {20,25,30,35,40,45,50,55,60,65,70,75,80,85}, 1), "20-24", "25-29", "30-34", "35-39", "40-44", "45-49", "50-54", "55-59", "60-64", "65-69", "70-74", "75-79", "80-84", "85+")</f>
        <v>45-49</v>
      </c>
      <c r="D4588" t="s">
        <v>8</v>
      </c>
    </row>
    <row r="4589" spans="1:4">
      <c r="A4589" t="s">
        <v>6</v>
      </c>
      <c r="B4589">
        <v>35</v>
      </c>
      <c r="C4589" t="str">
        <f>CHOOSE(MATCH(B4589, {20,25,30,35,40,45,50,55,60,65,70,75,80,85}, 1), "20-24", "25-29", "30-34", "35-39", "40-44", "45-49", "50-54", "55-59", "60-64", "65-69", "70-74", "75-79", "80-84", "85+")</f>
        <v>35-39</v>
      </c>
      <c r="D4589" t="s">
        <v>7</v>
      </c>
    </row>
    <row r="4590" spans="1:4">
      <c r="A4590" t="s">
        <v>6</v>
      </c>
      <c r="B4590">
        <v>32</v>
      </c>
      <c r="C4590" t="str">
        <f>CHOOSE(MATCH(B4590, {20,25,30,35,40,45,50,55,60,65,70,75,80,85}, 1), "20-24", "25-29", "30-34", "35-39", "40-44", "45-49", "50-54", "55-59", "60-64", "65-69", "70-74", "75-79", "80-84", "85+")</f>
        <v>30-34</v>
      </c>
      <c r="D4590" t="s">
        <v>8</v>
      </c>
    </row>
    <row r="4591" spans="1:4">
      <c r="A4591" t="s">
        <v>6</v>
      </c>
      <c r="B4591">
        <v>40</v>
      </c>
      <c r="C4591" t="str">
        <f>CHOOSE(MATCH(B4591, {20,25,30,35,40,45,50,55,60,65,70,75,80,85}, 1), "20-24", "25-29", "30-34", "35-39", "40-44", "45-49", "50-54", "55-59", "60-64", "65-69", "70-74", "75-79", "80-84", "85+")</f>
        <v>40-44</v>
      </c>
      <c r="D4591" t="s">
        <v>7</v>
      </c>
    </row>
    <row r="4592" spans="1:4">
      <c r="A4592" t="s">
        <v>6</v>
      </c>
      <c r="B4592">
        <v>74</v>
      </c>
      <c r="C4592" t="str">
        <f>CHOOSE(MATCH(B4592, {20,25,30,35,40,45,50,55,60,65,70,75,80,85}, 1), "20-24", "25-29", "30-34", "35-39", "40-44", "45-49", "50-54", "55-59", "60-64", "65-69", "70-74", "75-79", "80-84", "85+")</f>
        <v>70-74</v>
      </c>
      <c r="D4592" t="s">
        <v>7</v>
      </c>
    </row>
    <row r="4593" spans="1:4">
      <c r="A4593" t="s">
        <v>6</v>
      </c>
      <c r="B4593">
        <v>33</v>
      </c>
      <c r="C4593" t="str">
        <f>CHOOSE(MATCH(B4593, {20,25,30,35,40,45,50,55,60,65,70,75,80,85}, 1), "20-24", "25-29", "30-34", "35-39", "40-44", "45-49", "50-54", "55-59", "60-64", "65-69", "70-74", "75-79", "80-84", "85+")</f>
        <v>30-34</v>
      </c>
      <c r="D4593" t="s">
        <v>8</v>
      </c>
    </row>
    <row r="4594" spans="1:4">
      <c r="A4594" t="s">
        <v>6</v>
      </c>
      <c r="B4594">
        <v>37</v>
      </c>
      <c r="C4594" t="str">
        <f>CHOOSE(MATCH(B4594, {20,25,30,35,40,45,50,55,60,65,70,75,80,85}, 1), "20-24", "25-29", "30-34", "35-39", "40-44", "45-49", "50-54", "55-59", "60-64", "65-69", "70-74", "75-79", "80-84", "85+")</f>
        <v>35-39</v>
      </c>
      <c r="D4594" t="s">
        <v>7</v>
      </c>
    </row>
    <row r="4595" spans="1:4">
      <c r="A4595" t="s">
        <v>6</v>
      </c>
      <c r="B4595">
        <v>31</v>
      </c>
      <c r="C4595" t="str">
        <f>CHOOSE(MATCH(B4595, {20,25,30,35,40,45,50,55,60,65,70,75,80,85}, 1), "20-24", "25-29", "30-34", "35-39", "40-44", "45-49", "50-54", "55-59", "60-64", "65-69", "70-74", "75-79", "80-84", "85+")</f>
        <v>30-34</v>
      </c>
      <c r="D4595" t="s">
        <v>8</v>
      </c>
    </row>
    <row r="4596" spans="1:4">
      <c r="A4596" t="s">
        <v>6</v>
      </c>
      <c r="B4596">
        <v>32</v>
      </c>
      <c r="C4596" t="str">
        <f>CHOOSE(MATCH(B4596, {20,25,30,35,40,45,50,55,60,65,70,75,80,85}, 1), "20-24", "25-29", "30-34", "35-39", "40-44", "45-49", "50-54", "55-59", "60-64", "65-69", "70-74", "75-79", "80-84", "85+")</f>
        <v>30-34</v>
      </c>
      <c r="D4596" t="s">
        <v>7</v>
      </c>
    </row>
    <row r="4597" spans="1:4">
      <c r="A4597" t="s">
        <v>6</v>
      </c>
      <c r="B4597">
        <v>36</v>
      </c>
      <c r="C4597" t="str">
        <f>CHOOSE(MATCH(B4597, {20,25,30,35,40,45,50,55,60,65,70,75,80,85}, 1), "20-24", "25-29", "30-34", "35-39", "40-44", "45-49", "50-54", "55-59", "60-64", "65-69", "70-74", "75-79", "80-84", "85+")</f>
        <v>35-39</v>
      </c>
      <c r="D4597" t="s">
        <v>7</v>
      </c>
    </row>
    <row r="4598" spans="1:4">
      <c r="A4598" t="s">
        <v>6</v>
      </c>
      <c r="B4598">
        <v>27</v>
      </c>
      <c r="C4598" t="str">
        <f>CHOOSE(MATCH(B4598, {20,25,30,35,40,45,50,55,60,65,70,75,80,85}, 1), "20-24", "25-29", "30-34", "35-39", "40-44", "45-49", "50-54", "55-59", "60-64", "65-69", "70-74", "75-79", "80-84", "85+")</f>
        <v>25-29</v>
      </c>
      <c r="D4598" t="s">
        <v>7</v>
      </c>
    </row>
    <row r="4599" spans="1:4">
      <c r="A4599" t="s">
        <v>6</v>
      </c>
      <c r="B4599">
        <v>43</v>
      </c>
      <c r="C4599" t="str">
        <f>CHOOSE(MATCH(B4599, {20,25,30,35,40,45,50,55,60,65,70,75,80,85}, 1), "20-24", "25-29", "30-34", "35-39", "40-44", "45-49", "50-54", "55-59", "60-64", "65-69", "70-74", "75-79", "80-84", "85+")</f>
        <v>40-44</v>
      </c>
      <c r="D4599" t="s">
        <v>7</v>
      </c>
    </row>
    <row r="4600" spans="1:4">
      <c r="A4600" t="s">
        <v>6</v>
      </c>
      <c r="B4600">
        <v>26</v>
      </c>
      <c r="C4600" t="str">
        <f>CHOOSE(MATCH(B4600, {20,25,30,35,40,45,50,55,60,65,70,75,80,85}, 1), "20-24", "25-29", "30-34", "35-39", "40-44", "45-49", "50-54", "55-59", "60-64", "65-69", "70-74", "75-79", "80-84", "85+")</f>
        <v>25-29</v>
      </c>
      <c r="D4600" t="s">
        <v>7</v>
      </c>
    </row>
    <row r="4601" spans="1:4">
      <c r="A4601" t="s">
        <v>6</v>
      </c>
      <c r="B4601">
        <v>44</v>
      </c>
      <c r="C4601" t="str">
        <f>CHOOSE(MATCH(B4601, {20,25,30,35,40,45,50,55,60,65,70,75,80,85}, 1), "20-24", "25-29", "30-34", "35-39", "40-44", "45-49", "50-54", "55-59", "60-64", "65-69", "70-74", "75-79", "80-84", "85+")</f>
        <v>40-44</v>
      </c>
      <c r="D4601" t="s">
        <v>7</v>
      </c>
    </row>
    <row r="4602" spans="1:4">
      <c r="A4602" t="s">
        <v>6</v>
      </c>
      <c r="B4602">
        <v>39</v>
      </c>
      <c r="C4602" t="str">
        <f>CHOOSE(MATCH(B4602, {20,25,30,35,40,45,50,55,60,65,70,75,80,85}, 1), "20-24", "25-29", "30-34", "35-39", "40-44", "45-49", "50-54", "55-59", "60-64", "65-69", "70-74", "75-79", "80-84", "85+")</f>
        <v>35-39</v>
      </c>
      <c r="D4602" t="s">
        <v>8</v>
      </c>
    </row>
    <row r="4603" spans="1:4">
      <c r="A4603" t="s">
        <v>6</v>
      </c>
      <c r="B4603">
        <v>44</v>
      </c>
      <c r="C4603" t="str">
        <f>CHOOSE(MATCH(B4603, {20,25,30,35,40,45,50,55,60,65,70,75,80,85}, 1), "20-24", "25-29", "30-34", "35-39", "40-44", "45-49", "50-54", "55-59", "60-64", "65-69", "70-74", "75-79", "80-84", "85+")</f>
        <v>40-44</v>
      </c>
      <c r="D4603" t="s">
        <v>7</v>
      </c>
    </row>
    <row r="4604" spans="1:4">
      <c r="A4604" t="s">
        <v>6</v>
      </c>
      <c r="B4604">
        <v>65</v>
      </c>
      <c r="C4604" t="str">
        <f>CHOOSE(MATCH(B4604, {20,25,30,35,40,45,50,55,60,65,70,75,80,85}, 1), "20-24", "25-29", "30-34", "35-39", "40-44", "45-49", "50-54", "55-59", "60-64", "65-69", "70-74", "75-79", "80-84", "85+")</f>
        <v>65-69</v>
      </c>
      <c r="D4604" t="s">
        <v>8</v>
      </c>
    </row>
    <row r="4605" spans="1:4">
      <c r="A4605" t="s">
        <v>6</v>
      </c>
      <c r="B4605">
        <v>43</v>
      </c>
      <c r="C4605" t="str">
        <f>CHOOSE(MATCH(B4605, {20,25,30,35,40,45,50,55,60,65,70,75,80,85}, 1), "20-24", "25-29", "30-34", "35-39", "40-44", "45-49", "50-54", "55-59", "60-64", "65-69", "70-74", "75-79", "80-84", "85+")</f>
        <v>40-44</v>
      </c>
      <c r="D4605" t="s">
        <v>8</v>
      </c>
    </row>
    <row r="4606" spans="1:4">
      <c r="A4606" t="s">
        <v>6</v>
      </c>
      <c r="B4606">
        <v>68</v>
      </c>
      <c r="C4606" t="str">
        <f>CHOOSE(MATCH(B4606, {20,25,30,35,40,45,50,55,60,65,70,75,80,85}, 1), "20-24", "25-29", "30-34", "35-39", "40-44", "45-49", "50-54", "55-59", "60-64", "65-69", "70-74", "75-79", "80-84", "85+")</f>
        <v>65-69</v>
      </c>
      <c r="D4606" t="s">
        <v>7</v>
      </c>
    </row>
    <row r="4607" spans="1:4">
      <c r="A4607" t="s">
        <v>6</v>
      </c>
      <c r="B4607">
        <v>38</v>
      </c>
      <c r="C4607" t="str">
        <f>CHOOSE(MATCH(B4607, {20,25,30,35,40,45,50,55,60,65,70,75,80,85}, 1), "20-24", "25-29", "30-34", "35-39", "40-44", "45-49", "50-54", "55-59", "60-64", "65-69", "70-74", "75-79", "80-84", "85+")</f>
        <v>35-39</v>
      </c>
      <c r="D4607" t="s">
        <v>7</v>
      </c>
    </row>
    <row r="4608" spans="1:4">
      <c r="A4608" t="s">
        <v>6</v>
      </c>
      <c r="B4608">
        <v>31</v>
      </c>
      <c r="C4608" t="str">
        <f>CHOOSE(MATCH(B4608, {20,25,30,35,40,45,50,55,60,65,70,75,80,85}, 1), "20-24", "25-29", "30-34", "35-39", "40-44", "45-49", "50-54", "55-59", "60-64", "65-69", "70-74", "75-79", "80-84", "85+")</f>
        <v>30-34</v>
      </c>
      <c r="D4608" t="s">
        <v>7</v>
      </c>
    </row>
    <row r="4609" spans="1:4">
      <c r="A4609" t="s">
        <v>6</v>
      </c>
      <c r="B4609">
        <v>40</v>
      </c>
      <c r="C4609" t="str">
        <f>CHOOSE(MATCH(B4609, {20,25,30,35,40,45,50,55,60,65,70,75,80,85}, 1), "20-24", "25-29", "30-34", "35-39", "40-44", "45-49", "50-54", "55-59", "60-64", "65-69", "70-74", "75-79", "80-84", "85+")</f>
        <v>40-44</v>
      </c>
      <c r="D4609" t="s">
        <v>7</v>
      </c>
    </row>
    <row r="4610" spans="1:4">
      <c r="A4610" t="s">
        <v>6</v>
      </c>
      <c r="B4610">
        <v>26</v>
      </c>
      <c r="C4610" t="str">
        <f>CHOOSE(MATCH(B4610, {20,25,30,35,40,45,50,55,60,65,70,75,80,85}, 1), "20-24", "25-29", "30-34", "35-39", "40-44", "45-49", "50-54", "55-59", "60-64", "65-69", "70-74", "75-79", "80-84", "85+")</f>
        <v>25-29</v>
      </c>
      <c r="D4610" t="s">
        <v>7</v>
      </c>
    </row>
    <row r="4611" spans="1:4">
      <c r="A4611" t="s">
        <v>6</v>
      </c>
      <c r="B4611">
        <v>22</v>
      </c>
      <c r="C4611" t="str">
        <f>CHOOSE(MATCH(B4611, {20,25,30,35,40,45,50,55,60,65,70,75,80,85}, 1), "20-24", "25-29", "30-34", "35-39", "40-44", "45-49", "50-54", "55-59", "60-64", "65-69", "70-74", "75-79", "80-84", "85+")</f>
        <v>20-24</v>
      </c>
      <c r="D4611" t="s">
        <v>7</v>
      </c>
    </row>
    <row r="4612" spans="1:4">
      <c r="A4612" t="s">
        <v>6</v>
      </c>
      <c r="B4612">
        <v>31</v>
      </c>
      <c r="C4612" t="str">
        <f>CHOOSE(MATCH(B4612, {20,25,30,35,40,45,50,55,60,65,70,75,80,85}, 1), "20-24", "25-29", "30-34", "35-39", "40-44", "45-49", "50-54", "55-59", "60-64", "65-69", "70-74", "75-79", "80-84", "85+")</f>
        <v>30-34</v>
      </c>
      <c r="D4612" t="s">
        <v>7</v>
      </c>
    </row>
    <row r="4613" spans="1:4">
      <c r="A4613" t="s">
        <v>6</v>
      </c>
      <c r="B4613">
        <v>36</v>
      </c>
      <c r="C4613" t="str">
        <f>CHOOSE(MATCH(B4613, {20,25,30,35,40,45,50,55,60,65,70,75,80,85}, 1), "20-24", "25-29", "30-34", "35-39", "40-44", "45-49", "50-54", "55-59", "60-64", "65-69", "70-74", "75-79", "80-84", "85+")</f>
        <v>35-39</v>
      </c>
      <c r="D4613" t="s">
        <v>7</v>
      </c>
    </row>
    <row r="4614" spans="1:4">
      <c r="A4614" t="s">
        <v>6</v>
      </c>
      <c r="B4614">
        <v>30</v>
      </c>
      <c r="C4614" t="str">
        <f>CHOOSE(MATCH(B4614, {20,25,30,35,40,45,50,55,60,65,70,75,80,85}, 1), "20-24", "25-29", "30-34", "35-39", "40-44", "45-49", "50-54", "55-59", "60-64", "65-69", "70-74", "75-79", "80-84", "85+")</f>
        <v>30-34</v>
      </c>
      <c r="D4614" t="s">
        <v>7</v>
      </c>
    </row>
    <row r="4615" spans="1:4">
      <c r="A4615" t="s">
        <v>6</v>
      </c>
      <c r="B4615">
        <v>32</v>
      </c>
      <c r="C4615" t="str">
        <f>CHOOSE(MATCH(B4615, {20,25,30,35,40,45,50,55,60,65,70,75,80,85}, 1), "20-24", "25-29", "30-34", "35-39", "40-44", "45-49", "50-54", "55-59", "60-64", "65-69", "70-74", "75-79", "80-84", "85+")</f>
        <v>30-34</v>
      </c>
      <c r="D4615" t="s">
        <v>7</v>
      </c>
    </row>
    <row r="4616" spans="1:4">
      <c r="A4616" t="s">
        <v>6</v>
      </c>
      <c r="B4616">
        <v>49</v>
      </c>
      <c r="C4616" t="str">
        <f>CHOOSE(MATCH(B4616, {20,25,30,35,40,45,50,55,60,65,70,75,80,85}, 1), "20-24", "25-29", "30-34", "35-39", "40-44", "45-49", "50-54", "55-59", "60-64", "65-69", "70-74", "75-79", "80-84", "85+")</f>
        <v>45-49</v>
      </c>
      <c r="D4616" t="s">
        <v>7</v>
      </c>
    </row>
    <row r="4617" spans="1:4">
      <c r="A4617" t="s">
        <v>6</v>
      </c>
      <c r="B4617">
        <v>25</v>
      </c>
      <c r="C4617" t="str">
        <f>CHOOSE(MATCH(B4617, {20,25,30,35,40,45,50,55,60,65,70,75,80,85}, 1), "20-24", "25-29", "30-34", "35-39", "40-44", "45-49", "50-54", "55-59", "60-64", "65-69", "70-74", "75-79", "80-84", "85+")</f>
        <v>25-29</v>
      </c>
      <c r="D4617" t="s">
        <v>7</v>
      </c>
    </row>
    <row r="4618" spans="1:4">
      <c r="A4618" t="s">
        <v>6</v>
      </c>
      <c r="B4618">
        <v>45</v>
      </c>
      <c r="C4618" t="str">
        <f>CHOOSE(MATCH(B4618, {20,25,30,35,40,45,50,55,60,65,70,75,80,85}, 1), "20-24", "25-29", "30-34", "35-39", "40-44", "45-49", "50-54", "55-59", "60-64", "65-69", "70-74", "75-79", "80-84", "85+")</f>
        <v>45-49</v>
      </c>
      <c r="D4618" t="s">
        <v>7</v>
      </c>
    </row>
    <row r="4619" spans="1:4">
      <c r="A4619" t="s">
        <v>6</v>
      </c>
      <c r="B4619">
        <v>33</v>
      </c>
      <c r="C4619" t="str">
        <f>CHOOSE(MATCH(B4619, {20,25,30,35,40,45,50,55,60,65,70,75,80,85}, 1), "20-24", "25-29", "30-34", "35-39", "40-44", "45-49", "50-54", "55-59", "60-64", "65-69", "70-74", "75-79", "80-84", "85+")</f>
        <v>30-34</v>
      </c>
      <c r="D4619" t="s">
        <v>7</v>
      </c>
    </row>
    <row r="4620" spans="1:4">
      <c r="A4620" t="s">
        <v>6</v>
      </c>
      <c r="B4620">
        <v>32</v>
      </c>
      <c r="C4620" t="str">
        <f>CHOOSE(MATCH(B4620, {20,25,30,35,40,45,50,55,60,65,70,75,80,85}, 1), "20-24", "25-29", "30-34", "35-39", "40-44", "45-49", "50-54", "55-59", "60-64", "65-69", "70-74", "75-79", "80-84", "85+")</f>
        <v>30-34</v>
      </c>
      <c r="D4620" t="s">
        <v>7</v>
      </c>
    </row>
    <row r="4621" spans="1:4">
      <c r="A4621" t="s">
        <v>6</v>
      </c>
      <c r="B4621">
        <v>38</v>
      </c>
      <c r="C4621" t="str">
        <f>CHOOSE(MATCH(B4621, {20,25,30,35,40,45,50,55,60,65,70,75,80,85}, 1), "20-24", "25-29", "30-34", "35-39", "40-44", "45-49", "50-54", "55-59", "60-64", "65-69", "70-74", "75-79", "80-84", "85+")</f>
        <v>35-39</v>
      </c>
      <c r="D4621" t="s">
        <v>7</v>
      </c>
    </row>
    <row r="4622" spans="1:4">
      <c r="A4622" t="s">
        <v>6</v>
      </c>
      <c r="B4622">
        <v>77</v>
      </c>
      <c r="C4622" t="str">
        <f>CHOOSE(MATCH(B4622, {20,25,30,35,40,45,50,55,60,65,70,75,80,85}, 1), "20-24", "25-29", "30-34", "35-39", "40-44", "45-49", "50-54", "55-59", "60-64", "65-69", "70-74", "75-79", "80-84", "85+")</f>
        <v>75-79</v>
      </c>
      <c r="D4622" t="s">
        <v>7</v>
      </c>
    </row>
    <row r="4623" spans="1:4">
      <c r="A4623" t="s">
        <v>6</v>
      </c>
      <c r="B4623">
        <v>32</v>
      </c>
      <c r="C4623" t="str">
        <f>CHOOSE(MATCH(B4623, {20,25,30,35,40,45,50,55,60,65,70,75,80,85}, 1), "20-24", "25-29", "30-34", "35-39", "40-44", "45-49", "50-54", "55-59", "60-64", "65-69", "70-74", "75-79", "80-84", "85+")</f>
        <v>30-34</v>
      </c>
      <c r="D4623" t="s">
        <v>8</v>
      </c>
    </row>
    <row r="4624" spans="1:4">
      <c r="A4624" t="s">
        <v>6</v>
      </c>
      <c r="B4624">
        <v>33</v>
      </c>
      <c r="C4624" t="str">
        <f>CHOOSE(MATCH(B4624, {20,25,30,35,40,45,50,55,60,65,70,75,80,85}, 1), "20-24", "25-29", "30-34", "35-39", "40-44", "45-49", "50-54", "55-59", "60-64", "65-69", "70-74", "75-79", "80-84", "85+")</f>
        <v>30-34</v>
      </c>
      <c r="D4624" t="s">
        <v>7</v>
      </c>
    </row>
    <row r="4625" spans="1:4">
      <c r="A4625" t="s">
        <v>6</v>
      </c>
      <c r="B4625">
        <v>66</v>
      </c>
      <c r="C4625" t="str">
        <f>CHOOSE(MATCH(B4625, {20,25,30,35,40,45,50,55,60,65,70,75,80,85}, 1), "20-24", "25-29", "30-34", "35-39", "40-44", "45-49", "50-54", "55-59", "60-64", "65-69", "70-74", "75-79", "80-84", "85+")</f>
        <v>65-69</v>
      </c>
      <c r="D4625" t="s">
        <v>8</v>
      </c>
    </row>
    <row r="4626" spans="1:4">
      <c r="A4626" t="s">
        <v>6</v>
      </c>
      <c r="B4626">
        <v>44</v>
      </c>
      <c r="C4626" t="str">
        <f>CHOOSE(MATCH(B4626, {20,25,30,35,40,45,50,55,60,65,70,75,80,85}, 1), "20-24", "25-29", "30-34", "35-39", "40-44", "45-49", "50-54", "55-59", "60-64", "65-69", "70-74", "75-79", "80-84", "85+")</f>
        <v>40-44</v>
      </c>
      <c r="D4626" t="s">
        <v>8</v>
      </c>
    </row>
    <row r="4627" spans="1:4">
      <c r="A4627" t="s">
        <v>6</v>
      </c>
      <c r="B4627">
        <v>42</v>
      </c>
      <c r="C4627" t="str">
        <f>CHOOSE(MATCH(B4627, {20,25,30,35,40,45,50,55,60,65,70,75,80,85}, 1), "20-24", "25-29", "30-34", "35-39", "40-44", "45-49", "50-54", "55-59", "60-64", "65-69", "70-74", "75-79", "80-84", "85+")</f>
        <v>40-44</v>
      </c>
      <c r="D4627" t="s">
        <v>7</v>
      </c>
    </row>
    <row r="4628" spans="1:4">
      <c r="A4628" t="s">
        <v>6</v>
      </c>
      <c r="B4628">
        <v>90</v>
      </c>
      <c r="C4628" t="str">
        <f>CHOOSE(MATCH(B4628, {20,25,30,35,40,45,50,55,60,65,70,75,80,85}, 1), "20-24", "25-29", "30-34", "35-39", "40-44", "45-49", "50-54", "55-59", "60-64", "65-69", "70-74", "75-79", "80-84", "85+")</f>
        <v>85+</v>
      </c>
      <c r="D4628" t="s">
        <v>8</v>
      </c>
    </row>
    <row r="4629" spans="1:4">
      <c r="A4629" t="s">
        <v>6</v>
      </c>
      <c r="B4629">
        <v>56</v>
      </c>
      <c r="C4629" t="str">
        <f>CHOOSE(MATCH(B4629, {20,25,30,35,40,45,50,55,60,65,70,75,80,85}, 1), "20-24", "25-29", "30-34", "35-39", "40-44", "45-49", "50-54", "55-59", "60-64", "65-69", "70-74", "75-79", "80-84", "85+")</f>
        <v>55-59</v>
      </c>
      <c r="D4629" t="s">
        <v>8</v>
      </c>
    </row>
    <row r="4630" spans="1:4">
      <c r="A4630" t="s">
        <v>6</v>
      </c>
      <c r="B4630">
        <v>46</v>
      </c>
      <c r="C4630" t="str">
        <f>CHOOSE(MATCH(B4630, {20,25,30,35,40,45,50,55,60,65,70,75,80,85}, 1), "20-24", "25-29", "30-34", "35-39", "40-44", "45-49", "50-54", "55-59", "60-64", "65-69", "70-74", "75-79", "80-84", "85+")</f>
        <v>45-49</v>
      </c>
      <c r="D4630" t="s">
        <v>7</v>
      </c>
    </row>
    <row r="4631" spans="1:4">
      <c r="A4631" t="s">
        <v>6</v>
      </c>
      <c r="B4631">
        <v>25</v>
      </c>
      <c r="C4631" t="str">
        <f>CHOOSE(MATCH(B4631, {20,25,30,35,40,45,50,55,60,65,70,75,80,85}, 1), "20-24", "25-29", "30-34", "35-39", "40-44", "45-49", "50-54", "55-59", "60-64", "65-69", "70-74", "75-79", "80-84", "85+")</f>
        <v>25-29</v>
      </c>
      <c r="D4631" t="s">
        <v>7</v>
      </c>
    </row>
    <row r="4632" spans="1:4">
      <c r="A4632" t="s">
        <v>6</v>
      </c>
      <c r="B4632">
        <v>36</v>
      </c>
      <c r="C4632" t="str">
        <f>CHOOSE(MATCH(B4632, {20,25,30,35,40,45,50,55,60,65,70,75,80,85}, 1), "20-24", "25-29", "30-34", "35-39", "40-44", "45-49", "50-54", "55-59", "60-64", "65-69", "70-74", "75-79", "80-84", "85+")</f>
        <v>35-39</v>
      </c>
      <c r="D4632" t="s">
        <v>7</v>
      </c>
    </row>
    <row r="4633" spans="1:4">
      <c r="A4633" t="s">
        <v>6</v>
      </c>
      <c r="B4633">
        <v>34</v>
      </c>
      <c r="C4633" t="str">
        <f>CHOOSE(MATCH(B4633, {20,25,30,35,40,45,50,55,60,65,70,75,80,85}, 1), "20-24", "25-29", "30-34", "35-39", "40-44", "45-49", "50-54", "55-59", "60-64", "65-69", "70-74", "75-79", "80-84", "85+")</f>
        <v>30-34</v>
      </c>
      <c r="D4633" t="s">
        <v>8</v>
      </c>
    </row>
    <row r="4634" spans="1:4">
      <c r="A4634" t="s">
        <v>6</v>
      </c>
      <c r="B4634">
        <v>66</v>
      </c>
      <c r="C4634" t="str">
        <f>CHOOSE(MATCH(B4634, {20,25,30,35,40,45,50,55,60,65,70,75,80,85}, 1), "20-24", "25-29", "30-34", "35-39", "40-44", "45-49", "50-54", "55-59", "60-64", "65-69", "70-74", "75-79", "80-84", "85+")</f>
        <v>65-69</v>
      </c>
      <c r="D4634" t="s">
        <v>7</v>
      </c>
    </row>
    <row r="4635" spans="1:4">
      <c r="A4635" t="s">
        <v>6</v>
      </c>
      <c r="B4635">
        <v>48</v>
      </c>
      <c r="C4635" t="str">
        <f>CHOOSE(MATCH(B4635, {20,25,30,35,40,45,50,55,60,65,70,75,80,85}, 1), "20-24", "25-29", "30-34", "35-39", "40-44", "45-49", "50-54", "55-59", "60-64", "65-69", "70-74", "75-79", "80-84", "85+")</f>
        <v>45-49</v>
      </c>
      <c r="D4635" t="s">
        <v>7</v>
      </c>
    </row>
    <row r="4636" spans="1:4">
      <c r="A4636" t="s">
        <v>6</v>
      </c>
      <c r="B4636">
        <v>60</v>
      </c>
      <c r="C4636" t="str">
        <f>CHOOSE(MATCH(B4636, {20,25,30,35,40,45,50,55,60,65,70,75,80,85}, 1), "20-24", "25-29", "30-34", "35-39", "40-44", "45-49", "50-54", "55-59", "60-64", "65-69", "70-74", "75-79", "80-84", "85+")</f>
        <v>60-64</v>
      </c>
      <c r="D4636" t="s">
        <v>8</v>
      </c>
    </row>
    <row r="4637" spans="1:4">
      <c r="A4637" t="s">
        <v>6</v>
      </c>
      <c r="B4637">
        <v>32</v>
      </c>
      <c r="C4637" t="str">
        <f>CHOOSE(MATCH(B4637, {20,25,30,35,40,45,50,55,60,65,70,75,80,85}, 1), "20-24", "25-29", "30-34", "35-39", "40-44", "45-49", "50-54", "55-59", "60-64", "65-69", "70-74", "75-79", "80-84", "85+")</f>
        <v>30-34</v>
      </c>
      <c r="D4637" t="s">
        <v>8</v>
      </c>
    </row>
    <row r="4638" spans="1:4">
      <c r="A4638" t="s">
        <v>6</v>
      </c>
      <c r="B4638">
        <v>37</v>
      </c>
      <c r="C4638" t="str">
        <f>CHOOSE(MATCH(B4638, {20,25,30,35,40,45,50,55,60,65,70,75,80,85}, 1), "20-24", "25-29", "30-34", "35-39", "40-44", "45-49", "50-54", "55-59", "60-64", "65-69", "70-74", "75-79", "80-84", "85+")</f>
        <v>35-39</v>
      </c>
      <c r="D4638" t="s">
        <v>7</v>
      </c>
    </row>
    <row r="4639" spans="1:4">
      <c r="A4639" t="s">
        <v>6</v>
      </c>
      <c r="B4639">
        <v>37</v>
      </c>
      <c r="C4639" t="str">
        <f>CHOOSE(MATCH(B4639, {20,25,30,35,40,45,50,55,60,65,70,75,80,85}, 1), "20-24", "25-29", "30-34", "35-39", "40-44", "45-49", "50-54", "55-59", "60-64", "65-69", "70-74", "75-79", "80-84", "85+")</f>
        <v>35-39</v>
      </c>
      <c r="D4639" t="s">
        <v>7</v>
      </c>
    </row>
    <row r="4640" spans="1:4">
      <c r="A4640" t="s">
        <v>6</v>
      </c>
      <c r="B4640">
        <v>30</v>
      </c>
      <c r="C4640" t="str">
        <f>CHOOSE(MATCH(B4640, {20,25,30,35,40,45,50,55,60,65,70,75,80,85}, 1), "20-24", "25-29", "30-34", "35-39", "40-44", "45-49", "50-54", "55-59", "60-64", "65-69", "70-74", "75-79", "80-84", "85+")</f>
        <v>30-34</v>
      </c>
      <c r="D4640" t="s">
        <v>8</v>
      </c>
    </row>
    <row r="4641" spans="1:4">
      <c r="A4641" t="s">
        <v>6</v>
      </c>
      <c r="B4641">
        <v>27</v>
      </c>
      <c r="C4641" t="str">
        <f>CHOOSE(MATCH(B4641, {20,25,30,35,40,45,50,55,60,65,70,75,80,85}, 1), "20-24", "25-29", "30-34", "35-39", "40-44", "45-49", "50-54", "55-59", "60-64", "65-69", "70-74", "75-79", "80-84", "85+")</f>
        <v>25-29</v>
      </c>
      <c r="D4641" t="s">
        <v>8</v>
      </c>
    </row>
    <row r="4642" spans="1:4">
      <c r="A4642" t="s">
        <v>6</v>
      </c>
      <c r="B4642">
        <v>43</v>
      </c>
      <c r="C4642" t="str">
        <f>CHOOSE(MATCH(B4642, {20,25,30,35,40,45,50,55,60,65,70,75,80,85}, 1), "20-24", "25-29", "30-34", "35-39", "40-44", "45-49", "50-54", "55-59", "60-64", "65-69", "70-74", "75-79", "80-84", "85+")</f>
        <v>40-44</v>
      </c>
      <c r="D4642" t="s">
        <v>7</v>
      </c>
    </row>
    <row r="4643" spans="1:4">
      <c r="A4643" t="s">
        <v>6</v>
      </c>
      <c r="B4643">
        <v>32</v>
      </c>
      <c r="C4643" t="str">
        <f>CHOOSE(MATCH(B4643, {20,25,30,35,40,45,50,55,60,65,70,75,80,85}, 1), "20-24", "25-29", "30-34", "35-39", "40-44", "45-49", "50-54", "55-59", "60-64", "65-69", "70-74", "75-79", "80-84", "85+")</f>
        <v>30-34</v>
      </c>
      <c r="D4643" t="s">
        <v>8</v>
      </c>
    </row>
    <row r="4644" spans="1:4">
      <c r="A4644" t="s">
        <v>6</v>
      </c>
      <c r="B4644">
        <v>29</v>
      </c>
      <c r="C4644" t="str">
        <f>CHOOSE(MATCH(B4644, {20,25,30,35,40,45,50,55,60,65,70,75,80,85}, 1), "20-24", "25-29", "30-34", "35-39", "40-44", "45-49", "50-54", "55-59", "60-64", "65-69", "70-74", "75-79", "80-84", "85+")</f>
        <v>25-29</v>
      </c>
      <c r="D4644" t="s">
        <v>7</v>
      </c>
    </row>
    <row r="4645" spans="1:4">
      <c r="A4645" t="s">
        <v>6</v>
      </c>
      <c r="B4645">
        <v>35</v>
      </c>
      <c r="C4645" t="str">
        <f>CHOOSE(MATCH(B4645, {20,25,30,35,40,45,50,55,60,65,70,75,80,85}, 1), "20-24", "25-29", "30-34", "35-39", "40-44", "45-49", "50-54", "55-59", "60-64", "65-69", "70-74", "75-79", "80-84", "85+")</f>
        <v>35-39</v>
      </c>
      <c r="D4645" t="s">
        <v>7</v>
      </c>
    </row>
    <row r="4646" spans="1:4">
      <c r="A4646" t="s">
        <v>6</v>
      </c>
      <c r="B4646">
        <v>32</v>
      </c>
      <c r="C4646" t="str">
        <f>CHOOSE(MATCH(B4646, {20,25,30,35,40,45,50,55,60,65,70,75,80,85}, 1), "20-24", "25-29", "30-34", "35-39", "40-44", "45-49", "50-54", "55-59", "60-64", "65-69", "70-74", "75-79", "80-84", "85+")</f>
        <v>30-34</v>
      </c>
      <c r="D4646" t="s">
        <v>7</v>
      </c>
    </row>
    <row r="4647" spans="1:4">
      <c r="A4647" t="s">
        <v>6</v>
      </c>
      <c r="B4647">
        <v>48</v>
      </c>
      <c r="C4647" t="str">
        <f>CHOOSE(MATCH(B4647, {20,25,30,35,40,45,50,55,60,65,70,75,80,85}, 1), "20-24", "25-29", "30-34", "35-39", "40-44", "45-49", "50-54", "55-59", "60-64", "65-69", "70-74", "75-79", "80-84", "85+")</f>
        <v>45-49</v>
      </c>
      <c r="D4647" t="s">
        <v>7</v>
      </c>
    </row>
    <row r="4648" spans="1:4">
      <c r="A4648" t="s">
        <v>6</v>
      </c>
      <c r="B4648">
        <v>26</v>
      </c>
      <c r="C4648" t="str">
        <f>CHOOSE(MATCH(B4648, {20,25,30,35,40,45,50,55,60,65,70,75,80,85}, 1), "20-24", "25-29", "30-34", "35-39", "40-44", "45-49", "50-54", "55-59", "60-64", "65-69", "70-74", "75-79", "80-84", "85+")</f>
        <v>25-29</v>
      </c>
      <c r="D4648" t="s">
        <v>8</v>
      </c>
    </row>
    <row r="4649" spans="1:4">
      <c r="A4649" t="s">
        <v>6</v>
      </c>
      <c r="B4649">
        <v>21</v>
      </c>
      <c r="C4649" t="str">
        <f>CHOOSE(MATCH(B4649, {20,25,30,35,40,45,50,55,60,65,70,75,80,85}, 1), "20-24", "25-29", "30-34", "35-39", "40-44", "45-49", "50-54", "55-59", "60-64", "65-69", "70-74", "75-79", "80-84", "85+")</f>
        <v>20-24</v>
      </c>
      <c r="D4649" t="s">
        <v>7</v>
      </c>
    </row>
    <row r="4650" spans="1:4">
      <c r="A4650" t="s">
        <v>6</v>
      </c>
      <c r="B4650">
        <v>36</v>
      </c>
      <c r="C4650" t="str">
        <f>CHOOSE(MATCH(B4650, {20,25,30,35,40,45,50,55,60,65,70,75,80,85}, 1), "20-24", "25-29", "30-34", "35-39", "40-44", "45-49", "50-54", "55-59", "60-64", "65-69", "70-74", "75-79", "80-84", "85+")</f>
        <v>35-39</v>
      </c>
      <c r="D4650" t="s">
        <v>8</v>
      </c>
    </row>
    <row r="4651" spans="1:4">
      <c r="A4651" t="s">
        <v>6</v>
      </c>
      <c r="B4651">
        <v>25</v>
      </c>
      <c r="C4651" t="str">
        <f>CHOOSE(MATCH(B4651, {20,25,30,35,40,45,50,55,60,65,70,75,80,85}, 1), "20-24", "25-29", "30-34", "35-39", "40-44", "45-49", "50-54", "55-59", "60-64", "65-69", "70-74", "75-79", "80-84", "85+")</f>
        <v>25-29</v>
      </c>
      <c r="D4651" t="s">
        <v>7</v>
      </c>
    </row>
    <row r="4652" spans="1:4">
      <c r="A4652" t="s">
        <v>6</v>
      </c>
      <c r="B4652">
        <v>25</v>
      </c>
      <c r="C4652" t="str">
        <f>CHOOSE(MATCH(B4652, {20,25,30,35,40,45,50,55,60,65,70,75,80,85}, 1), "20-24", "25-29", "30-34", "35-39", "40-44", "45-49", "50-54", "55-59", "60-64", "65-69", "70-74", "75-79", "80-84", "85+")</f>
        <v>25-29</v>
      </c>
      <c r="D4652" t="s">
        <v>7</v>
      </c>
    </row>
    <row r="4653" spans="1:4">
      <c r="A4653" t="s">
        <v>6</v>
      </c>
      <c r="B4653">
        <v>22</v>
      </c>
      <c r="C4653" t="str">
        <f>CHOOSE(MATCH(B4653, {20,25,30,35,40,45,50,55,60,65,70,75,80,85}, 1), "20-24", "25-29", "30-34", "35-39", "40-44", "45-49", "50-54", "55-59", "60-64", "65-69", "70-74", "75-79", "80-84", "85+")</f>
        <v>20-24</v>
      </c>
      <c r="D4653" t="s">
        <v>7</v>
      </c>
    </row>
    <row r="4654" spans="1:4">
      <c r="A4654" t="s">
        <v>6</v>
      </c>
      <c r="B4654">
        <v>39</v>
      </c>
      <c r="C4654" t="str">
        <f>CHOOSE(MATCH(B4654, {20,25,30,35,40,45,50,55,60,65,70,75,80,85}, 1), "20-24", "25-29", "30-34", "35-39", "40-44", "45-49", "50-54", "55-59", "60-64", "65-69", "70-74", "75-79", "80-84", "85+")</f>
        <v>35-39</v>
      </c>
      <c r="D4654" t="s">
        <v>8</v>
      </c>
    </row>
    <row r="4655" spans="1:4">
      <c r="A4655" t="s">
        <v>6</v>
      </c>
      <c r="B4655">
        <v>69</v>
      </c>
      <c r="C4655" t="str">
        <f>CHOOSE(MATCH(B4655, {20,25,30,35,40,45,50,55,60,65,70,75,80,85}, 1), "20-24", "25-29", "30-34", "35-39", "40-44", "45-49", "50-54", "55-59", "60-64", "65-69", "70-74", "75-79", "80-84", "85+")</f>
        <v>65-69</v>
      </c>
      <c r="D4655" t="s">
        <v>7</v>
      </c>
    </row>
    <row r="4656" spans="1:4">
      <c r="A4656" t="s">
        <v>6</v>
      </c>
      <c r="B4656">
        <v>46</v>
      </c>
      <c r="C4656" t="str">
        <f>CHOOSE(MATCH(B4656, {20,25,30,35,40,45,50,55,60,65,70,75,80,85}, 1), "20-24", "25-29", "30-34", "35-39", "40-44", "45-49", "50-54", "55-59", "60-64", "65-69", "70-74", "75-79", "80-84", "85+")</f>
        <v>45-49</v>
      </c>
      <c r="D4656" t="s">
        <v>7</v>
      </c>
    </row>
    <row r="4657" spans="1:4">
      <c r="A4657" t="s">
        <v>6</v>
      </c>
      <c r="B4657">
        <v>37</v>
      </c>
      <c r="C4657" t="str">
        <f>CHOOSE(MATCH(B4657, {20,25,30,35,40,45,50,55,60,65,70,75,80,85}, 1), "20-24", "25-29", "30-34", "35-39", "40-44", "45-49", "50-54", "55-59", "60-64", "65-69", "70-74", "75-79", "80-84", "85+")</f>
        <v>35-39</v>
      </c>
      <c r="D4657" t="s">
        <v>7</v>
      </c>
    </row>
    <row r="4658" spans="1:4">
      <c r="A4658" t="s">
        <v>6</v>
      </c>
      <c r="B4658">
        <v>58</v>
      </c>
      <c r="C4658" t="str">
        <f>CHOOSE(MATCH(B4658, {20,25,30,35,40,45,50,55,60,65,70,75,80,85}, 1), "20-24", "25-29", "30-34", "35-39", "40-44", "45-49", "50-54", "55-59", "60-64", "65-69", "70-74", "75-79", "80-84", "85+")</f>
        <v>55-59</v>
      </c>
      <c r="D4658" t="s">
        <v>7</v>
      </c>
    </row>
    <row r="4659" spans="1:4">
      <c r="A4659" t="s">
        <v>6</v>
      </c>
      <c r="B4659">
        <v>26</v>
      </c>
      <c r="C4659" t="str">
        <f>CHOOSE(MATCH(B4659, {20,25,30,35,40,45,50,55,60,65,70,75,80,85}, 1), "20-24", "25-29", "30-34", "35-39", "40-44", "45-49", "50-54", "55-59", "60-64", "65-69", "70-74", "75-79", "80-84", "85+")</f>
        <v>25-29</v>
      </c>
      <c r="D4659" t="s">
        <v>7</v>
      </c>
    </row>
    <row r="4660" spans="1:4">
      <c r="A4660" t="s">
        <v>6</v>
      </c>
      <c r="B4660">
        <v>41</v>
      </c>
      <c r="C4660" t="str">
        <f>CHOOSE(MATCH(B4660, {20,25,30,35,40,45,50,55,60,65,70,75,80,85}, 1), "20-24", "25-29", "30-34", "35-39", "40-44", "45-49", "50-54", "55-59", "60-64", "65-69", "70-74", "75-79", "80-84", "85+")</f>
        <v>40-44</v>
      </c>
      <c r="D4660" t="s">
        <v>8</v>
      </c>
    </row>
    <row r="4661" spans="1:4">
      <c r="A4661" t="s">
        <v>6</v>
      </c>
      <c r="B4661">
        <v>48</v>
      </c>
      <c r="C4661" t="str">
        <f>CHOOSE(MATCH(B4661, {20,25,30,35,40,45,50,55,60,65,70,75,80,85}, 1), "20-24", "25-29", "30-34", "35-39", "40-44", "45-49", "50-54", "55-59", "60-64", "65-69", "70-74", "75-79", "80-84", "85+")</f>
        <v>45-49</v>
      </c>
      <c r="D4661" t="s">
        <v>7</v>
      </c>
    </row>
    <row r="4662" spans="1:4">
      <c r="A4662" t="s">
        <v>6</v>
      </c>
      <c r="B4662">
        <v>36</v>
      </c>
      <c r="C4662" t="str">
        <f>CHOOSE(MATCH(B4662, {20,25,30,35,40,45,50,55,60,65,70,75,80,85}, 1), "20-24", "25-29", "30-34", "35-39", "40-44", "45-49", "50-54", "55-59", "60-64", "65-69", "70-74", "75-79", "80-84", "85+")</f>
        <v>35-39</v>
      </c>
      <c r="D4662" t="s">
        <v>7</v>
      </c>
    </row>
    <row r="4663" spans="1:4">
      <c r="A4663" t="s">
        <v>6</v>
      </c>
      <c r="B4663">
        <v>43</v>
      </c>
      <c r="C4663" t="str">
        <f>CHOOSE(MATCH(B4663, {20,25,30,35,40,45,50,55,60,65,70,75,80,85}, 1), "20-24", "25-29", "30-34", "35-39", "40-44", "45-49", "50-54", "55-59", "60-64", "65-69", "70-74", "75-79", "80-84", "85+")</f>
        <v>40-44</v>
      </c>
      <c r="D4663" t="s">
        <v>7</v>
      </c>
    </row>
    <row r="4664" spans="1:4">
      <c r="A4664" t="s">
        <v>6</v>
      </c>
      <c r="B4664">
        <v>40</v>
      </c>
      <c r="C4664" t="str">
        <f>CHOOSE(MATCH(B4664, {20,25,30,35,40,45,50,55,60,65,70,75,80,85}, 1), "20-24", "25-29", "30-34", "35-39", "40-44", "45-49", "50-54", "55-59", "60-64", "65-69", "70-74", "75-79", "80-84", "85+")</f>
        <v>40-44</v>
      </c>
      <c r="D4664" t="s">
        <v>7</v>
      </c>
    </row>
    <row r="4665" spans="1:4">
      <c r="A4665" t="s">
        <v>6</v>
      </c>
      <c r="B4665">
        <v>36</v>
      </c>
      <c r="C4665" t="str">
        <f>CHOOSE(MATCH(B4665, {20,25,30,35,40,45,50,55,60,65,70,75,80,85}, 1), "20-24", "25-29", "30-34", "35-39", "40-44", "45-49", "50-54", "55-59", "60-64", "65-69", "70-74", "75-79", "80-84", "85+")</f>
        <v>35-39</v>
      </c>
      <c r="D4665" t="s">
        <v>7</v>
      </c>
    </row>
    <row r="4666" spans="1:4">
      <c r="A4666" t="s">
        <v>6</v>
      </c>
      <c r="B4666">
        <v>34</v>
      </c>
      <c r="C4666" t="str">
        <f>CHOOSE(MATCH(B4666, {20,25,30,35,40,45,50,55,60,65,70,75,80,85}, 1), "20-24", "25-29", "30-34", "35-39", "40-44", "45-49", "50-54", "55-59", "60-64", "65-69", "70-74", "75-79", "80-84", "85+")</f>
        <v>30-34</v>
      </c>
      <c r="D4666" t="s">
        <v>7</v>
      </c>
    </row>
    <row r="4667" spans="1:4">
      <c r="A4667" t="s">
        <v>6</v>
      </c>
      <c r="B4667">
        <v>71</v>
      </c>
      <c r="C4667" t="str">
        <f>CHOOSE(MATCH(B4667, {20,25,30,35,40,45,50,55,60,65,70,75,80,85}, 1), "20-24", "25-29", "30-34", "35-39", "40-44", "45-49", "50-54", "55-59", "60-64", "65-69", "70-74", "75-79", "80-84", "85+")</f>
        <v>70-74</v>
      </c>
      <c r="D4667" t="s">
        <v>8</v>
      </c>
    </row>
    <row r="4668" spans="1:4">
      <c r="A4668" t="s">
        <v>6</v>
      </c>
      <c r="B4668">
        <v>34</v>
      </c>
      <c r="C4668" t="str">
        <f>CHOOSE(MATCH(B4668, {20,25,30,35,40,45,50,55,60,65,70,75,80,85}, 1), "20-24", "25-29", "30-34", "35-39", "40-44", "45-49", "50-54", "55-59", "60-64", "65-69", "70-74", "75-79", "80-84", "85+")</f>
        <v>30-34</v>
      </c>
      <c r="D4668" t="s">
        <v>8</v>
      </c>
    </row>
    <row r="4669" spans="1:4">
      <c r="A4669" t="s">
        <v>6</v>
      </c>
      <c r="B4669">
        <v>33</v>
      </c>
      <c r="C4669" t="str">
        <f>CHOOSE(MATCH(B4669, {20,25,30,35,40,45,50,55,60,65,70,75,80,85}, 1), "20-24", "25-29", "30-34", "35-39", "40-44", "45-49", "50-54", "55-59", "60-64", "65-69", "70-74", "75-79", "80-84", "85+")</f>
        <v>30-34</v>
      </c>
      <c r="D4669" t="s">
        <v>7</v>
      </c>
    </row>
    <row r="4670" spans="1:4">
      <c r="A4670" t="s">
        <v>6</v>
      </c>
      <c r="B4670">
        <v>24</v>
      </c>
      <c r="C4670" t="str">
        <f>CHOOSE(MATCH(B4670, {20,25,30,35,40,45,50,55,60,65,70,75,80,85}, 1), "20-24", "25-29", "30-34", "35-39", "40-44", "45-49", "50-54", "55-59", "60-64", "65-69", "70-74", "75-79", "80-84", "85+")</f>
        <v>20-24</v>
      </c>
      <c r="D4670" t="s">
        <v>7</v>
      </c>
    </row>
    <row r="4671" spans="1:4">
      <c r="A4671" t="s">
        <v>6</v>
      </c>
      <c r="B4671">
        <v>28</v>
      </c>
      <c r="C4671" t="str">
        <f>CHOOSE(MATCH(B4671, {20,25,30,35,40,45,50,55,60,65,70,75,80,85}, 1), "20-24", "25-29", "30-34", "35-39", "40-44", "45-49", "50-54", "55-59", "60-64", "65-69", "70-74", "75-79", "80-84", "85+")</f>
        <v>25-29</v>
      </c>
      <c r="D4671" t="s">
        <v>8</v>
      </c>
    </row>
    <row r="4672" spans="1:4">
      <c r="A4672" t="s">
        <v>6</v>
      </c>
      <c r="B4672">
        <v>42</v>
      </c>
      <c r="C4672" t="str">
        <f>CHOOSE(MATCH(B4672, {20,25,30,35,40,45,50,55,60,65,70,75,80,85}, 1), "20-24", "25-29", "30-34", "35-39", "40-44", "45-49", "50-54", "55-59", "60-64", "65-69", "70-74", "75-79", "80-84", "85+")</f>
        <v>40-44</v>
      </c>
      <c r="D4672" t="s">
        <v>8</v>
      </c>
    </row>
    <row r="4673" spans="1:4">
      <c r="A4673" t="s">
        <v>6</v>
      </c>
      <c r="B4673">
        <v>57</v>
      </c>
      <c r="C4673" t="str">
        <f>CHOOSE(MATCH(B4673, {20,25,30,35,40,45,50,55,60,65,70,75,80,85}, 1), "20-24", "25-29", "30-34", "35-39", "40-44", "45-49", "50-54", "55-59", "60-64", "65-69", "70-74", "75-79", "80-84", "85+")</f>
        <v>55-59</v>
      </c>
      <c r="D4673" t="s">
        <v>7</v>
      </c>
    </row>
    <row r="4674" spans="1:4">
      <c r="A4674" t="s">
        <v>6</v>
      </c>
      <c r="B4674">
        <v>48</v>
      </c>
      <c r="C4674" t="str">
        <f>CHOOSE(MATCH(B4674, {20,25,30,35,40,45,50,55,60,65,70,75,80,85}, 1), "20-24", "25-29", "30-34", "35-39", "40-44", "45-49", "50-54", "55-59", "60-64", "65-69", "70-74", "75-79", "80-84", "85+")</f>
        <v>45-49</v>
      </c>
      <c r="D4674" t="s">
        <v>8</v>
      </c>
    </row>
    <row r="4675" spans="1:4">
      <c r="A4675" t="s">
        <v>6</v>
      </c>
      <c r="B4675">
        <v>44</v>
      </c>
      <c r="C4675" t="str">
        <f>CHOOSE(MATCH(B4675, {20,25,30,35,40,45,50,55,60,65,70,75,80,85}, 1), "20-24", "25-29", "30-34", "35-39", "40-44", "45-49", "50-54", "55-59", "60-64", "65-69", "70-74", "75-79", "80-84", "85+")</f>
        <v>40-44</v>
      </c>
      <c r="D4675" t="s">
        <v>7</v>
      </c>
    </row>
    <row r="4676" spans="1:4">
      <c r="A4676" t="s">
        <v>6</v>
      </c>
      <c r="B4676">
        <v>49</v>
      </c>
      <c r="C4676" t="str">
        <f>CHOOSE(MATCH(B4676, {20,25,30,35,40,45,50,55,60,65,70,75,80,85}, 1), "20-24", "25-29", "30-34", "35-39", "40-44", "45-49", "50-54", "55-59", "60-64", "65-69", "70-74", "75-79", "80-84", "85+")</f>
        <v>45-49</v>
      </c>
      <c r="D4676" t="s">
        <v>8</v>
      </c>
    </row>
    <row r="4677" spans="1:4">
      <c r="A4677" t="s">
        <v>6</v>
      </c>
      <c r="B4677">
        <v>37</v>
      </c>
      <c r="C4677" t="str">
        <f>CHOOSE(MATCH(B4677, {20,25,30,35,40,45,50,55,60,65,70,75,80,85}, 1), "20-24", "25-29", "30-34", "35-39", "40-44", "45-49", "50-54", "55-59", "60-64", "65-69", "70-74", "75-79", "80-84", "85+")</f>
        <v>35-39</v>
      </c>
      <c r="D4677" t="s">
        <v>8</v>
      </c>
    </row>
    <row r="4678" spans="1:4">
      <c r="A4678" t="s">
        <v>6</v>
      </c>
      <c r="B4678">
        <v>29</v>
      </c>
      <c r="C4678" t="str">
        <f>CHOOSE(MATCH(B4678, {20,25,30,35,40,45,50,55,60,65,70,75,80,85}, 1), "20-24", "25-29", "30-34", "35-39", "40-44", "45-49", "50-54", "55-59", "60-64", "65-69", "70-74", "75-79", "80-84", "85+")</f>
        <v>25-29</v>
      </c>
      <c r="D4678" t="s">
        <v>7</v>
      </c>
    </row>
    <row r="4679" spans="1:4">
      <c r="A4679" t="s">
        <v>6</v>
      </c>
      <c r="B4679">
        <v>32</v>
      </c>
      <c r="C4679" t="str">
        <f>CHOOSE(MATCH(B4679, {20,25,30,35,40,45,50,55,60,65,70,75,80,85}, 1), "20-24", "25-29", "30-34", "35-39", "40-44", "45-49", "50-54", "55-59", "60-64", "65-69", "70-74", "75-79", "80-84", "85+")</f>
        <v>30-34</v>
      </c>
      <c r="D4679" t="s">
        <v>7</v>
      </c>
    </row>
    <row r="4680" spans="1:4">
      <c r="A4680" t="s">
        <v>6</v>
      </c>
      <c r="B4680">
        <v>63</v>
      </c>
      <c r="C4680" t="str">
        <f>CHOOSE(MATCH(B4680, {20,25,30,35,40,45,50,55,60,65,70,75,80,85}, 1), "20-24", "25-29", "30-34", "35-39", "40-44", "45-49", "50-54", "55-59", "60-64", "65-69", "70-74", "75-79", "80-84", "85+")</f>
        <v>60-64</v>
      </c>
      <c r="D4680" t="s">
        <v>7</v>
      </c>
    </row>
    <row r="4681" spans="1:4">
      <c r="A4681" t="s">
        <v>6</v>
      </c>
      <c r="B4681">
        <v>59</v>
      </c>
      <c r="C4681" t="str">
        <f>CHOOSE(MATCH(B4681, {20,25,30,35,40,45,50,55,60,65,70,75,80,85}, 1), "20-24", "25-29", "30-34", "35-39", "40-44", "45-49", "50-54", "55-59", "60-64", "65-69", "70-74", "75-79", "80-84", "85+")</f>
        <v>55-59</v>
      </c>
      <c r="D4681" t="s">
        <v>7</v>
      </c>
    </row>
    <row r="4682" spans="1:4">
      <c r="A4682" t="s">
        <v>6</v>
      </c>
      <c r="B4682">
        <v>46</v>
      </c>
      <c r="C4682" t="str">
        <f>CHOOSE(MATCH(B4682, {20,25,30,35,40,45,50,55,60,65,70,75,80,85}, 1), "20-24", "25-29", "30-34", "35-39", "40-44", "45-49", "50-54", "55-59", "60-64", "65-69", "70-74", "75-79", "80-84", "85+")</f>
        <v>45-49</v>
      </c>
      <c r="D4682" t="s">
        <v>7</v>
      </c>
    </row>
    <row r="4683" spans="1:4">
      <c r="A4683" t="s">
        <v>6</v>
      </c>
      <c r="B4683">
        <v>56</v>
      </c>
      <c r="C4683" t="str">
        <f>CHOOSE(MATCH(B4683, {20,25,30,35,40,45,50,55,60,65,70,75,80,85}, 1), "20-24", "25-29", "30-34", "35-39", "40-44", "45-49", "50-54", "55-59", "60-64", "65-69", "70-74", "75-79", "80-84", "85+")</f>
        <v>55-59</v>
      </c>
      <c r="D4683" t="s">
        <v>7</v>
      </c>
    </row>
    <row r="4684" spans="1:4">
      <c r="A4684" t="s">
        <v>6</v>
      </c>
      <c r="B4684">
        <v>28</v>
      </c>
      <c r="C4684" t="str">
        <f>CHOOSE(MATCH(B4684, {20,25,30,35,40,45,50,55,60,65,70,75,80,85}, 1), "20-24", "25-29", "30-34", "35-39", "40-44", "45-49", "50-54", "55-59", "60-64", "65-69", "70-74", "75-79", "80-84", "85+")</f>
        <v>25-29</v>
      </c>
      <c r="D4684" t="s">
        <v>7</v>
      </c>
    </row>
    <row r="4685" spans="1:4">
      <c r="A4685" t="s">
        <v>6</v>
      </c>
      <c r="B4685">
        <v>41</v>
      </c>
      <c r="C4685" t="str">
        <f>CHOOSE(MATCH(B4685, {20,25,30,35,40,45,50,55,60,65,70,75,80,85}, 1), "20-24", "25-29", "30-34", "35-39", "40-44", "45-49", "50-54", "55-59", "60-64", "65-69", "70-74", "75-79", "80-84", "85+")</f>
        <v>40-44</v>
      </c>
      <c r="D4685" t="s">
        <v>8</v>
      </c>
    </row>
    <row r="4686" spans="1:4">
      <c r="A4686" t="s">
        <v>6</v>
      </c>
      <c r="B4686">
        <v>72</v>
      </c>
      <c r="C4686" t="str">
        <f>CHOOSE(MATCH(B4686, {20,25,30,35,40,45,50,55,60,65,70,75,80,85}, 1), "20-24", "25-29", "30-34", "35-39", "40-44", "45-49", "50-54", "55-59", "60-64", "65-69", "70-74", "75-79", "80-84", "85+")</f>
        <v>70-74</v>
      </c>
      <c r="D4686" t="s">
        <v>7</v>
      </c>
    </row>
    <row r="4687" spans="1:4">
      <c r="A4687" t="s">
        <v>6</v>
      </c>
      <c r="B4687">
        <v>30</v>
      </c>
      <c r="C4687" t="str">
        <f>CHOOSE(MATCH(B4687, {20,25,30,35,40,45,50,55,60,65,70,75,80,85}, 1), "20-24", "25-29", "30-34", "35-39", "40-44", "45-49", "50-54", "55-59", "60-64", "65-69", "70-74", "75-79", "80-84", "85+")</f>
        <v>30-34</v>
      </c>
      <c r="D4687" t="s">
        <v>7</v>
      </c>
    </row>
    <row r="4688" spans="1:4">
      <c r="A4688" t="s">
        <v>6</v>
      </c>
      <c r="B4688">
        <v>73</v>
      </c>
      <c r="C4688" t="str">
        <f>CHOOSE(MATCH(B4688, {20,25,30,35,40,45,50,55,60,65,70,75,80,85}, 1), "20-24", "25-29", "30-34", "35-39", "40-44", "45-49", "50-54", "55-59", "60-64", "65-69", "70-74", "75-79", "80-84", "85+")</f>
        <v>70-74</v>
      </c>
      <c r="D4688" t="s">
        <v>8</v>
      </c>
    </row>
    <row r="4689" spans="1:4">
      <c r="A4689" t="s">
        <v>6</v>
      </c>
      <c r="B4689">
        <v>47</v>
      </c>
      <c r="C4689" t="str">
        <f>CHOOSE(MATCH(B4689, {20,25,30,35,40,45,50,55,60,65,70,75,80,85}, 1), "20-24", "25-29", "30-34", "35-39", "40-44", "45-49", "50-54", "55-59", "60-64", "65-69", "70-74", "75-79", "80-84", "85+")</f>
        <v>45-49</v>
      </c>
      <c r="D4689" t="s">
        <v>8</v>
      </c>
    </row>
    <row r="4690" spans="1:4">
      <c r="A4690" t="s">
        <v>6</v>
      </c>
      <c r="B4690">
        <v>29</v>
      </c>
      <c r="C4690" t="str">
        <f>CHOOSE(MATCH(B4690, {20,25,30,35,40,45,50,55,60,65,70,75,80,85}, 1), "20-24", "25-29", "30-34", "35-39", "40-44", "45-49", "50-54", "55-59", "60-64", "65-69", "70-74", "75-79", "80-84", "85+")</f>
        <v>25-29</v>
      </c>
      <c r="D4690" t="s">
        <v>7</v>
      </c>
    </row>
    <row r="4691" spans="1:4">
      <c r="A4691" t="s">
        <v>6</v>
      </c>
      <c r="B4691">
        <v>43</v>
      </c>
      <c r="C4691" t="str">
        <f>CHOOSE(MATCH(B4691, {20,25,30,35,40,45,50,55,60,65,70,75,80,85}, 1), "20-24", "25-29", "30-34", "35-39", "40-44", "45-49", "50-54", "55-59", "60-64", "65-69", "70-74", "75-79", "80-84", "85+")</f>
        <v>40-44</v>
      </c>
      <c r="D4691" t="s">
        <v>8</v>
      </c>
    </row>
    <row r="4692" spans="1:4">
      <c r="A4692" t="s">
        <v>6</v>
      </c>
      <c r="B4692">
        <v>32</v>
      </c>
      <c r="C4692" t="str">
        <f>CHOOSE(MATCH(B4692, {20,25,30,35,40,45,50,55,60,65,70,75,80,85}, 1), "20-24", "25-29", "30-34", "35-39", "40-44", "45-49", "50-54", "55-59", "60-64", "65-69", "70-74", "75-79", "80-84", "85+")</f>
        <v>30-34</v>
      </c>
      <c r="D4692" t="s">
        <v>7</v>
      </c>
    </row>
    <row r="4693" spans="1:4">
      <c r="A4693" t="s">
        <v>6</v>
      </c>
      <c r="B4693">
        <v>51</v>
      </c>
      <c r="C4693" t="str">
        <f>CHOOSE(MATCH(B4693, {20,25,30,35,40,45,50,55,60,65,70,75,80,85}, 1), "20-24", "25-29", "30-34", "35-39", "40-44", "45-49", "50-54", "55-59", "60-64", "65-69", "70-74", "75-79", "80-84", "85+")</f>
        <v>50-54</v>
      </c>
      <c r="D4693" t="s">
        <v>8</v>
      </c>
    </row>
    <row r="4694" spans="1:4">
      <c r="A4694" t="s">
        <v>6</v>
      </c>
      <c r="B4694">
        <v>64</v>
      </c>
      <c r="C4694" t="str">
        <f>CHOOSE(MATCH(B4694, {20,25,30,35,40,45,50,55,60,65,70,75,80,85}, 1), "20-24", "25-29", "30-34", "35-39", "40-44", "45-49", "50-54", "55-59", "60-64", "65-69", "70-74", "75-79", "80-84", "85+")</f>
        <v>60-64</v>
      </c>
      <c r="D4694" t="s">
        <v>8</v>
      </c>
    </row>
    <row r="4695" spans="1:4">
      <c r="A4695" t="s">
        <v>6</v>
      </c>
      <c r="B4695">
        <v>62</v>
      </c>
      <c r="C4695" t="str">
        <f>CHOOSE(MATCH(B4695, {20,25,30,35,40,45,50,55,60,65,70,75,80,85}, 1), "20-24", "25-29", "30-34", "35-39", "40-44", "45-49", "50-54", "55-59", "60-64", "65-69", "70-74", "75-79", "80-84", "85+")</f>
        <v>60-64</v>
      </c>
      <c r="D4695" t="s">
        <v>8</v>
      </c>
    </row>
    <row r="4696" spans="1:4">
      <c r="A4696" t="s">
        <v>6</v>
      </c>
      <c r="B4696">
        <v>33</v>
      </c>
      <c r="C4696" t="str">
        <f>CHOOSE(MATCH(B4696, {20,25,30,35,40,45,50,55,60,65,70,75,80,85}, 1), "20-24", "25-29", "30-34", "35-39", "40-44", "45-49", "50-54", "55-59", "60-64", "65-69", "70-74", "75-79", "80-84", "85+")</f>
        <v>30-34</v>
      </c>
      <c r="D4696" t="s">
        <v>7</v>
      </c>
    </row>
    <row r="4697" spans="1:4">
      <c r="A4697" t="s">
        <v>6</v>
      </c>
      <c r="B4697">
        <v>47</v>
      </c>
      <c r="C4697" t="str">
        <f>CHOOSE(MATCH(B4697, {20,25,30,35,40,45,50,55,60,65,70,75,80,85}, 1), "20-24", "25-29", "30-34", "35-39", "40-44", "45-49", "50-54", "55-59", "60-64", "65-69", "70-74", "75-79", "80-84", "85+")</f>
        <v>45-49</v>
      </c>
      <c r="D4697" t="s">
        <v>7</v>
      </c>
    </row>
    <row r="4698" spans="1:4">
      <c r="A4698" t="s">
        <v>6</v>
      </c>
      <c r="B4698">
        <v>35</v>
      </c>
      <c r="C4698" t="str">
        <f>CHOOSE(MATCH(B4698, {20,25,30,35,40,45,50,55,60,65,70,75,80,85}, 1), "20-24", "25-29", "30-34", "35-39", "40-44", "45-49", "50-54", "55-59", "60-64", "65-69", "70-74", "75-79", "80-84", "85+")</f>
        <v>35-39</v>
      </c>
      <c r="D4698" t="s">
        <v>8</v>
      </c>
    </row>
    <row r="4699" spans="1:4">
      <c r="A4699" t="s">
        <v>6</v>
      </c>
      <c r="B4699">
        <v>29</v>
      </c>
      <c r="C4699" t="str">
        <f>CHOOSE(MATCH(B4699, {20,25,30,35,40,45,50,55,60,65,70,75,80,85}, 1), "20-24", "25-29", "30-34", "35-39", "40-44", "45-49", "50-54", "55-59", "60-64", "65-69", "70-74", "75-79", "80-84", "85+")</f>
        <v>25-29</v>
      </c>
      <c r="D4699" t="s">
        <v>8</v>
      </c>
    </row>
    <row r="4700" spans="1:4">
      <c r="A4700" t="s">
        <v>6</v>
      </c>
      <c r="B4700">
        <v>34</v>
      </c>
      <c r="C4700" t="str">
        <f>CHOOSE(MATCH(B4700, {20,25,30,35,40,45,50,55,60,65,70,75,80,85}, 1), "20-24", "25-29", "30-34", "35-39", "40-44", "45-49", "50-54", "55-59", "60-64", "65-69", "70-74", "75-79", "80-84", "85+")</f>
        <v>30-34</v>
      </c>
      <c r="D4700" t="s">
        <v>7</v>
      </c>
    </row>
    <row r="4701" spans="1:4">
      <c r="A4701" t="s">
        <v>6</v>
      </c>
      <c r="B4701">
        <v>68</v>
      </c>
      <c r="C4701" t="str">
        <f>CHOOSE(MATCH(B4701, {20,25,30,35,40,45,50,55,60,65,70,75,80,85}, 1), "20-24", "25-29", "30-34", "35-39", "40-44", "45-49", "50-54", "55-59", "60-64", "65-69", "70-74", "75-79", "80-84", "85+")</f>
        <v>65-69</v>
      </c>
      <c r="D4701" t="s">
        <v>7</v>
      </c>
    </row>
    <row r="4702" spans="1:4">
      <c r="A4702" t="s">
        <v>6</v>
      </c>
      <c r="B4702">
        <v>25</v>
      </c>
      <c r="C4702" t="str">
        <f>CHOOSE(MATCH(B4702, {20,25,30,35,40,45,50,55,60,65,70,75,80,85}, 1), "20-24", "25-29", "30-34", "35-39", "40-44", "45-49", "50-54", "55-59", "60-64", "65-69", "70-74", "75-79", "80-84", "85+")</f>
        <v>25-29</v>
      </c>
      <c r="D4702" t="s">
        <v>7</v>
      </c>
    </row>
    <row r="4703" spans="1:4">
      <c r="A4703" t="s">
        <v>6</v>
      </c>
      <c r="B4703">
        <v>20</v>
      </c>
      <c r="C4703" t="str">
        <f>CHOOSE(MATCH(B4703, {20,25,30,35,40,45,50,55,60,65,70,75,80,85}, 1), "20-24", "25-29", "30-34", "35-39", "40-44", "45-49", "50-54", "55-59", "60-64", "65-69", "70-74", "75-79", "80-84", "85+")</f>
        <v>20-24</v>
      </c>
      <c r="D4703" t="s">
        <v>7</v>
      </c>
    </row>
    <row r="4704" spans="1:4">
      <c r="A4704" t="s">
        <v>6</v>
      </c>
      <c r="B4704">
        <v>74</v>
      </c>
      <c r="C4704" t="str">
        <f>CHOOSE(MATCH(B4704, {20,25,30,35,40,45,50,55,60,65,70,75,80,85}, 1), "20-24", "25-29", "30-34", "35-39", "40-44", "45-49", "50-54", "55-59", "60-64", "65-69", "70-74", "75-79", "80-84", "85+")</f>
        <v>70-74</v>
      </c>
      <c r="D4704" t="s">
        <v>8</v>
      </c>
    </row>
    <row r="4705" spans="1:4">
      <c r="A4705" t="s">
        <v>6</v>
      </c>
      <c r="B4705">
        <v>34</v>
      </c>
      <c r="C4705" t="str">
        <f>CHOOSE(MATCH(B4705, {20,25,30,35,40,45,50,55,60,65,70,75,80,85}, 1), "20-24", "25-29", "30-34", "35-39", "40-44", "45-49", "50-54", "55-59", "60-64", "65-69", "70-74", "75-79", "80-84", "85+")</f>
        <v>30-34</v>
      </c>
      <c r="D4705" t="s">
        <v>8</v>
      </c>
    </row>
    <row r="4706" spans="1:4">
      <c r="A4706" t="s">
        <v>6</v>
      </c>
      <c r="B4706">
        <v>27</v>
      </c>
      <c r="C4706" t="str">
        <f>CHOOSE(MATCH(B4706, {20,25,30,35,40,45,50,55,60,65,70,75,80,85}, 1), "20-24", "25-29", "30-34", "35-39", "40-44", "45-49", "50-54", "55-59", "60-64", "65-69", "70-74", "75-79", "80-84", "85+")</f>
        <v>25-29</v>
      </c>
      <c r="D4706" t="s">
        <v>7</v>
      </c>
    </row>
    <row r="4707" spans="1:4">
      <c r="A4707" t="s">
        <v>6</v>
      </c>
      <c r="B4707">
        <v>38</v>
      </c>
      <c r="C4707" t="str">
        <f>CHOOSE(MATCH(B4707, {20,25,30,35,40,45,50,55,60,65,70,75,80,85}, 1), "20-24", "25-29", "30-34", "35-39", "40-44", "45-49", "50-54", "55-59", "60-64", "65-69", "70-74", "75-79", "80-84", "85+")</f>
        <v>35-39</v>
      </c>
      <c r="D4707" t="s">
        <v>7</v>
      </c>
    </row>
    <row r="4708" spans="1:4">
      <c r="A4708" t="s">
        <v>6</v>
      </c>
      <c r="B4708">
        <v>30</v>
      </c>
      <c r="C4708" t="str">
        <f>CHOOSE(MATCH(B4708, {20,25,30,35,40,45,50,55,60,65,70,75,80,85}, 1), "20-24", "25-29", "30-34", "35-39", "40-44", "45-49", "50-54", "55-59", "60-64", "65-69", "70-74", "75-79", "80-84", "85+")</f>
        <v>30-34</v>
      </c>
      <c r="D4708" t="s">
        <v>7</v>
      </c>
    </row>
    <row r="4709" spans="1:4">
      <c r="A4709" t="s">
        <v>6</v>
      </c>
      <c r="B4709">
        <v>35</v>
      </c>
      <c r="C4709" t="str">
        <f>CHOOSE(MATCH(B4709, {20,25,30,35,40,45,50,55,60,65,70,75,80,85}, 1), "20-24", "25-29", "30-34", "35-39", "40-44", "45-49", "50-54", "55-59", "60-64", "65-69", "70-74", "75-79", "80-84", "85+")</f>
        <v>35-39</v>
      </c>
      <c r="D4709" t="s">
        <v>8</v>
      </c>
    </row>
    <row r="4710" spans="1:4">
      <c r="A4710" t="s">
        <v>6</v>
      </c>
      <c r="B4710">
        <v>27</v>
      </c>
      <c r="C4710" t="str">
        <f>CHOOSE(MATCH(B4710, {20,25,30,35,40,45,50,55,60,65,70,75,80,85}, 1), "20-24", "25-29", "30-34", "35-39", "40-44", "45-49", "50-54", "55-59", "60-64", "65-69", "70-74", "75-79", "80-84", "85+")</f>
        <v>25-29</v>
      </c>
      <c r="D4710" t="s">
        <v>8</v>
      </c>
    </row>
    <row r="4711" spans="1:4">
      <c r="A4711" t="s">
        <v>6</v>
      </c>
      <c r="B4711">
        <v>40</v>
      </c>
      <c r="C4711" t="str">
        <f>CHOOSE(MATCH(B4711, {20,25,30,35,40,45,50,55,60,65,70,75,80,85}, 1), "20-24", "25-29", "30-34", "35-39", "40-44", "45-49", "50-54", "55-59", "60-64", "65-69", "70-74", "75-79", "80-84", "85+")</f>
        <v>40-44</v>
      </c>
      <c r="D4711" t="s">
        <v>7</v>
      </c>
    </row>
    <row r="4712" spans="1:4">
      <c r="A4712" t="s">
        <v>6</v>
      </c>
      <c r="B4712">
        <v>39</v>
      </c>
      <c r="C4712" t="str">
        <f>CHOOSE(MATCH(B4712, {20,25,30,35,40,45,50,55,60,65,70,75,80,85}, 1), "20-24", "25-29", "30-34", "35-39", "40-44", "45-49", "50-54", "55-59", "60-64", "65-69", "70-74", "75-79", "80-84", "85+")</f>
        <v>35-39</v>
      </c>
      <c r="D4712" t="s">
        <v>7</v>
      </c>
    </row>
    <row r="4713" spans="1:4">
      <c r="A4713" t="s">
        <v>6</v>
      </c>
      <c r="B4713">
        <v>32</v>
      </c>
      <c r="C4713" t="str">
        <f>CHOOSE(MATCH(B4713, {20,25,30,35,40,45,50,55,60,65,70,75,80,85}, 1), "20-24", "25-29", "30-34", "35-39", "40-44", "45-49", "50-54", "55-59", "60-64", "65-69", "70-74", "75-79", "80-84", "85+")</f>
        <v>30-34</v>
      </c>
      <c r="D4713" t="s">
        <v>7</v>
      </c>
    </row>
    <row r="4714" spans="1:4">
      <c r="A4714" t="s">
        <v>6</v>
      </c>
      <c r="B4714">
        <v>41</v>
      </c>
      <c r="C4714" t="str">
        <f>CHOOSE(MATCH(B4714, {20,25,30,35,40,45,50,55,60,65,70,75,80,85}, 1), "20-24", "25-29", "30-34", "35-39", "40-44", "45-49", "50-54", "55-59", "60-64", "65-69", "70-74", "75-79", "80-84", "85+")</f>
        <v>40-44</v>
      </c>
      <c r="D4714" t="s">
        <v>8</v>
      </c>
    </row>
    <row r="4715" spans="1:4">
      <c r="A4715" t="s">
        <v>6</v>
      </c>
      <c r="B4715">
        <v>28</v>
      </c>
      <c r="C4715" t="str">
        <f>CHOOSE(MATCH(B4715, {20,25,30,35,40,45,50,55,60,65,70,75,80,85}, 1), "20-24", "25-29", "30-34", "35-39", "40-44", "45-49", "50-54", "55-59", "60-64", "65-69", "70-74", "75-79", "80-84", "85+")</f>
        <v>25-29</v>
      </c>
      <c r="D4715" t="s">
        <v>7</v>
      </c>
    </row>
    <row r="4716" spans="1:4">
      <c r="A4716" t="s">
        <v>6</v>
      </c>
      <c r="B4716">
        <v>41</v>
      </c>
      <c r="C4716" t="str">
        <f>CHOOSE(MATCH(B4716, {20,25,30,35,40,45,50,55,60,65,70,75,80,85}, 1), "20-24", "25-29", "30-34", "35-39", "40-44", "45-49", "50-54", "55-59", "60-64", "65-69", "70-74", "75-79", "80-84", "85+")</f>
        <v>40-44</v>
      </c>
      <c r="D4716" t="s">
        <v>8</v>
      </c>
    </row>
    <row r="4717" spans="1:4">
      <c r="A4717" t="s">
        <v>6</v>
      </c>
      <c r="B4717">
        <v>34</v>
      </c>
      <c r="C4717" t="str">
        <f>CHOOSE(MATCH(B4717, {20,25,30,35,40,45,50,55,60,65,70,75,80,85}, 1), "20-24", "25-29", "30-34", "35-39", "40-44", "45-49", "50-54", "55-59", "60-64", "65-69", "70-74", "75-79", "80-84", "85+")</f>
        <v>30-34</v>
      </c>
      <c r="D4717" t="s">
        <v>7</v>
      </c>
    </row>
    <row r="4718" spans="1:4">
      <c r="A4718" t="s">
        <v>6</v>
      </c>
      <c r="B4718">
        <v>36</v>
      </c>
      <c r="C4718" t="str">
        <f>CHOOSE(MATCH(B4718, {20,25,30,35,40,45,50,55,60,65,70,75,80,85}, 1), "20-24", "25-29", "30-34", "35-39", "40-44", "45-49", "50-54", "55-59", "60-64", "65-69", "70-74", "75-79", "80-84", "85+")</f>
        <v>35-39</v>
      </c>
      <c r="D4718" t="s">
        <v>8</v>
      </c>
    </row>
    <row r="4719" spans="1:4">
      <c r="A4719" t="s">
        <v>6</v>
      </c>
      <c r="B4719">
        <v>66</v>
      </c>
      <c r="C4719" t="str">
        <f>CHOOSE(MATCH(B4719, {20,25,30,35,40,45,50,55,60,65,70,75,80,85}, 1), "20-24", "25-29", "30-34", "35-39", "40-44", "45-49", "50-54", "55-59", "60-64", "65-69", "70-74", "75-79", "80-84", "85+")</f>
        <v>65-69</v>
      </c>
      <c r="D4719" t="s">
        <v>7</v>
      </c>
    </row>
    <row r="4720" spans="1:4">
      <c r="A4720" t="s">
        <v>6</v>
      </c>
      <c r="B4720">
        <v>50</v>
      </c>
      <c r="C4720" t="str">
        <f>CHOOSE(MATCH(B4720, {20,25,30,35,40,45,50,55,60,65,70,75,80,85}, 1), "20-24", "25-29", "30-34", "35-39", "40-44", "45-49", "50-54", "55-59", "60-64", "65-69", "70-74", "75-79", "80-84", "85+")</f>
        <v>50-54</v>
      </c>
      <c r="D4720" t="s">
        <v>7</v>
      </c>
    </row>
    <row r="4721" spans="1:4">
      <c r="A4721" t="s">
        <v>6</v>
      </c>
      <c r="B4721">
        <v>46</v>
      </c>
      <c r="C4721" t="str">
        <f>CHOOSE(MATCH(B4721, {20,25,30,35,40,45,50,55,60,65,70,75,80,85}, 1), "20-24", "25-29", "30-34", "35-39", "40-44", "45-49", "50-54", "55-59", "60-64", "65-69", "70-74", "75-79", "80-84", "85+")</f>
        <v>45-49</v>
      </c>
      <c r="D4721" t="s">
        <v>7</v>
      </c>
    </row>
    <row r="4722" spans="1:4">
      <c r="A4722" t="s">
        <v>6</v>
      </c>
      <c r="B4722">
        <v>41</v>
      </c>
      <c r="C4722" t="str">
        <f>CHOOSE(MATCH(B4722, {20,25,30,35,40,45,50,55,60,65,70,75,80,85}, 1), "20-24", "25-29", "30-34", "35-39", "40-44", "45-49", "50-54", "55-59", "60-64", "65-69", "70-74", "75-79", "80-84", "85+")</f>
        <v>40-44</v>
      </c>
      <c r="D4722" t="s">
        <v>7</v>
      </c>
    </row>
    <row r="4723" spans="1:4">
      <c r="A4723" t="s">
        <v>6</v>
      </c>
      <c r="B4723">
        <v>33</v>
      </c>
      <c r="C4723" t="str">
        <f>CHOOSE(MATCH(B4723, {20,25,30,35,40,45,50,55,60,65,70,75,80,85}, 1), "20-24", "25-29", "30-34", "35-39", "40-44", "45-49", "50-54", "55-59", "60-64", "65-69", "70-74", "75-79", "80-84", "85+")</f>
        <v>30-34</v>
      </c>
      <c r="D4723" t="s">
        <v>7</v>
      </c>
    </row>
    <row r="4724" spans="1:4">
      <c r="A4724" t="s">
        <v>6</v>
      </c>
      <c r="B4724">
        <v>36</v>
      </c>
      <c r="C4724" t="str">
        <f>CHOOSE(MATCH(B4724, {20,25,30,35,40,45,50,55,60,65,70,75,80,85}, 1), "20-24", "25-29", "30-34", "35-39", "40-44", "45-49", "50-54", "55-59", "60-64", "65-69", "70-74", "75-79", "80-84", "85+")</f>
        <v>35-39</v>
      </c>
      <c r="D4724" t="s">
        <v>7</v>
      </c>
    </row>
    <row r="4725" spans="1:4">
      <c r="A4725" t="s">
        <v>6</v>
      </c>
      <c r="B4725">
        <v>26</v>
      </c>
      <c r="C4725" t="str">
        <f>CHOOSE(MATCH(B4725, {20,25,30,35,40,45,50,55,60,65,70,75,80,85}, 1), "20-24", "25-29", "30-34", "35-39", "40-44", "45-49", "50-54", "55-59", "60-64", "65-69", "70-74", "75-79", "80-84", "85+")</f>
        <v>25-29</v>
      </c>
      <c r="D4725" t="s">
        <v>7</v>
      </c>
    </row>
    <row r="4726" spans="1:4">
      <c r="A4726" t="s">
        <v>6</v>
      </c>
      <c r="B4726">
        <v>35</v>
      </c>
      <c r="C4726" t="str">
        <f>CHOOSE(MATCH(B4726, {20,25,30,35,40,45,50,55,60,65,70,75,80,85}, 1), "20-24", "25-29", "30-34", "35-39", "40-44", "45-49", "50-54", "55-59", "60-64", "65-69", "70-74", "75-79", "80-84", "85+")</f>
        <v>35-39</v>
      </c>
      <c r="D4726" t="s">
        <v>8</v>
      </c>
    </row>
    <row r="4727" spans="1:4">
      <c r="A4727" t="s">
        <v>6</v>
      </c>
      <c r="B4727">
        <v>25</v>
      </c>
      <c r="C4727" t="str">
        <f>CHOOSE(MATCH(B4727, {20,25,30,35,40,45,50,55,60,65,70,75,80,85}, 1), "20-24", "25-29", "30-34", "35-39", "40-44", "45-49", "50-54", "55-59", "60-64", "65-69", "70-74", "75-79", "80-84", "85+")</f>
        <v>25-29</v>
      </c>
      <c r="D4727" t="s">
        <v>7</v>
      </c>
    </row>
    <row r="4728" spans="1:4">
      <c r="A4728" t="s">
        <v>6</v>
      </c>
      <c r="B4728">
        <v>67</v>
      </c>
      <c r="C4728" t="str">
        <f>CHOOSE(MATCH(B4728, {20,25,30,35,40,45,50,55,60,65,70,75,80,85}, 1), "20-24", "25-29", "30-34", "35-39", "40-44", "45-49", "50-54", "55-59", "60-64", "65-69", "70-74", "75-79", "80-84", "85+")</f>
        <v>65-69</v>
      </c>
      <c r="D4728" t="s">
        <v>7</v>
      </c>
    </row>
    <row r="4729" spans="1:4">
      <c r="A4729" t="s">
        <v>6</v>
      </c>
      <c r="B4729">
        <v>29</v>
      </c>
      <c r="C4729" t="str">
        <f>CHOOSE(MATCH(B4729, {20,25,30,35,40,45,50,55,60,65,70,75,80,85}, 1), "20-24", "25-29", "30-34", "35-39", "40-44", "45-49", "50-54", "55-59", "60-64", "65-69", "70-74", "75-79", "80-84", "85+")</f>
        <v>25-29</v>
      </c>
      <c r="D4729" t="s">
        <v>8</v>
      </c>
    </row>
    <row r="4730" spans="1:4">
      <c r="A4730" t="s">
        <v>6</v>
      </c>
      <c r="B4730">
        <v>39</v>
      </c>
      <c r="C4730" t="str">
        <f>CHOOSE(MATCH(B4730, {20,25,30,35,40,45,50,55,60,65,70,75,80,85}, 1), "20-24", "25-29", "30-34", "35-39", "40-44", "45-49", "50-54", "55-59", "60-64", "65-69", "70-74", "75-79", "80-84", "85+")</f>
        <v>35-39</v>
      </c>
      <c r="D4730" t="s">
        <v>7</v>
      </c>
    </row>
    <row r="4731" spans="1:4">
      <c r="A4731" t="s">
        <v>6</v>
      </c>
      <c r="B4731">
        <v>61</v>
      </c>
      <c r="C4731" t="str">
        <f>CHOOSE(MATCH(B4731, {20,25,30,35,40,45,50,55,60,65,70,75,80,85}, 1), "20-24", "25-29", "30-34", "35-39", "40-44", "45-49", "50-54", "55-59", "60-64", "65-69", "70-74", "75-79", "80-84", "85+")</f>
        <v>60-64</v>
      </c>
      <c r="D4731" t="s">
        <v>8</v>
      </c>
    </row>
    <row r="4732" spans="1:4">
      <c r="A4732" t="s">
        <v>6</v>
      </c>
      <c r="B4732">
        <v>66</v>
      </c>
      <c r="C4732" t="str">
        <f>CHOOSE(MATCH(B4732, {20,25,30,35,40,45,50,55,60,65,70,75,80,85}, 1), "20-24", "25-29", "30-34", "35-39", "40-44", "45-49", "50-54", "55-59", "60-64", "65-69", "70-74", "75-79", "80-84", "85+")</f>
        <v>65-69</v>
      </c>
      <c r="D4732" t="s">
        <v>7</v>
      </c>
    </row>
    <row r="4733" spans="1:4">
      <c r="A4733" t="s">
        <v>6</v>
      </c>
      <c r="B4733">
        <v>35</v>
      </c>
      <c r="C4733" t="str">
        <f>CHOOSE(MATCH(B4733, {20,25,30,35,40,45,50,55,60,65,70,75,80,85}, 1), "20-24", "25-29", "30-34", "35-39", "40-44", "45-49", "50-54", "55-59", "60-64", "65-69", "70-74", "75-79", "80-84", "85+")</f>
        <v>35-39</v>
      </c>
      <c r="D4733" t="s">
        <v>8</v>
      </c>
    </row>
    <row r="4734" spans="1:4">
      <c r="A4734" t="s">
        <v>6</v>
      </c>
      <c r="B4734">
        <v>74</v>
      </c>
      <c r="C4734" t="str">
        <f>CHOOSE(MATCH(B4734, {20,25,30,35,40,45,50,55,60,65,70,75,80,85}, 1), "20-24", "25-29", "30-34", "35-39", "40-44", "45-49", "50-54", "55-59", "60-64", "65-69", "70-74", "75-79", "80-84", "85+")</f>
        <v>70-74</v>
      </c>
      <c r="D4734" t="s">
        <v>7</v>
      </c>
    </row>
    <row r="4735" spans="1:4">
      <c r="A4735" t="s">
        <v>6</v>
      </c>
      <c r="B4735">
        <v>34</v>
      </c>
      <c r="C4735" t="str">
        <f>CHOOSE(MATCH(B4735, {20,25,30,35,40,45,50,55,60,65,70,75,80,85}, 1), "20-24", "25-29", "30-34", "35-39", "40-44", "45-49", "50-54", "55-59", "60-64", "65-69", "70-74", "75-79", "80-84", "85+")</f>
        <v>30-34</v>
      </c>
      <c r="D4735" t="s">
        <v>7</v>
      </c>
    </row>
    <row r="4736" spans="1:4">
      <c r="A4736" t="s">
        <v>6</v>
      </c>
      <c r="B4736">
        <v>28</v>
      </c>
      <c r="C4736" t="str">
        <f>CHOOSE(MATCH(B4736, {20,25,30,35,40,45,50,55,60,65,70,75,80,85}, 1), "20-24", "25-29", "30-34", "35-39", "40-44", "45-49", "50-54", "55-59", "60-64", "65-69", "70-74", "75-79", "80-84", "85+")</f>
        <v>25-29</v>
      </c>
      <c r="D4736" t="s">
        <v>8</v>
      </c>
    </row>
    <row r="4737" spans="1:4">
      <c r="A4737" t="s">
        <v>6</v>
      </c>
      <c r="B4737">
        <v>53</v>
      </c>
      <c r="C4737" t="str">
        <f>CHOOSE(MATCH(B4737, {20,25,30,35,40,45,50,55,60,65,70,75,80,85}, 1), "20-24", "25-29", "30-34", "35-39", "40-44", "45-49", "50-54", "55-59", "60-64", "65-69", "70-74", "75-79", "80-84", "85+")</f>
        <v>50-54</v>
      </c>
      <c r="D4737" t="s">
        <v>8</v>
      </c>
    </row>
    <row r="4738" spans="1:4">
      <c r="A4738" t="s">
        <v>6</v>
      </c>
      <c r="B4738">
        <v>22</v>
      </c>
      <c r="C4738" t="str">
        <f>CHOOSE(MATCH(B4738, {20,25,30,35,40,45,50,55,60,65,70,75,80,85}, 1), "20-24", "25-29", "30-34", "35-39", "40-44", "45-49", "50-54", "55-59", "60-64", "65-69", "70-74", "75-79", "80-84", "85+")</f>
        <v>20-24</v>
      </c>
      <c r="D4738" t="s">
        <v>7</v>
      </c>
    </row>
    <row r="4739" spans="1:4">
      <c r="A4739" t="s">
        <v>6</v>
      </c>
      <c r="B4739">
        <v>32</v>
      </c>
      <c r="C4739" t="str">
        <f>CHOOSE(MATCH(B4739, {20,25,30,35,40,45,50,55,60,65,70,75,80,85}, 1), "20-24", "25-29", "30-34", "35-39", "40-44", "45-49", "50-54", "55-59", "60-64", "65-69", "70-74", "75-79", "80-84", "85+")</f>
        <v>30-34</v>
      </c>
      <c r="D4739" t="s">
        <v>7</v>
      </c>
    </row>
    <row r="4740" spans="1:4">
      <c r="A4740" t="s">
        <v>6</v>
      </c>
      <c r="B4740">
        <v>36</v>
      </c>
      <c r="C4740" t="str">
        <f>CHOOSE(MATCH(B4740, {20,25,30,35,40,45,50,55,60,65,70,75,80,85}, 1), "20-24", "25-29", "30-34", "35-39", "40-44", "45-49", "50-54", "55-59", "60-64", "65-69", "70-74", "75-79", "80-84", "85+")</f>
        <v>35-39</v>
      </c>
      <c r="D4740" t="s">
        <v>7</v>
      </c>
    </row>
    <row r="4741" spans="1:4">
      <c r="A4741" t="s">
        <v>6</v>
      </c>
      <c r="B4741">
        <v>38</v>
      </c>
      <c r="C4741" t="str">
        <f>CHOOSE(MATCH(B4741, {20,25,30,35,40,45,50,55,60,65,70,75,80,85}, 1), "20-24", "25-29", "30-34", "35-39", "40-44", "45-49", "50-54", "55-59", "60-64", "65-69", "70-74", "75-79", "80-84", "85+")</f>
        <v>35-39</v>
      </c>
      <c r="D4741" t="s">
        <v>7</v>
      </c>
    </row>
    <row r="4742" spans="1:4">
      <c r="A4742" t="s">
        <v>6</v>
      </c>
      <c r="B4742">
        <v>82</v>
      </c>
      <c r="C4742" t="str">
        <f>CHOOSE(MATCH(B4742, {20,25,30,35,40,45,50,55,60,65,70,75,80,85}, 1), "20-24", "25-29", "30-34", "35-39", "40-44", "45-49", "50-54", "55-59", "60-64", "65-69", "70-74", "75-79", "80-84", "85+")</f>
        <v>80-84</v>
      </c>
      <c r="D4742" t="s">
        <v>7</v>
      </c>
    </row>
    <row r="4743" spans="1:4">
      <c r="A4743" t="s">
        <v>6</v>
      </c>
      <c r="B4743">
        <v>31</v>
      </c>
      <c r="C4743" t="str">
        <f>CHOOSE(MATCH(B4743, {20,25,30,35,40,45,50,55,60,65,70,75,80,85}, 1), "20-24", "25-29", "30-34", "35-39", "40-44", "45-49", "50-54", "55-59", "60-64", "65-69", "70-74", "75-79", "80-84", "85+")</f>
        <v>30-34</v>
      </c>
      <c r="D4743" t="s">
        <v>7</v>
      </c>
    </row>
    <row r="4744" spans="1:4">
      <c r="A4744" t="s">
        <v>6</v>
      </c>
      <c r="B4744">
        <v>40</v>
      </c>
      <c r="C4744" t="str">
        <f>CHOOSE(MATCH(B4744, {20,25,30,35,40,45,50,55,60,65,70,75,80,85}, 1), "20-24", "25-29", "30-34", "35-39", "40-44", "45-49", "50-54", "55-59", "60-64", "65-69", "70-74", "75-79", "80-84", "85+")</f>
        <v>40-44</v>
      </c>
      <c r="D4744" t="s">
        <v>8</v>
      </c>
    </row>
    <row r="4745" spans="1:4">
      <c r="A4745" t="s">
        <v>6</v>
      </c>
      <c r="B4745">
        <v>65</v>
      </c>
      <c r="C4745" t="str">
        <f>CHOOSE(MATCH(B4745, {20,25,30,35,40,45,50,55,60,65,70,75,80,85}, 1), "20-24", "25-29", "30-34", "35-39", "40-44", "45-49", "50-54", "55-59", "60-64", "65-69", "70-74", "75-79", "80-84", "85+")</f>
        <v>65-69</v>
      </c>
      <c r="D4745" t="s">
        <v>8</v>
      </c>
    </row>
    <row r="4746" spans="1:4">
      <c r="A4746" t="s">
        <v>6</v>
      </c>
      <c r="B4746">
        <v>84</v>
      </c>
      <c r="C4746" t="str">
        <f>CHOOSE(MATCH(B4746, {20,25,30,35,40,45,50,55,60,65,70,75,80,85}, 1), "20-24", "25-29", "30-34", "35-39", "40-44", "45-49", "50-54", "55-59", "60-64", "65-69", "70-74", "75-79", "80-84", "85+")</f>
        <v>80-84</v>
      </c>
      <c r="D4746" t="s">
        <v>7</v>
      </c>
    </row>
    <row r="4747" spans="1:4">
      <c r="A4747" t="s">
        <v>6</v>
      </c>
      <c r="B4747">
        <v>30</v>
      </c>
      <c r="C4747" t="str">
        <f>CHOOSE(MATCH(B4747, {20,25,30,35,40,45,50,55,60,65,70,75,80,85}, 1), "20-24", "25-29", "30-34", "35-39", "40-44", "45-49", "50-54", "55-59", "60-64", "65-69", "70-74", "75-79", "80-84", "85+")</f>
        <v>30-34</v>
      </c>
      <c r="D4747" t="s">
        <v>7</v>
      </c>
    </row>
    <row r="4748" spans="1:4">
      <c r="A4748" t="s">
        <v>6</v>
      </c>
      <c r="B4748">
        <v>37</v>
      </c>
      <c r="C4748" t="str">
        <f>CHOOSE(MATCH(B4748, {20,25,30,35,40,45,50,55,60,65,70,75,80,85}, 1), "20-24", "25-29", "30-34", "35-39", "40-44", "45-49", "50-54", "55-59", "60-64", "65-69", "70-74", "75-79", "80-84", "85+")</f>
        <v>35-39</v>
      </c>
      <c r="D4748" t="s">
        <v>7</v>
      </c>
    </row>
    <row r="4749" spans="1:4">
      <c r="A4749" t="s">
        <v>6</v>
      </c>
      <c r="B4749">
        <v>38</v>
      </c>
      <c r="C4749" t="str">
        <f>CHOOSE(MATCH(B4749, {20,25,30,35,40,45,50,55,60,65,70,75,80,85}, 1), "20-24", "25-29", "30-34", "35-39", "40-44", "45-49", "50-54", "55-59", "60-64", "65-69", "70-74", "75-79", "80-84", "85+")</f>
        <v>35-39</v>
      </c>
      <c r="D4749" t="s">
        <v>7</v>
      </c>
    </row>
    <row r="4750" spans="1:4">
      <c r="A4750" t="s">
        <v>6</v>
      </c>
      <c r="B4750">
        <v>40</v>
      </c>
      <c r="C4750" t="str">
        <f>CHOOSE(MATCH(B4750, {20,25,30,35,40,45,50,55,60,65,70,75,80,85}, 1), "20-24", "25-29", "30-34", "35-39", "40-44", "45-49", "50-54", "55-59", "60-64", "65-69", "70-74", "75-79", "80-84", "85+")</f>
        <v>40-44</v>
      </c>
      <c r="D4750" t="s">
        <v>7</v>
      </c>
    </row>
    <row r="4751" spans="1:4">
      <c r="A4751" t="s">
        <v>6</v>
      </c>
      <c r="B4751">
        <v>40</v>
      </c>
      <c r="C4751" t="str">
        <f>CHOOSE(MATCH(B4751, {20,25,30,35,40,45,50,55,60,65,70,75,80,85}, 1), "20-24", "25-29", "30-34", "35-39", "40-44", "45-49", "50-54", "55-59", "60-64", "65-69", "70-74", "75-79", "80-84", "85+")</f>
        <v>40-44</v>
      </c>
      <c r="D4751" t="s">
        <v>8</v>
      </c>
    </row>
    <row r="4752" spans="1:4">
      <c r="A4752" t="s">
        <v>6</v>
      </c>
      <c r="B4752">
        <v>43</v>
      </c>
      <c r="C4752" t="str">
        <f>CHOOSE(MATCH(B4752, {20,25,30,35,40,45,50,55,60,65,70,75,80,85}, 1), "20-24", "25-29", "30-34", "35-39", "40-44", "45-49", "50-54", "55-59", "60-64", "65-69", "70-74", "75-79", "80-84", "85+")</f>
        <v>40-44</v>
      </c>
      <c r="D4752" t="s">
        <v>8</v>
      </c>
    </row>
    <row r="4753" spans="1:4">
      <c r="A4753" t="s">
        <v>6</v>
      </c>
      <c r="B4753">
        <v>34</v>
      </c>
      <c r="C4753" t="str">
        <f>CHOOSE(MATCH(B4753, {20,25,30,35,40,45,50,55,60,65,70,75,80,85}, 1), "20-24", "25-29", "30-34", "35-39", "40-44", "45-49", "50-54", "55-59", "60-64", "65-69", "70-74", "75-79", "80-84", "85+")</f>
        <v>30-34</v>
      </c>
      <c r="D4753" t="s">
        <v>7</v>
      </c>
    </row>
    <row r="4754" spans="1:4">
      <c r="A4754" t="s">
        <v>6</v>
      </c>
      <c r="B4754">
        <v>42</v>
      </c>
      <c r="C4754" t="str">
        <f>CHOOSE(MATCH(B4754, {20,25,30,35,40,45,50,55,60,65,70,75,80,85}, 1), "20-24", "25-29", "30-34", "35-39", "40-44", "45-49", "50-54", "55-59", "60-64", "65-69", "70-74", "75-79", "80-84", "85+")</f>
        <v>40-44</v>
      </c>
      <c r="D4754" t="s">
        <v>8</v>
      </c>
    </row>
    <row r="4755" spans="1:4">
      <c r="A4755" t="s">
        <v>6</v>
      </c>
      <c r="B4755">
        <v>57</v>
      </c>
      <c r="C4755" t="str">
        <f>CHOOSE(MATCH(B4755, {20,25,30,35,40,45,50,55,60,65,70,75,80,85}, 1), "20-24", "25-29", "30-34", "35-39", "40-44", "45-49", "50-54", "55-59", "60-64", "65-69", "70-74", "75-79", "80-84", "85+")</f>
        <v>55-59</v>
      </c>
      <c r="D4755" t="s">
        <v>7</v>
      </c>
    </row>
    <row r="4756" spans="1:4">
      <c r="A4756" t="s">
        <v>6</v>
      </c>
      <c r="B4756">
        <v>32</v>
      </c>
      <c r="C4756" t="str">
        <f>CHOOSE(MATCH(B4756, {20,25,30,35,40,45,50,55,60,65,70,75,80,85}, 1), "20-24", "25-29", "30-34", "35-39", "40-44", "45-49", "50-54", "55-59", "60-64", "65-69", "70-74", "75-79", "80-84", "85+")</f>
        <v>30-34</v>
      </c>
      <c r="D4756" t="s">
        <v>7</v>
      </c>
    </row>
    <row r="4757" spans="1:4">
      <c r="A4757" t="s">
        <v>6</v>
      </c>
      <c r="B4757">
        <v>47</v>
      </c>
      <c r="C4757" t="str">
        <f>CHOOSE(MATCH(B4757, {20,25,30,35,40,45,50,55,60,65,70,75,80,85}, 1), "20-24", "25-29", "30-34", "35-39", "40-44", "45-49", "50-54", "55-59", "60-64", "65-69", "70-74", "75-79", "80-84", "85+")</f>
        <v>45-49</v>
      </c>
      <c r="D4757" t="s">
        <v>8</v>
      </c>
    </row>
    <row r="4758" spans="1:4">
      <c r="A4758" t="s">
        <v>6</v>
      </c>
      <c r="B4758">
        <v>27</v>
      </c>
      <c r="C4758" t="str">
        <f>CHOOSE(MATCH(B4758, {20,25,30,35,40,45,50,55,60,65,70,75,80,85}, 1), "20-24", "25-29", "30-34", "35-39", "40-44", "45-49", "50-54", "55-59", "60-64", "65-69", "70-74", "75-79", "80-84", "85+")</f>
        <v>25-29</v>
      </c>
      <c r="D4758" t="s">
        <v>8</v>
      </c>
    </row>
    <row r="4759" spans="1:4">
      <c r="A4759" t="s">
        <v>6</v>
      </c>
      <c r="B4759">
        <v>40</v>
      </c>
      <c r="C4759" t="str">
        <f>CHOOSE(MATCH(B4759, {20,25,30,35,40,45,50,55,60,65,70,75,80,85}, 1), "20-24", "25-29", "30-34", "35-39", "40-44", "45-49", "50-54", "55-59", "60-64", "65-69", "70-74", "75-79", "80-84", "85+")</f>
        <v>40-44</v>
      </c>
      <c r="D4759" t="s">
        <v>7</v>
      </c>
    </row>
    <row r="4760" spans="1:4">
      <c r="A4760" t="s">
        <v>6</v>
      </c>
      <c r="B4760">
        <v>63</v>
      </c>
      <c r="C4760" t="str">
        <f>CHOOSE(MATCH(B4760, {20,25,30,35,40,45,50,55,60,65,70,75,80,85}, 1), "20-24", "25-29", "30-34", "35-39", "40-44", "45-49", "50-54", "55-59", "60-64", "65-69", "70-74", "75-79", "80-84", "85+")</f>
        <v>60-64</v>
      </c>
      <c r="D4760" t="s">
        <v>7</v>
      </c>
    </row>
    <row r="4761" spans="1:4">
      <c r="A4761" t="s">
        <v>6</v>
      </c>
      <c r="B4761">
        <v>59</v>
      </c>
      <c r="C4761" t="str">
        <f>CHOOSE(MATCH(B4761, {20,25,30,35,40,45,50,55,60,65,70,75,80,85}, 1), "20-24", "25-29", "30-34", "35-39", "40-44", "45-49", "50-54", "55-59", "60-64", "65-69", "70-74", "75-79", "80-84", "85+")</f>
        <v>55-59</v>
      </c>
      <c r="D4761" t="s">
        <v>8</v>
      </c>
    </row>
    <row r="4762" spans="1:4">
      <c r="A4762" t="s">
        <v>6</v>
      </c>
      <c r="B4762">
        <v>79</v>
      </c>
      <c r="C4762" t="str">
        <f>CHOOSE(MATCH(B4762, {20,25,30,35,40,45,50,55,60,65,70,75,80,85}, 1), "20-24", "25-29", "30-34", "35-39", "40-44", "45-49", "50-54", "55-59", "60-64", "65-69", "70-74", "75-79", "80-84", "85+")</f>
        <v>75-79</v>
      </c>
      <c r="D4762" t="s">
        <v>8</v>
      </c>
    </row>
    <row r="4763" spans="1:4">
      <c r="A4763" t="s">
        <v>6</v>
      </c>
      <c r="B4763">
        <v>29</v>
      </c>
      <c r="C4763" t="str">
        <f>CHOOSE(MATCH(B4763, {20,25,30,35,40,45,50,55,60,65,70,75,80,85}, 1), "20-24", "25-29", "30-34", "35-39", "40-44", "45-49", "50-54", "55-59", "60-64", "65-69", "70-74", "75-79", "80-84", "85+")</f>
        <v>25-29</v>
      </c>
      <c r="D4763" t="s">
        <v>7</v>
      </c>
    </row>
    <row r="4764" spans="1:4">
      <c r="A4764" t="s">
        <v>6</v>
      </c>
      <c r="B4764">
        <v>23</v>
      </c>
      <c r="C4764" t="str">
        <f>CHOOSE(MATCH(B4764, {20,25,30,35,40,45,50,55,60,65,70,75,80,85}, 1), "20-24", "25-29", "30-34", "35-39", "40-44", "45-49", "50-54", "55-59", "60-64", "65-69", "70-74", "75-79", "80-84", "85+")</f>
        <v>20-24</v>
      </c>
      <c r="D4764" t="s">
        <v>7</v>
      </c>
    </row>
    <row r="4765" spans="1:4">
      <c r="A4765" t="s">
        <v>6</v>
      </c>
      <c r="B4765">
        <v>28</v>
      </c>
      <c r="C4765" t="str">
        <f>CHOOSE(MATCH(B4765, {20,25,30,35,40,45,50,55,60,65,70,75,80,85}, 1), "20-24", "25-29", "30-34", "35-39", "40-44", "45-49", "50-54", "55-59", "60-64", "65-69", "70-74", "75-79", "80-84", "85+")</f>
        <v>25-29</v>
      </c>
      <c r="D4765" t="s">
        <v>7</v>
      </c>
    </row>
    <row r="4766" spans="1:4">
      <c r="A4766" t="s">
        <v>6</v>
      </c>
      <c r="B4766">
        <v>69</v>
      </c>
      <c r="C4766" t="str">
        <f>CHOOSE(MATCH(B4766, {20,25,30,35,40,45,50,55,60,65,70,75,80,85}, 1), "20-24", "25-29", "30-34", "35-39", "40-44", "45-49", "50-54", "55-59", "60-64", "65-69", "70-74", "75-79", "80-84", "85+")</f>
        <v>65-69</v>
      </c>
      <c r="D4766" t="s">
        <v>7</v>
      </c>
    </row>
    <row r="4767" spans="1:4">
      <c r="A4767" t="s">
        <v>6</v>
      </c>
      <c r="B4767">
        <v>32</v>
      </c>
      <c r="C4767" t="str">
        <f>CHOOSE(MATCH(B4767, {20,25,30,35,40,45,50,55,60,65,70,75,80,85}, 1), "20-24", "25-29", "30-34", "35-39", "40-44", "45-49", "50-54", "55-59", "60-64", "65-69", "70-74", "75-79", "80-84", "85+")</f>
        <v>30-34</v>
      </c>
      <c r="D4767" t="s">
        <v>8</v>
      </c>
    </row>
    <row r="4768" spans="1:4">
      <c r="A4768" t="s">
        <v>6</v>
      </c>
      <c r="B4768">
        <v>35</v>
      </c>
      <c r="C4768" t="str">
        <f>CHOOSE(MATCH(B4768, {20,25,30,35,40,45,50,55,60,65,70,75,80,85}, 1), "20-24", "25-29", "30-34", "35-39", "40-44", "45-49", "50-54", "55-59", "60-64", "65-69", "70-74", "75-79", "80-84", "85+")</f>
        <v>35-39</v>
      </c>
      <c r="D4768" t="s">
        <v>8</v>
      </c>
    </row>
    <row r="4769" spans="1:4">
      <c r="A4769" t="s">
        <v>6</v>
      </c>
      <c r="B4769">
        <v>39</v>
      </c>
      <c r="C4769" t="str">
        <f>CHOOSE(MATCH(B4769, {20,25,30,35,40,45,50,55,60,65,70,75,80,85}, 1), "20-24", "25-29", "30-34", "35-39", "40-44", "45-49", "50-54", "55-59", "60-64", "65-69", "70-74", "75-79", "80-84", "85+")</f>
        <v>35-39</v>
      </c>
      <c r="D4769" t="s">
        <v>7</v>
      </c>
    </row>
    <row r="4770" spans="1:4">
      <c r="A4770" t="s">
        <v>6</v>
      </c>
      <c r="B4770">
        <v>44</v>
      </c>
      <c r="C4770" t="str">
        <f>CHOOSE(MATCH(B4770, {20,25,30,35,40,45,50,55,60,65,70,75,80,85}, 1), "20-24", "25-29", "30-34", "35-39", "40-44", "45-49", "50-54", "55-59", "60-64", "65-69", "70-74", "75-79", "80-84", "85+")</f>
        <v>40-44</v>
      </c>
      <c r="D4770" t="s">
        <v>8</v>
      </c>
    </row>
    <row r="4771" spans="1:4">
      <c r="A4771" t="s">
        <v>6</v>
      </c>
      <c r="B4771">
        <v>29</v>
      </c>
      <c r="C4771" t="str">
        <f>CHOOSE(MATCH(B4771, {20,25,30,35,40,45,50,55,60,65,70,75,80,85}, 1), "20-24", "25-29", "30-34", "35-39", "40-44", "45-49", "50-54", "55-59", "60-64", "65-69", "70-74", "75-79", "80-84", "85+")</f>
        <v>25-29</v>
      </c>
      <c r="D4771" t="s">
        <v>7</v>
      </c>
    </row>
    <row r="4772" spans="1:4">
      <c r="A4772" t="s">
        <v>6</v>
      </c>
      <c r="B4772">
        <v>38</v>
      </c>
      <c r="C4772" t="str">
        <f>CHOOSE(MATCH(B4772, {20,25,30,35,40,45,50,55,60,65,70,75,80,85}, 1), "20-24", "25-29", "30-34", "35-39", "40-44", "45-49", "50-54", "55-59", "60-64", "65-69", "70-74", "75-79", "80-84", "85+")</f>
        <v>35-39</v>
      </c>
      <c r="D4772" t="s">
        <v>8</v>
      </c>
    </row>
    <row r="4773" spans="1:4">
      <c r="A4773" t="s">
        <v>6</v>
      </c>
      <c r="B4773">
        <v>41</v>
      </c>
      <c r="C4773" t="str">
        <f>CHOOSE(MATCH(B4773, {20,25,30,35,40,45,50,55,60,65,70,75,80,85}, 1), "20-24", "25-29", "30-34", "35-39", "40-44", "45-49", "50-54", "55-59", "60-64", "65-69", "70-74", "75-79", "80-84", "85+")</f>
        <v>40-44</v>
      </c>
      <c r="D4773" t="s">
        <v>8</v>
      </c>
    </row>
    <row r="4774" spans="1:4">
      <c r="A4774" t="s">
        <v>6</v>
      </c>
      <c r="B4774">
        <v>62</v>
      </c>
      <c r="C4774" t="str">
        <f>CHOOSE(MATCH(B4774, {20,25,30,35,40,45,50,55,60,65,70,75,80,85}, 1), "20-24", "25-29", "30-34", "35-39", "40-44", "45-49", "50-54", "55-59", "60-64", "65-69", "70-74", "75-79", "80-84", "85+")</f>
        <v>60-64</v>
      </c>
      <c r="D4774" t="s">
        <v>8</v>
      </c>
    </row>
    <row r="4775" spans="1:4">
      <c r="A4775" t="s">
        <v>6</v>
      </c>
      <c r="B4775">
        <v>57</v>
      </c>
      <c r="C4775" t="str">
        <f>CHOOSE(MATCH(B4775, {20,25,30,35,40,45,50,55,60,65,70,75,80,85}, 1), "20-24", "25-29", "30-34", "35-39", "40-44", "45-49", "50-54", "55-59", "60-64", "65-69", "70-74", "75-79", "80-84", "85+")</f>
        <v>55-59</v>
      </c>
      <c r="D4775" t="s">
        <v>8</v>
      </c>
    </row>
    <row r="4776" spans="1:4">
      <c r="A4776" t="s">
        <v>6</v>
      </c>
      <c r="B4776">
        <v>28</v>
      </c>
      <c r="C4776" t="str">
        <f>CHOOSE(MATCH(B4776, {20,25,30,35,40,45,50,55,60,65,70,75,80,85}, 1), "20-24", "25-29", "30-34", "35-39", "40-44", "45-49", "50-54", "55-59", "60-64", "65-69", "70-74", "75-79", "80-84", "85+")</f>
        <v>25-29</v>
      </c>
      <c r="D4776" t="s">
        <v>7</v>
      </c>
    </row>
    <row r="4777" spans="1:4">
      <c r="A4777" t="s">
        <v>6</v>
      </c>
      <c r="B4777">
        <v>46</v>
      </c>
      <c r="C4777" t="str">
        <f>CHOOSE(MATCH(B4777, {20,25,30,35,40,45,50,55,60,65,70,75,80,85}, 1), "20-24", "25-29", "30-34", "35-39", "40-44", "45-49", "50-54", "55-59", "60-64", "65-69", "70-74", "75-79", "80-84", "85+")</f>
        <v>45-49</v>
      </c>
      <c r="D4777" t="s">
        <v>7</v>
      </c>
    </row>
    <row r="4778" spans="1:4">
      <c r="A4778" t="s">
        <v>6</v>
      </c>
      <c r="B4778">
        <v>54</v>
      </c>
      <c r="C4778" t="str">
        <f>CHOOSE(MATCH(B4778, {20,25,30,35,40,45,50,55,60,65,70,75,80,85}, 1), "20-24", "25-29", "30-34", "35-39", "40-44", "45-49", "50-54", "55-59", "60-64", "65-69", "70-74", "75-79", "80-84", "85+")</f>
        <v>50-54</v>
      </c>
      <c r="D4778" t="s">
        <v>7</v>
      </c>
    </row>
    <row r="4779" spans="1:4">
      <c r="A4779" t="s">
        <v>6</v>
      </c>
      <c r="B4779">
        <v>29</v>
      </c>
      <c r="C4779" t="str">
        <f>CHOOSE(MATCH(B4779, {20,25,30,35,40,45,50,55,60,65,70,75,80,85}, 1), "20-24", "25-29", "30-34", "35-39", "40-44", "45-49", "50-54", "55-59", "60-64", "65-69", "70-74", "75-79", "80-84", "85+")</f>
        <v>25-29</v>
      </c>
      <c r="D4779" t="s">
        <v>7</v>
      </c>
    </row>
    <row r="4780" spans="1:4">
      <c r="A4780" t="s">
        <v>6</v>
      </c>
      <c r="B4780">
        <v>50</v>
      </c>
      <c r="C4780" t="str">
        <f>CHOOSE(MATCH(B4780, {20,25,30,35,40,45,50,55,60,65,70,75,80,85}, 1), "20-24", "25-29", "30-34", "35-39", "40-44", "45-49", "50-54", "55-59", "60-64", "65-69", "70-74", "75-79", "80-84", "85+")</f>
        <v>50-54</v>
      </c>
      <c r="D4780" t="s">
        <v>8</v>
      </c>
    </row>
    <row r="4781" spans="1:4">
      <c r="A4781" t="s">
        <v>6</v>
      </c>
      <c r="B4781">
        <v>30</v>
      </c>
      <c r="C4781" t="str">
        <f>CHOOSE(MATCH(B4781, {20,25,30,35,40,45,50,55,60,65,70,75,80,85}, 1), "20-24", "25-29", "30-34", "35-39", "40-44", "45-49", "50-54", "55-59", "60-64", "65-69", "70-74", "75-79", "80-84", "85+")</f>
        <v>30-34</v>
      </c>
      <c r="D4781" t="s">
        <v>7</v>
      </c>
    </row>
    <row r="4782" spans="1:4">
      <c r="A4782" t="s">
        <v>6</v>
      </c>
      <c r="B4782">
        <v>33</v>
      </c>
      <c r="C4782" t="str">
        <f>CHOOSE(MATCH(B4782, {20,25,30,35,40,45,50,55,60,65,70,75,80,85}, 1), "20-24", "25-29", "30-34", "35-39", "40-44", "45-49", "50-54", "55-59", "60-64", "65-69", "70-74", "75-79", "80-84", "85+")</f>
        <v>30-34</v>
      </c>
      <c r="D4782" t="s">
        <v>7</v>
      </c>
    </row>
    <row r="4783" spans="1:4">
      <c r="A4783" t="s">
        <v>6</v>
      </c>
      <c r="B4783">
        <v>34</v>
      </c>
      <c r="C4783" t="str">
        <f>CHOOSE(MATCH(B4783, {20,25,30,35,40,45,50,55,60,65,70,75,80,85}, 1), "20-24", "25-29", "30-34", "35-39", "40-44", "45-49", "50-54", "55-59", "60-64", "65-69", "70-74", "75-79", "80-84", "85+")</f>
        <v>30-34</v>
      </c>
      <c r="D4783" t="s">
        <v>8</v>
      </c>
    </row>
    <row r="4784" spans="1:4">
      <c r="A4784" t="s">
        <v>6</v>
      </c>
      <c r="B4784">
        <v>38</v>
      </c>
      <c r="C4784" t="str">
        <f>CHOOSE(MATCH(B4784, {20,25,30,35,40,45,50,55,60,65,70,75,80,85}, 1), "20-24", "25-29", "30-34", "35-39", "40-44", "45-49", "50-54", "55-59", "60-64", "65-69", "70-74", "75-79", "80-84", "85+")</f>
        <v>35-39</v>
      </c>
      <c r="D4784" t="s">
        <v>7</v>
      </c>
    </row>
    <row r="4785" spans="1:4">
      <c r="A4785" t="s">
        <v>6</v>
      </c>
      <c r="B4785">
        <v>41</v>
      </c>
      <c r="C4785" t="str">
        <f>CHOOSE(MATCH(B4785, {20,25,30,35,40,45,50,55,60,65,70,75,80,85}, 1), "20-24", "25-29", "30-34", "35-39", "40-44", "45-49", "50-54", "55-59", "60-64", "65-69", "70-74", "75-79", "80-84", "85+")</f>
        <v>40-44</v>
      </c>
      <c r="D4785" t="s">
        <v>8</v>
      </c>
    </row>
    <row r="4786" spans="1:4">
      <c r="A4786" t="s">
        <v>6</v>
      </c>
      <c r="B4786">
        <v>44</v>
      </c>
      <c r="C4786" t="str">
        <f>CHOOSE(MATCH(B4786, {20,25,30,35,40,45,50,55,60,65,70,75,80,85}, 1), "20-24", "25-29", "30-34", "35-39", "40-44", "45-49", "50-54", "55-59", "60-64", "65-69", "70-74", "75-79", "80-84", "85+")</f>
        <v>40-44</v>
      </c>
      <c r="D4786" t="s">
        <v>7</v>
      </c>
    </row>
    <row r="4787" spans="1:4">
      <c r="A4787" t="s">
        <v>6</v>
      </c>
      <c r="B4787">
        <v>57</v>
      </c>
      <c r="C4787" t="str">
        <f>CHOOSE(MATCH(B4787, {20,25,30,35,40,45,50,55,60,65,70,75,80,85}, 1), "20-24", "25-29", "30-34", "35-39", "40-44", "45-49", "50-54", "55-59", "60-64", "65-69", "70-74", "75-79", "80-84", "85+")</f>
        <v>55-59</v>
      </c>
      <c r="D4787" t="s">
        <v>8</v>
      </c>
    </row>
    <row r="4788" spans="1:4">
      <c r="A4788" t="s">
        <v>6</v>
      </c>
      <c r="B4788">
        <v>31</v>
      </c>
      <c r="C4788" t="str">
        <f>CHOOSE(MATCH(B4788, {20,25,30,35,40,45,50,55,60,65,70,75,80,85}, 1), "20-24", "25-29", "30-34", "35-39", "40-44", "45-49", "50-54", "55-59", "60-64", "65-69", "70-74", "75-79", "80-84", "85+")</f>
        <v>30-34</v>
      </c>
      <c r="D4788" t="s">
        <v>8</v>
      </c>
    </row>
    <row r="4789" spans="1:4">
      <c r="A4789" t="s">
        <v>6</v>
      </c>
      <c r="B4789">
        <v>30</v>
      </c>
      <c r="C4789" t="str">
        <f>CHOOSE(MATCH(B4789, {20,25,30,35,40,45,50,55,60,65,70,75,80,85}, 1), "20-24", "25-29", "30-34", "35-39", "40-44", "45-49", "50-54", "55-59", "60-64", "65-69", "70-74", "75-79", "80-84", "85+")</f>
        <v>30-34</v>
      </c>
      <c r="D4789" t="s">
        <v>7</v>
      </c>
    </row>
    <row r="4790" spans="1:4">
      <c r="A4790" t="s">
        <v>6</v>
      </c>
      <c r="B4790">
        <v>35</v>
      </c>
      <c r="C4790" t="str">
        <f>CHOOSE(MATCH(B4790, {20,25,30,35,40,45,50,55,60,65,70,75,80,85}, 1), "20-24", "25-29", "30-34", "35-39", "40-44", "45-49", "50-54", "55-59", "60-64", "65-69", "70-74", "75-79", "80-84", "85+")</f>
        <v>35-39</v>
      </c>
      <c r="D4790" t="s">
        <v>8</v>
      </c>
    </row>
    <row r="4791" spans="1:4">
      <c r="A4791" t="s">
        <v>6</v>
      </c>
      <c r="B4791">
        <v>28</v>
      </c>
      <c r="C4791" t="str">
        <f>CHOOSE(MATCH(B4791, {20,25,30,35,40,45,50,55,60,65,70,75,80,85}, 1), "20-24", "25-29", "30-34", "35-39", "40-44", "45-49", "50-54", "55-59", "60-64", "65-69", "70-74", "75-79", "80-84", "85+")</f>
        <v>25-29</v>
      </c>
      <c r="D4791" t="s">
        <v>8</v>
      </c>
    </row>
    <row r="4792" spans="1:4">
      <c r="A4792" t="s">
        <v>6</v>
      </c>
      <c r="B4792">
        <v>45</v>
      </c>
      <c r="C4792" t="str">
        <f>CHOOSE(MATCH(B4792, {20,25,30,35,40,45,50,55,60,65,70,75,80,85}, 1), "20-24", "25-29", "30-34", "35-39", "40-44", "45-49", "50-54", "55-59", "60-64", "65-69", "70-74", "75-79", "80-84", "85+")</f>
        <v>45-49</v>
      </c>
      <c r="D4792" t="s">
        <v>7</v>
      </c>
    </row>
    <row r="4793" spans="1:4">
      <c r="A4793" t="s">
        <v>6</v>
      </c>
      <c r="B4793">
        <v>37</v>
      </c>
      <c r="C4793" t="str">
        <f>CHOOSE(MATCH(B4793, {20,25,30,35,40,45,50,55,60,65,70,75,80,85}, 1), "20-24", "25-29", "30-34", "35-39", "40-44", "45-49", "50-54", "55-59", "60-64", "65-69", "70-74", "75-79", "80-84", "85+")</f>
        <v>35-39</v>
      </c>
      <c r="D4793" t="s">
        <v>7</v>
      </c>
    </row>
    <row r="4794" spans="1:4">
      <c r="A4794" t="s">
        <v>6</v>
      </c>
      <c r="B4794">
        <v>25</v>
      </c>
      <c r="C4794" t="str">
        <f>CHOOSE(MATCH(B4794, {20,25,30,35,40,45,50,55,60,65,70,75,80,85}, 1), "20-24", "25-29", "30-34", "35-39", "40-44", "45-49", "50-54", "55-59", "60-64", "65-69", "70-74", "75-79", "80-84", "85+")</f>
        <v>25-29</v>
      </c>
      <c r="D4794" t="s">
        <v>7</v>
      </c>
    </row>
    <row r="4795" spans="1:4">
      <c r="A4795" t="s">
        <v>6</v>
      </c>
      <c r="B4795">
        <v>40</v>
      </c>
      <c r="C4795" t="str">
        <f>CHOOSE(MATCH(B4795, {20,25,30,35,40,45,50,55,60,65,70,75,80,85}, 1), "20-24", "25-29", "30-34", "35-39", "40-44", "45-49", "50-54", "55-59", "60-64", "65-69", "70-74", "75-79", "80-84", "85+")</f>
        <v>40-44</v>
      </c>
      <c r="D4795" t="s">
        <v>7</v>
      </c>
    </row>
    <row r="4796" spans="1:4">
      <c r="A4796" t="s">
        <v>6</v>
      </c>
      <c r="B4796">
        <v>44</v>
      </c>
      <c r="C4796" t="str">
        <f>CHOOSE(MATCH(B4796, {20,25,30,35,40,45,50,55,60,65,70,75,80,85}, 1), "20-24", "25-29", "30-34", "35-39", "40-44", "45-49", "50-54", "55-59", "60-64", "65-69", "70-74", "75-79", "80-84", "85+")</f>
        <v>40-44</v>
      </c>
      <c r="D4796" t="s">
        <v>8</v>
      </c>
    </row>
    <row r="4797" spans="1:4">
      <c r="A4797" t="s">
        <v>6</v>
      </c>
      <c r="B4797">
        <v>55</v>
      </c>
      <c r="C4797" t="str">
        <f>CHOOSE(MATCH(B4797, {20,25,30,35,40,45,50,55,60,65,70,75,80,85}, 1), "20-24", "25-29", "30-34", "35-39", "40-44", "45-49", "50-54", "55-59", "60-64", "65-69", "70-74", "75-79", "80-84", "85+")</f>
        <v>55-59</v>
      </c>
      <c r="D4797" t="s">
        <v>8</v>
      </c>
    </row>
    <row r="4798" spans="1:4">
      <c r="A4798" t="s">
        <v>6</v>
      </c>
      <c r="B4798">
        <v>36</v>
      </c>
      <c r="C4798" t="str">
        <f>CHOOSE(MATCH(B4798, {20,25,30,35,40,45,50,55,60,65,70,75,80,85}, 1), "20-24", "25-29", "30-34", "35-39", "40-44", "45-49", "50-54", "55-59", "60-64", "65-69", "70-74", "75-79", "80-84", "85+")</f>
        <v>35-39</v>
      </c>
      <c r="D4798" t="s">
        <v>7</v>
      </c>
    </row>
    <row r="4799" spans="1:4">
      <c r="A4799" t="s">
        <v>6</v>
      </c>
      <c r="B4799">
        <v>50</v>
      </c>
      <c r="C4799" t="str">
        <f>CHOOSE(MATCH(B4799, {20,25,30,35,40,45,50,55,60,65,70,75,80,85}, 1), "20-24", "25-29", "30-34", "35-39", "40-44", "45-49", "50-54", "55-59", "60-64", "65-69", "70-74", "75-79", "80-84", "85+")</f>
        <v>50-54</v>
      </c>
      <c r="D4799" t="s">
        <v>8</v>
      </c>
    </row>
    <row r="4800" spans="1:4">
      <c r="A4800" t="s">
        <v>6</v>
      </c>
      <c r="B4800">
        <v>26</v>
      </c>
      <c r="C4800" t="str">
        <f>CHOOSE(MATCH(B4800, {20,25,30,35,40,45,50,55,60,65,70,75,80,85}, 1), "20-24", "25-29", "30-34", "35-39", "40-44", "45-49", "50-54", "55-59", "60-64", "65-69", "70-74", "75-79", "80-84", "85+")</f>
        <v>25-29</v>
      </c>
      <c r="D4800" t="s">
        <v>7</v>
      </c>
    </row>
    <row r="4801" spans="1:4">
      <c r="A4801" t="s">
        <v>6</v>
      </c>
      <c r="B4801">
        <v>22</v>
      </c>
      <c r="C4801" t="str">
        <f>CHOOSE(MATCH(B4801, {20,25,30,35,40,45,50,55,60,65,70,75,80,85}, 1), "20-24", "25-29", "30-34", "35-39", "40-44", "45-49", "50-54", "55-59", "60-64", "65-69", "70-74", "75-79", "80-84", "85+")</f>
        <v>20-24</v>
      </c>
      <c r="D4801" t="s">
        <v>7</v>
      </c>
    </row>
    <row r="4802" spans="1:4">
      <c r="A4802" t="s">
        <v>6</v>
      </c>
      <c r="B4802">
        <v>59</v>
      </c>
      <c r="C4802" t="str">
        <f>CHOOSE(MATCH(B4802, {20,25,30,35,40,45,50,55,60,65,70,75,80,85}, 1), "20-24", "25-29", "30-34", "35-39", "40-44", "45-49", "50-54", "55-59", "60-64", "65-69", "70-74", "75-79", "80-84", "85+")</f>
        <v>55-59</v>
      </c>
      <c r="D4802" t="s">
        <v>7</v>
      </c>
    </row>
    <row r="4803" spans="1:4">
      <c r="A4803" t="s">
        <v>6</v>
      </c>
      <c r="B4803">
        <v>39</v>
      </c>
      <c r="C4803" t="str">
        <f>CHOOSE(MATCH(B4803, {20,25,30,35,40,45,50,55,60,65,70,75,80,85}, 1), "20-24", "25-29", "30-34", "35-39", "40-44", "45-49", "50-54", "55-59", "60-64", "65-69", "70-74", "75-79", "80-84", "85+")</f>
        <v>35-39</v>
      </c>
      <c r="D4803" t="s">
        <v>8</v>
      </c>
    </row>
    <row r="4804" spans="1:4">
      <c r="A4804" t="s">
        <v>6</v>
      </c>
      <c r="B4804">
        <v>72</v>
      </c>
      <c r="C4804" t="str">
        <f>CHOOSE(MATCH(B4804, {20,25,30,35,40,45,50,55,60,65,70,75,80,85}, 1), "20-24", "25-29", "30-34", "35-39", "40-44", "45-49", "50-54", "55-59", "60-64", "65-69", "70-74", "75-79", "80-84", "85+")</f>
        <v>70-74</v>
      </c>
      <c r="D4804" t="s">
        <v>8</v>
      </c>
    </row>
    <row r="4805" spans="1:4">
      <c r="A4805" t="s">
        <v>6</v>
      </c>
      <c r="B4805">
        <v>42</v>
      </c>
      <c r="C4805" t="str">
        <f>CHOOSE(MATCH(B4805, {20,25,30,35,40,45,50,55,60,65,70,75,80,85}, 1), "20-24", "25-29", "30-34", "35-39", "40-44", "45-49", "50-54", "55-59", "60-64", "65-69", "70-74", "75-79", "80-84", "85+")</f>
        <v>40-44</v>
      </c>
      <c r="D4805" t="s">
        <v>7</v>
      </c>
    </row>
    <row r="4806" spans="1:4">
      <c r="A4806" t="s">
        <v>6</v>
      </c>
      <c r="B4806">
        <v>27</v>
      </c>
      <c r="C4806" t="str">
        <f>CHOOSE(MATCH(B4806, {20,25,30,35,40,45,50,55,60,65,70,75,80,85}, 1), "20-24", "25-29", "30-34", "35-39", "40-44", "45-49", "50-54", "55-59", "60-64", "65-69", "70-74", "75-79", "80-84", "85+")</f>
        <v>25-29</v>
      </c>
      <c r="D4806" t="s">
        <v>7</v>
      </c>
    </row>
    <row r="4807" spans="1:4">
      <c r="A4807" t="s">
        <v>6</v>
      </c>
      <c r="B4807">
        <v>40</v>
      </c>
      <c r="C4807" t="str">
        <f>CHOOSE(MATCH(B4807, {20,25,30,35,40,45,50,55,60,65,70,75,80,85}, 1), "20-24", "25-29", "30-34", "35-39", "40-44", "45-49", "50-54", "55-59", "60-64", "65-69", "70-74", "75-79", "80-84", "85+")</f>
        <v>40-44</v>
      </c>
      <c r="D4807" t="s">
        <v>7</v>
      </c>
    </row>
    <row r="4808" spans="1:4">
      <c r="A4808" t="s">
        <v>6</v>
      </c>
      <c r="B4808">
        <v>29</v>
      </c>
      <c r="C4808" t="str">
        <f>CHOOSE(MATCH(B4808, {20,25,30,35,40,45,50,55,60,65,70,75,80,85}, 1), "20-24", "25-29", "30-34", "35-39", "40-44", "45-49", "50-54", "55-59", "60-64", "65-69", "70-74", "75-79", "80-84", "85+")</f>
        <v>25-29</v>
      </c>
      <c r="D4808" t="s">
        <v>7</v>
      </c>
    </row>
    <row r="4809" spans="1:4">
      <c r="A4809" t="s">
        <v>6</v>
      </c>
      <c r="B4809">
        <v>70</v>
      </c>
      <c r="C4809" t="str">
        <f>CHOOSE(MATCH(B4809, {20,25,30,35,40,45,50,55,60,65,70,75,80,85}, 1), "20-24", "25-29", "30-34", "35-39", "40-44", "45-49", "50-54", "55-59", "60-64", "65-69", "70-74", "75-79", "80-84", "85+")</f>
        <v>70-74</v>
      </c>
      <c r="D4809" t="s">
        <v>7</v>
      </c>
    </row>
    <row r="4810" spans="1:4">
      <c r="A4810" t="s">
        <v>6</v>
      </c>
      <c r="B4810">
        <v>33</v>
      </c>
      <c r="C4810" t="str">
        <f>CHOOSE(MATCH(B4810, {20,25,30,35,40,45,50,55,60,65,70,75,80,85}, 1), "20-24", "25-29", "30-34", "35-39", "40-44", "45-49", "50-54", "55-59", "60-64", "65-69", "70-74", "75-79", "80-84", "85+")</f>
        <v>30-34</v>
      </c>
      <c r="D4810" t="s">
        <v>7</v>
      </c>
    </row>
    <row r="4811" spans="1:4">
      <c r="A4811" t="s">
        <v>6</v>
      </c>
      <c r="B4811">
        <v>52</v>
      </c>
      <c r="C4811" t="str">
        <f>CHOOSE(MATCH(B4811, {20,25,30,35,40,45,50,55,60,65,70,75,80,85}, 1), "20-24", "25-29", "30-34", "35-39", "40-44", "45-49", "50-54", "55-59", "60-64", "65-69", "70-74", "75-79", "80-84", "85+")</f>
        <v>50-54</v>
      </c>
      <c r="D4811" t="s">
        <v>8</v>
      </c>
    </row>
    <row r="4812" spans="1:4">
      <c r="A4812" t="s">
        <v>6</v>
      </c>
      <c r="B4812">
        <v>27</v>
      </c>
      <c r="C4812" t="str">
        <f>CHOOSE(MATCH(B4812, {20,25,30,35,40,45,50,55,60,65,70,75,80,85}, 1), "20-24", "25-29", "30-34", "35-39", "40-44", "45-49", "50-54", "55-59", "60-64", "65-69", "70-74", "75-79", "80-84", "85+")</f>
        <v>25-29</v>
      </c>
      <c r="D4812" t="s">
        <v>8</v>
      </c>
    </row>
    <row r="4813" spans="1:4">
      <c r="A4813" t="s">
        <v>6</v>
      </c>
      <c r="B4813">
        <v>28</v>
      </c>
      <c r="C4813" t="str">
        <f>CHOOSE(MATCH(B4813, {20,25,30,35,40,45,50,55,60,65,70,75,80,85}, 1), "20-24", "25-29", "30-34", "35-39", "40-44", "45-49", "50-54", "55-59", "60-64", "65-69", "70-74", "75-79", "80-84", "85+")</f>
        <v>25-29</v>
      </c>
      <c r="D4813" t="s">
        <v>8</v>
      </c>
    </row>
    <row r="4814" spans="1:4">
      <c r="A4814" t="s">
        <v>6</v>
      </c>
      <c r="B4814">
        <v>36</v>
      </c>
      <c r="C4814" t="str">
        <f>CHOOSE(MATCH(B4814, {20,25,30,35,40,45,50,55,60,65,70,75,80,85}, 1), "20-24", "25-29", "30-34", "35-39", "40-44", "45-49", "50-54", "55-59", "60-64", "65-69", "70-74", "75-79", "80-84", "85+")</f>
        <v>35-39</v>
      </c>
      <c r="D4814" t="s">
        <v>8</v>
      </c>
    </row>
    <row r="4815" spans="1:4">
      <c r="A4815" t="s">
        <v>6</v>
      </c>
      <c r="B4815">
        <v>31</v>
      </c>
      <c r="C4815" t="str">
        <f>CHOOSE(MATCH(B4815, {20,25,30,35,40,45,50,55,60,65,70,75,80,85}, 1), "20-24", "25-29", "30-34", "35-39", "40-44", "45-49", "50-54", "55-59", "60-64", "65-69", "70-74", "75-79", "80-84", "85+")</f>
        <v>30-34</v>
      </c>
      <c r="D4815" t="s">
        <v>7</v>
      </c>
    </row>
    <row r="4816" spans="1:4">
      <c r="A4816" t="s">
        <v>6</v>
      </c>
      <c r="B4816">
        <v>50</v>
      </c>
      <c r="C4816" t="str">
        <f>CHOOSE(MATCH(B4816, {20,25,30,35,40,45,50,55,60,65,70,75,80,85}, 1), "20-24", "25-29", "30-34", "35-39", "40-44", "45-49", "50-54", "55-59", "60-64", "65-69", "70-74", "75-79", "80-84", "85+")</f>
        <v>50-54</v>
      </c>
      <c r="D4816" t="s">
        <v>7</v>
      </c>
    </row>
    <row r="4817" spans="1:4">
      <c r="A4817" t="s">
        <v>6</v>
      </c>
      <c r="B4817">
        <v>22</v>
      </c>
      <c r="C4817" t="str">
        <f>CHOOSE(MATCH(B4817, {20,25,30,35,40,45,50,55,60,65,70,75,80,85}, 1), "20-24", "25-29", "30-34", "35-39", "40-44", "45-49", "50-54", "55-59", "60-64", "65-69", "70-74", "75-79", "80-84", "85+")</f>
        <v>20-24</v>
      </c>
      <c r="D4817" t="s">
        <v>7</v>
      </c>
    </row>
    <row r="4818" spans="1:4">
      <c r="A4818" t="s">
        <v>6</v>
      </c>
      <c r="B4818">
        <v>27</v>
      </c>
      <c r="C4818" t="str">
        <f>CHOOSE(MATCH(B4818, {20,25,30,35,40,45,50,55,60,65,70,75,80,85}, 1), "20-24", "25-29", "30-34", "35-39", "40-44", "45-49", "50-54", "55-59", "60-64", "65-69", "70-74", "75-79", "80-84", "85+")</f>
        <v>25-29</v>
      </c>
      <c r="D4818" t="s">
        <v>8</v>
      </c>
    </row>
    <row r="4819" spans="1:4">
      <c r="A4819" t="s">
        <v>6</v>
      </c>
      <c r="B4819">
        <v>78</v>
      </c>
      <c r="C4819" t="str">
        <f>CHOOSE(MATCH(B4819, {20,25,30,35,40,45,50,55,60,65,70,75,80,85}, 1), "20-24", "25-29", "30-34", "35-39", "40-44", "45-49", "50-54", "55-59", "60-64", "65-69", "70-74", "75-79", "80-84", "85+")</f>
        <v>75-79</v>
      </c>
      <c r="D4819" t="s">
        <v>7</v>
      </c>
    </row>
    <row r="4820" spans="1:4">
      <c r="A4820" t="s">
        <v>6</v>
      </c>
      <c r="B4820">
        <v>37</v>
      </c>
      <c r="C4820" t="str">
        <f>CHOOSE(MATCH(B4820, {20,25,30,35,40,45,50,55,60,65,70,75,80,85}, 1), "20-24", "25-29", "30-34", "35-39", "40-44", "45-49", "50-54", "55-59", "60-64", "65-69", "70-74", "75-79", "80-84", "85+")</f>
        <v>35-39</v>
      </c>
      <c r="D4820" t="s">
        <v>8</v>
      </c>
    </row>
    <row r="4821" spans="1:4">
      <c r="A4821" t="s">
        <v>6</v>
      </c>
      <c r="B4821">
        <v>77</v>
      </c>
      <c r="C4821" t="str">
        <f>CHOOSE(MATCH(B4821, {20,25,30,35,40,45,50,55,60,65,70,75,80,85}, 1), "20-24", "25-29", "30-34", "35-39", "40-44", "45-49", "50-54", "55-59", "60-64", "65-69", "70-74", "75-79", "80-84", "85+")</f>
        <v>75-79</v>
      </c>
      <c r="D4821" t="s">
        <v>7</v>
      </c>
    </row>
    <row r="4822" spans="1:4">
      <c r="A4822" t="s">
        <v>6</v>
      </c>
      <c r="B4822">
        <v>81</v>
      </c>
      <c r="C4822" t="str">
        <f>CHOOSE(MATCH(B4822, {20,25,30,35,40,45,50,55,60,65,70,75,80,85}, 1), "20-24", "25-29", "30-34", "35-39", "40-44", "45-49", "50-54", "55-59", "60-64", "65-69", "70-74", "75-79", "80-84", "85+")</f>
        <v>80-84</v>
      </c>
      <c r="D4822" t="s">
        <v>7</v>
      </c>
    </row>
    <row r="4823" spans="1:4">
      <c r="A4823" t="s">
        <v>6</v>
      </c>
      <c r="B4823">
        <v>39</v>
      </c>
      <c r="C4823" t="str">
        <f>CHOOSE(MATCH(B4823, {20,25,30,35,40,45,50,55,60,65,70,75,80,85}, 1), "20-24", "25-29", "30-34", "35-39", "40-44", "45-49", "50-54", "55-59", "60-64", "65-69", "70-74", "75-79", "80-84", "85+")</f>
        <v>35-39</v>
      </c>
      <c r="D4823" t="s">
        <v>7</v>
      </c>
    </row>
    <row r="4824" spans="1:4">
      <c r="A4824" t="s">
        <v>6</v>
      </c>
      <c r="B4824">
        <v>44</v>
      </c>
      <c r="C4824" t="str">
        <f>CHOOSE(MATCH(B4824, {20,25,30,35,40,45,50,55,60,65,70,75,80,85}, 1), "20-24", "25-29", "30-34", "35-39", "40-44", "45-49", "50-54", "55-59", "60-64", "65-69", "70-74", "75-79", "80-84", "85+")</f>
        <v>40-44</v>
      </c>
      <c r="D4824" t="s">
        <v>7</v>
      </c>
    </row>
    <row r="4825" spans="1:4">
      <c r="A4825" t="s">
        <v>6</v>
      </c>
      <c r="B4825">
        <v>55</v>
      </c>
      <c r="C4825" t="str">
        <f>CHOOSE(MATCH(B4825, {20,25,30,35,40,45,50,55,60,65,70,75,80,85}, 1), "20-24", "25-29", "30-34", "35-39", "40-44", "45-49", "50-54", "55-59", "60-64", "65-69", "70-74", "75-79", "80-84", "85+")</f>
        <v>55-59</v>
      </c>
      <c r="D4825" t="s">
        <v>8</v>
      </c>
    </row>
    <row r="4826" spans="1:4">
      <c r="A4826" t="s">
        <v>6</v>
      </c>
      <c r="B4826">
        <v>34</v>
      </c>
      <c r="C4826" t="str">
        <f>CHOOSE(MATCH(B4826, {20,25,30,35,40,45,50,55,60,65,70,75,80,85}, 1), "20-24", "25-29", "30-34", "35-39", "40-44", "45-49", "50-54", "55-59", "60-64", "65-69", "70-74", "75-79", "80-84", "85+")</f>
        <v>30-34</v>
      </c>
      <c r="D4826" t="s">
        <v>8</v>
      </c>
    </row>
    <row r="4827" spans="1:4">
      <c r="A4827" t="s">
        <v>6</v>
      </c>
      <c r="B4827">
        <v>43</v>
      </c>
      <c r="C4827" t="str">
        <f>CHOOSE(MATCH(B4827, {20,25,30,35,40,45,50,55,60,65,70,75,80,85}, 1), "20-24", "25-29", "30-34", "35-39", "40-44", "45-49", "50-54", "55-59", "60-64", "65-69", "70-74", "75-79", "80-84", "85+")</f>
        <v>40-44</v>
      </c>
      <c r="D4827" t="s">
        <v>7</v>
      </c>
    </row>
    <row r="4828" spans="1:4">
      <c r="A4828" t="s">
        <v>6</v>
      </c>
      <c r="B4828">
        <v>23</v>
      </c>
      <c r="C4828" t="str">
        <f>CHOOSE(MATCH(B4828, {20,25,30,35,40,45,50,55,60,65,70,75,80,85}, 1), "20-24", "25-29", "30-34", "35-39", "40-44", "45-49", "50-54", "55-59", "60-64", "65-69", "70-74", "75-79", "80-84", "85+")</f>
        <v>20-24</v>
      </c>
      <c r="D4828" t="s">
        <v>7</v>
      </c>
    </row>
    <row r="4829" spans="1:4">
      <c r="A4829" t="s">
        <v>6</v>
      </c>
      <c r="B4829">
        <v>33</v>
      </c>
      <c r="C4829" t="str">
        <f>CHOOSE(MATCH(B4829, {20,25,30,35,40,45,50,55,60,65,70,75,80,85}, 1), "20-24", "25-29", "30-34", "35-39", "40-44", "45-49", "50-54", "55-59", "60-64", "65-69", "70-74", "75-79", "80-84", "85+")</f>
        <v>30-34</v>
      </c>
      <c r="D4829" t="s">
        <v>7</v>
      </c>
    </row>
    <row r="4830" spans="1:4">
      <c r="A4830" t="s">
        <v>6</v>
      </c>
      <c r="B4830">
        <v>34</v>
      </c>
      <c r="C4830" t="str">
        <f>CHOOSE(MATCH(B4830, {20,25,30,35,40,45,50,55,60,65,70,75,80,85}, 1), "20-24", "25-29", "30-34", "35-39", "40-44", "45-49", "50-54", "55-59", "60-64", "65-69", "70-74", "75-79", "80-84", "85+")</f>
        <v>30-34</v>
      </c>
      <c r="D4830" t="s">
        <v>7</v>
      </c>
    </row>
    <row r="4831" spans="1:4">
      <c r="A4831" t="s">
        <v>6</v>
      </c>
      <c r="B4831">
        <v>32</v>
      </c>
      <c r="C4831" t="str">
        <f>CHOOSE(MATCH(B4831, {20,25,30,35,40,45,50,55,60,65,70,75,80,85}, 1), "20-24", "25-29", "30-34", "35-39", "40-44", "45-49", "50-54", "55-59", "60-64", "65-69", "70-74", "75-79", "80-84", "85+")</f>
        <v>30-34</v>
      </c>
      <c r="D4831" t="s">
        <v>7</v>
      </c>
    </row>
    <row r="4832" spans="1:4">
      <c r="A4832" t="s">
        <v>6</v>
      </c>
      <c r="B4832">
        <v>35</v>
      </c>
      <c r="C4832" t="str">
        <f>CHOOSE(MATCH(B4832, {20,25,30,35,40,45,50,55,60,65,70,75,80,85}, 1), "20-24", "25-29", "30-34", "35-39", "40-44", "45-49", "50-54", "55-59", "60-64", "65-69", "70-74", "75-79", "80-84", "85+")</f>
        <v>35-39</v>
      </c>
      <c r="D4832" t="s">
        <v>8</v>
      </c>
    </row>
    <row r="4833" spans="1:4">
      <c r="A4833" t="s">
        <v>6</v>
      </c>
      <c r="B4833">
        <v>44</v>
      </c>
      <c r="C4833" t="str">
        <f>CHOOSE(MATCH(B4833, {20,25,30,35,40,45,50,55,60,65,70,75,80,85}, 1), "20-24", "25-29", "30-34", "35-39", "40-44", "45-49", "50-54", "55-59", "60-64", "65-69", "70-74", "75-79", "80-84", "85+")</f>
        <v>40-44</v>
      </c>
      <c r="D4833" t="s">
        <v>7</v>
      </c>
    </row>
    <row r="4834" spans="1:4">
      <c r="A4834" t="s">
        <v>6</v>
      </c>
      <c r="B4834">
        <v>62</v>
      </c>
      <c r="C4834" t="str">
        <f>CHOOSE(MATCH(B4834, {20,25,30,35,40,45,50,55,60,65,70,75,80,85}, 1), "20-24", "25-29", "30-34", "35-39", "40-44", "45-49", "50-54", "55-59", "60-64", "65-69", "70-74", "75-79", "80-84", "85+")</f>
        <v>60-64</v>
      </c>
      <c r="D4834" t="s">
        <v>8</v>
      </c>
    </row>
    <row r="4835" spans="1:4">
      <c r="A4835" t="s">
        <v>6</v>
      </c>
      <c r="B4835">
        <v>37</v>
      </c>
      <c r="C4835" t="str">
        <f>CHOOSE(MATCH(B4835, {20,25,30,35,40,45,50,55,60,65,70,75,80,85}, 1), "20-24", "25-29", "30-34", "35-39", "40-44", "45-49", "50-54", "55-59", "60-64", "65-69", "70-74", "75-79", "80-84", "85+")</f>
        <v>35-39</v>
      </c>
      <c r="D4835" t="s">
        <v>8</v>
      </c>
    </row>
    <row r="4836" spans="1:4">
      <c r="A4836" t="s">
        <v>6</v>
      </c>
      <c r="B4836">
        <v>41</v>
      </c>
      <c r="C4836" t="str">
        <f>CHOOSE(MATCH(B4836, {20,25,30,35,40,45,50,55,60,65,70,75,80,85}, 1), "20-24", "25-29", "30-34", "35-39", "40-44", "45-49", "50-54", "55-59", "60-64", "65-69", "70-74", "75-79", "80-84", "85+")</f>
        <v>40-44</v>
      </c>
      <c r="D4836" t="s">
        <v>8</v>
      </c>
    </row>
    <row r="4837" spans="1:4">
      <c r="A4837" t="s">
        <v>6</v>
      </c>
      <c r="B4837">
        <v>21</v>
      </c>
      <c r="C4837" t="str">
        <f>CHOOSE(MATCH(B4837, {20,25,30,35,40,45,50,55,60,65,70,75,80,85}, 1), "20-24", "25-29", "30-34", "35-39", "40-44", "45-49", "50-54", "55-59", "60-64", "65-69", "70-74", "75-79", "80-84", "85+")</f>
        <v>20-24</v>
      </c>
      <c r="D4837" t="s">
        <v>7</v>
      </c>
    </row>
    <row r="4838" spans="1:4">
      <c r="A4838" t="s">
        <v>6</v>
      </c>
      <c r="B4838">
        <v>32</v>
      </c>
      <c r="C4838" t="str">
        <f>CHOOSE(MATCH(B4838, {20,25,30,35,40,45,50,55,60,65,70,75,80,85}, 1), "20-24", "25-29", "30-34", "35-39", "40-44", "45-49", "50-54", "55-59", "60-64", "65-69", "70-74", "75-79", "80-84", "85+")</f>
        <v>30-34</v>
      </c>
      <c r="D4838" t="s">
        <v>7</v>
      </c>
    </row>
    <row r="4839" spans="1:4">
      <c r="A4839" t="s">
        <v>6</v>
      </c>
      <c r="B4839">
        <v>56</v>
      </c>
      <c r="C4839" t="str">
        <f>CHOOSE(MATCH(B4839, {20,25,30,35,40,45,50,55,60,65,70,75,80,85}, 1), "20-24", "25-29", "30-34", "35-39", "40-44", "45-49", "50-54", "55-59", "60-64", "65-69", "70-74", "75-79", "80-84", "85+")</f>
        <v>55-59</v>
      </c>
      <c r="D4839" t="s">
        <v>8</v>
      </c>
    </row>
    <row r="4840" spans="1:4">
      <c r="A4840" t="s">
        <v>6</v>
      </c>
      <c r="B4840">
        <v>34</v>
      </c>
      <c r="C4840" t="str">
        <f>CHOOSE(MATCH(B4840, {20,25,30,35,40,45,50,55,60,65,70,75,80,85}, 1), "20-24", "25-29", "30-34", "35-39", "40-44", "45-49", "50-54", "55-59", "60-64", "65-69", "70-74", "75-79", "80-84", "85+")</f>
        <v>30-34</v>
      </c>
      <c r="D4840" t="s">
        <v>7</v>
      </c>
    </row>
    <row r="4841" spans="1:4">
      <c r="A4841" t="s">
        <v>6</v>
      </c>
      <c r="B4841">
        <v>37</v>
      </c>
      <c r="C4841" t="str">
        <f>CHOOSE(MATCH(B4841, {20,25,30,35,40,45,50,55,60,65,70,75,80,85}, 1), "20-24", "25-29", "30-34", "35-39", "40-44", "45-49", "50-54", "55-59", "60-64", "65-69", "70-74", "75-79", "80-84", "85+")</f>
        <v>35-39</v>
      </c>
      <c r="D4841" t="s">
        <v>7</v>
      </c>
    </row>
    <row r="4842" spans="1:4">
      <c r="A4842" t="s">
        <v>6</v>
      </c>
      <c r="B4842">
        <v>36</v>
      </c>
      <c r="C4842" t="str">
        <f>CHOOSE(MATCH(B4842, {20,25,30,35,40,45,50,55,60,65,70,75,80,85}, 1), "20-24", "25-29", "30-34", "35-39", "40-44", "45-49", "50-54", "55-59", "60-64", "65-69", "70-74", "75-79", "80-84", "85+")</f>
        <v>35-39</v>
      </c>
      <c r="D4842" t="s">
        <v>7</v>
      </c>
    </row>
    <row r="4843" spans="1:4">
      <c r="A4843" t="s">
        <v>6</v>
      </c>
      <c r="B4843">
        <v>47</v>
      </c>
      <c r="C4843" t="str">
        <f>CHOOSE(MATCH(B4843, {20,25,30,35,40,45,50,55,60,65,70,75,80,85}, 1), "20-24", "25-29", "30-34", "35-39", "40-44", "45-49", "50-54", "55-59", "60-64", "65-69", "70-74", "75-79", "80-84", "85+")</f>
        <v>45-49</v>
      </c>
      <c r="D4843" t="s">
        <v>7</v>
      </c>
    </row>
    <row r="4844" spans="1:4">
      <c r="A4844" t="s">
        <v>6</v>
      </c>
      <c r="B4844">
        <v>29</v>
      </c>
      <c r="C4844" t="str">
        <f>CHOOSE(MATCH(B4844, {20,25,30,35,40,45,50,55,60,65,70,75,80,85}, 1), "20-24", "25-29", "30-34", "35-39", "40-44", "45-49", "50-54", "55-59", "60-64", "65-69", "70-74", "75-79", "80-84", "85+")</f>
        <v>25-29</v>
      </c>
      <c r="D4844" t="s">
        <v>7</v>
      </c>
    </row>
    <row r="4845" spans="1:4">
      <c r="A4845" t="s">
        <v>6</v>
      </c>
      <c r="B4845">
        <v>46</v>
      </c>
      <c r="C4845" t="str">
        <f>CHOOSE(MATCH(B4845, {20,25,30,35,40,45,50,55,60,65,70,75,80,85}, 1), "20-24", "25-29", "30-34", "35-39", "40-44", "45-49", "50-54", "55-59", "60-64", "65-69", "70-74", "75-79", "80-84", "85+")</f>
        <v>45-49</v>
      </c>
      <c r="D4845" t="s">
        <v>8</v>
      </c>
    </row>
    <row r="4846" spans="1:4">
      <c r="A4846" t="s">
        <v>6</v>
      </c>
      <c r="B4846">
        <v>29</v>
      </c>
      <c r="C4846" t="str">
        <f>CHOOSE(MATCH(B4846, {20,25,30,35,40,45,50,55,60,65,70,75,80,85}, 1), "20-24", "25-29", "30-34", "35-39", "40-44", "45-49", "50-54", "55-59", "60-64", "65-69", "70-74", "75-79", "80-84", "85+")</f>
        <v>25-29</v>
      </c>
      <c r="D4846" t="s">
        <v>8</v>
      </c>
    </row>
    <row r="4847" spans="1:4">
      <c r="A4847" t="s">
        <v>6</v>
      </c>
      <c r="B4847">
        <v>41</v>
      </c>
      <c r="C4847" t="str">
        <f>CHOOSE(MATCH(B4847, {20,25,30,35,40,45,50,55,60,65,70,75,80,85}, 1), "20-24", "25-29", "30-34", "35-39", "40-44", "45-49", "50-54", "55-59", "60-64", "65-69", "70-74", "75-79", "80-84", "85+")</f>
        <v>40-44</v>
      </c>
      <c r="D4847" t="s">
        <v>8</v>
      </c>
    </row>
    <row r="4848" spans="1:4">
      <c r="A4848" t="s">
        <v>6</v>
      </c>
      <c r="B4848">
        <v>55</v>
      </c>
      <c r="C4848" t="str">
        <f>CHOOSE(MATCH(B4848, {20,25,30,35,40,45,50,55,60,65,70,75,80,85}, 1), "20-24", "25-29", "30-34", "35-39", "40-44", "45-49", "50-54", "55-59", "60-64", "65-69", "70-74", "75-79", "80-84", "85+")</f>
        <v>55-59</v>
      </c>
      <c r="D4848" t="s">
        <v>8</v>
      </c>
    </row>
    <row r="4849" spans="1:4">
      <c r="A4849" t="s">
        <v>6</v>
      </c>
      <c r="B4849">
        <v>24</v>
      </c>
      <c r="C4849" t="str">
        <f>CHOOSE(MATCH(B4849, {20,25,30,35,40,45,50,55,60,65,70,75,80,85}, 1), "20-24", "25-29", "30-34", "35-39", "40-44", "45-49", "50-54", "55-59", "60-64", "65-69", "70-74", "75-79", "80-84", "85+")</f>
        <v>20-24</v>
      </c>
      <c r="D4849" t="s">
        <v>7</v>
      </c>
    </row>
    <row r="4850" spans="1:4">
      <c r="A4850" t="s">
        <v>6</v>
      </c>
      <c r="B4850">
        <v>31</v>
      </c>
      <c r="C4850" t="str">
        <f>CHOOSE(MATCH(B4850, {20,25,30,35,40,45,50,55,60,65,70,75,80,85}, 1), "20-24", "25-29", "30-34", "35-39", "40-44", "45-49", "50-54", "55-59", "60-64", "65-69", "70-74", "75-79", "80-84", "85+")</f>
        <v>30-34</v>
      </c>
      <c r="D4850" t="s">
        <v>7</v>
      </c>
    </row>
    <row r="4851" spans="1:4">
      <c r="A4851" t="s">
        <v>6</v>
      </c>
      <c r="B4851">
        <v>43</v>
      </c>
      <c r="C4851" t="str">
        <f>CHOOSE(MATCH(B4851, {20,25,30,35,40,45,50,55,60,65,70,75,80,85}, 1), "20-24", "25-29", "30-34", "35-39", "40-44", "45-49", "50-54", "55-59", "60-64", "65-69", "70-74", "75-79", "80-84", "85+")</f>
        <v>40-44</v>
      </c>
      <c r="D4851" t="s">
        <v>7</v>
      </c>
    </row>
    <row r="4852" spans="1:4">
      <c r="A4852" t="s">
        <v>6</v>
      </c>
      <c r="B4852">
        <v>36</v>
      </c>
      <c r="C4852" t="str">
        <f>CHOOSE(MATCH(B4852, {20,25,30,35,40,45,50,55,60,65,70,75,80,85}, 1), "20-24", "25-29", "30-34", "35-39", "40-44", "45-49", "50-54", "55-59", "60-64", "65-69", "70-74", "75-79", "80-84", "85+")</f>
        <v>35-39</v>
      </c>
      <c r="D4852" t="s">
        <v>7</v>
      </c>
    </row>
    <row r="4853" spans="1:4">
      <c r="A4853" t="s">
        <v>6</v>
      </c>
      <c r="B4853">
        <v>36</v>
      </c>
      <c r="C4853" t="str">
        <f>CHOOSE(MATCH(B4853, {20,25,30,35,40,45,50,55,60,65,70,75,80,85}, 1), "20-24", "25-29", "30-34", "35-39", "40-44", "45-49", "50-54", "55-59", "60-64", "65-69", "70-74", "75-79", "80-84", "85+")</f>
        <v>35-39</v>
      </c>
      <c r="D4853" t="s">
        <v>8</v>
      </c>
    </row>
    <row r="4854" spans="1:4">
      <c r="A4854" t="s">
        <v>6</v>
      </c>
      <c r="B4854">
        <v>48</v>
      </c>
      <c r="C4854" t="str">
        <f>CHOOSE(MATCH(B4854, {20,25,30,35,40,45,50,55,60,65,70,75,80,85}, 1), "20-24", "25-29", "30-34", "35-39", "40-44", "45-49", "50-54", "55-59", "60-64", "65-69", "70-74", "75-79", "80-84", "85+")</f>
        <v>45-49</v>
      </c>
      <c r="D4854" t="s">
        <v>7</v>
      </c>
    </row>
    <row r="4855" spans="1:4">
      <c r="A4855" t="s">
        <v>6</v>
      </c>
      <c r="B4855">
        <v>26</v>
      </c>
      <c r="C4855" t="str">
        <f>CHOOSE(MATCH(B4855, {20,25,30,35,40,45,50,55,60,65,70,75,80,85}, 1), "20-24", "25-29", "30-34", "35-39", "40-44", "45-49", "50-54", "55-59", "60-64", "65-69", "70-74", "75-79", "80-84", "85+")</f>
        <v>25-29</v>
      </c>
      <c r="D4855" t="s">
        <v>7</v>
      </c>
    </row>
    <row r="4856" spans="1:4">
      <c r="A4856" t="s">
        <v>6</v>
      </c>
      <c r="B4856">
        <v>69</v>
      </c>
      <c r="C4856" t="str">
        <f>CHOOSE(MATCH(B4856, {20,25,30,35,40,45,50,55,60,65,70,75,80,85}, 1), "20-24", "25-29", "30-34", "35-39", "40-44", "45-49", "50-54", "55-59", "60-64", "65-69", "70-74", "75-79", "80-84", "85+")</f>
        <v>65-69</v>
      </c>
      <c r="D4856" t="s">
        <v>7</v>
      </c>
    </row>
    <row r="4857" spans="1:4">
      <c r="A4857" t="s">
        <v>6</v>
      </c>
      <c r="B4857">
        <v>39</v>
      </c>
      <c r="C4857" t="str">
        <f>CHOOSE(MATCH(B4857, {20,25,30,35,40,45,50,55,60,65,70,75,80,85}, 1), "20-24", "25-29", "30-34", "35-39", "40-44", "45-49", "50-54", "55-59", "60-64", "65-69", "70-74", "75-79", "80-84", "85+")</f>
        <v>35-39</v>
      </c>
      <c r="D4857" t="s">
        <v>8</v>
      </c>
    </row>
    <row r="4858" spans="1:4">
      <c r="A4858" t="s">
        <v>6</v>
      </c>
      <c r="B4858">
        <v>34</v>
      </c>
      <c r="C4858" t="str">
        <f>CHOOSE(MATCH(B4858, {20,25,30,35,40,45,50,55,60,65,70,75,80,85}, 1), "20-24", "25-29", "30-34", "35-39", "40-44", "45-49", "50-54", "55-59", "60-64", "65-69", "70-74", "75-79", "80-84", "85+")</f>
        <v>30-34</v>
      </c>
      <c r="D4858" t="s">
        <v>7</v>
      </c>
    </row>
    <row r="4859" spans="1:4">
      <c r="A4859" t="s">
        <v>6</v>
      </c>
      <c r="B4859">
        <v>31</v>
      </c>
      <c r="C4859" t="str">
        <f>CHOOSE(MATCH(B4859, {20,25,30,35,40,45,50,55,60,65,70,75,80,85}, 1), "20-24", "25-29", "30-34", "35-39", "40-44", "45-49", "50-54", "55-59", "60-64", "65-69", "70-74", "75-79", "80-84", "85+")</f>
        <v>30-34</v>
      </c>
      <c r="D4859" t="s">
        <v>7</v>
      </c>
    </row>
    <row r="4860" spans="1:4">
      <c r="A4860" t="s">
        <v>6</v>
      </c>
      <c r="B4860">
        <v>44</v>
      </c>
      <c r="C4860" t="str">
        <f>CHOOSE(MATCH(B4860, {20,25,30,35,40,45,50,55,60,65,70,75,80,85}, 1), "20-24", "25-29", "30-34", "35-39", "40-44", "45-49", "50-54", "55-59", "60-64", "65-69", "70-74", "75-79", "80-84", "85+")</f>
        <v>40-44</v>
      </c>
      <c r="D4860" t="s">
        <v>8</v>
      </c>
    </row>
    <row r="4861" spans="1:4">
      <c r="A4861" t="s">
        <v>6</v>
      </c>
      <c r="B4861">
        <v>46</v>
      </c>
      <c r="C4861" t="str">
        <f>CHOOSE(MATCH(B4861, {20,25,30,35,40,45,50,55,60,65,70,75,80,85}, 1), "20-24", "25-29", "30-34", "35-39", "40-44", "45-49", "50-54", "55-59", "60-64", "65-69", "70-74", "75-79", "80-84", "85+")</f>
        <v>45-49</v>
      </c>
      <c r="D4861" t="s">
        <v>7</v>
      </c>
    </row>
    <row r="4862" spans="1:4">
      <c r="A4862" t="s">
        <v>6</v>
      </c>
      <c r="B4862">
        <v>49</v>
      </c>
      <c r="C4862" t="str">
        <f>CHOOSE(MATCH(B4862, {20,25,30,35,40,45,50,55,60,65,70,75,80,85}, 1), "20-24", "25-29", "30-34", "35-39", "40-44", "45-49", "50-54", "55-59", "60-64", "65-69", "70-74", "75-79", "80-84", "85+")</f>
        <v>45-49</v>
      </c>
      <c r="D4862" t="s">
        <v>7</v>
      </c>
    </row>
    <row r="4863" spans="1:4">
      <c r="A4863" t="s">
        <v>6</v>
      </c>
      <c r="B4863">
        <v>36</v>
      </c>
      <c r="C4863" t="str">
        <f>CHOOSE(MATCH(B4863, {20,25,30,35,40,45,50,55,60,65,70,75,80,85}, 1), "20-24", "25-29", "30-34", "35-39", "40-44", "45-49", "50-54", "55-59", "60-64", "65-69", "70-74", "75-79", "80-84", "85+")</f>
        <v>35-39</v>
      </c>
      <c r="D4863" t="s">
        <v>8</v>
      </c>
    </row>
    <row r="4864" spans="1:4">
      <c r="A4864" t="s">
        <v>6</v>
      </c>
      <c r="B4864">
        <v>39</v>
      </c>
      <c r="C4864" t="str">
        <f>CHOOSE(MATCH(B4864, {20,25,30,35,40,45,50,55,60,65,70,75,80,85}, 1), "20-24", "25-29", "30-34", "35-39", "40-44", "45-49", "50-54", "55-59", "60-64", "65-69", "70-74", "75-79", "80-84", "85+")</f>
        <v>35-39</v>
      </c>
      <c r="D4864" t="s">
        <v>8</v>
      </c>
    </row>
    <row r="4865" spans="1:4">
      <c r="A4865" t="s">
        <v>6</v>
      </c>
      <c r="B4865">
        <v>58</v>
      </c>
      <c r="C4865" t="str">
        <f>CHOOSE(MATCH(B4865, {20,25,30,35,40,45,50,55,60,65,70,75,80,85}, 1), "20-24", "25-29", "30-34", "35-39", "40-44", "45-49", "50-54", "55-59", "60-64", "65-69", "70-74", "75-79", "80-84", "85+")</f>
        <v>55-59</v>
      </c>
      <c r="D4865" t="s">
        <v>8</v>
      </c>
    </row>
    <row r="4866" spans="1:4">
      <c r="A4866" t="s">
        <v>6</v>
      </c>
      <c r="B4866">
        <v>54</v>
      </c>
      <c r="C4866" t="str">
        <f>CHOOSE(MATCH(B4866, {20,25,30,35,40,45,50,55,60,65,70,75,80,85}, 1), "20-24", "25-29", "30-34", "35-39", "40-44", "45-49", "50-54", "55-59", "60-64", "65-69", "70-74", "75-79", "80-84", "85+")</f>
        <v>50-54</v>
      </c>
      <c r="D4866" t="s">
        <v>8</v>
      </c>
    </row>
    <row r="4867" spans="1:4">
      <c r="A4867" t="s">
        <v>6</v>
      </c>
      <c r="B4867">
        <v>83</v>
      </c>
      <c r="C4867" t="str">
        <f>CHOOSE(MATCH(B4867, {20,25,30,35,40,45,50,55,60,65,70,75,80,85}, 1), "20-24", "25-29", "30-34", "35-39", "40-44", "45-49", "50-54", "55-59", "60-64", "65-69", "70-74", "75-79", "80-84", "85+")</f>
        <v>80-84</v>
      </c>
      <c r="D4867" t="s">
        <v>8</v>
      </c>
    </row>
    <row r="4868" spans="1:4">
      <c r="A4868" t="s">
        <v>6</v>
      </c>
      <c r="B4868">
        <v>30</v>
      </c>
      <c r="C4868" t="str">
        <f>CHOOSE(MATCH(B4868, {20,25,30,35,40,45,50,55,60,65,70,75,80,85}, 1), "20-24", "25-29", "30-34", "35-39", "40-44", "45-49", "50-54", "55-59", "60-64", "65-69", "70-74", "75-79", "80-84", "85+")</f>
        <v>30-34</v>
      </c>
      <c r="D4868" t="s">
        <v>7</v>
      </c>
    </row>
    <row r="4869" spans="1:4">
      <c r="A4869" t="s">
        <v>6</v>
      </c>
      <c r="B4869">
        <v>57</v>
      </c>
      <c r="C4869" t="str">
        <f>CHOOSE(MATCH(B4869, {20,25,30,35,40,45,50,55,60,65,70,75,80,85}, 1), "20-24", "25-29", "30-34", "35-39", "40-44", "45-49", "50-54", "55-59", "60-64", "65-69", "70-74", "75-79", "80-84", "85+")</f>
        <v>55-59</v>
      </c>
      <c r="D4869" t="s">
        <v>8</v>
      </c>
    </row>
    <row r="4870" spans="1:4">
      <c r="A4870" t="s">
        <v>6</v>
      </c>
      <c r="B4870">
        <v>45</v>
      </c>
      <c r="C4870" t="str">
        <f>CHOOSE(MATCH(B4870, {20,25,30,35,40,45,50,55,60,65,70,75,80,85}, 1), "20-24", "25-29", "30-34", "35-39", "40-44", "45-49", "50-54", "55-59", "60-64", "65-69", "70-74", "75-79", "80-84", "85+")</f>
        <v>45-49</v>
      </c>
      <c r="D4870" t="s">
        <v>7</v>
      </c>
    </row>
    <row r="4871" spans="1:4">
      <c r="A4871" t="s">
        <v>6</v>
      </c>
      <c r="B4871">
        <v>25</v>
      </c>
      <c r="C4871" t="str">
        <f>CHOOSE(MATCH(B4871, {20,25,30,35,40,45,50,55,60,65,70,75,80,85}, 1), "20-24", "25-29", "30-34", "35-39", "40-44", "45-49", "50-54", "55-59", "60-64", "65-69", "70-74", "75-79", "80-84", "85+")</f>
        <v>25-29</v>
      </c>
      <c r="D4871" t="s">
        <v>7</v>
      </c>
    </row>
    <row r="4872" spans="1:4">
      <c r="A4872" t="s">
        <v>6</v>
      </c>
      <c r="B4872">
        <v>37</v>
      </c>
      <c r="C4872" t="str">
        <f>CHOOSE(MATCH(B4872, {20,25,30,35,40,45,50,55,60,65,70,75,80,85}, 1), "20-24", "25-29", "30-34", "35-39", "40-44", "45-49", "50-54", "55-59", "60-64", "65-69", "70-74", "75-79", "80-84", "85+")</f>
        <v>35-39</v>
      </c>
      <c r="D4872" t="s">
        <v>8</v>
      </c>
    </row>
    <row r="4873" spans="1:4">
      <c r="A4873" t="s">
        <v>6</v>
      </c>
      <c r="B4873">
        <v>51</v>
      </c>
      <c r="C4873" t="str">
        <f>CHOOSE(MATCH(B4873, {20,25,30,35,40,45,50,55,60,65,70,75,80,85}, 1), "20-24", "25-29", "30-34", "35-39", "40-44", "45-49", "50-54", "55-59", "60-64", "65-69", "70-74", "75-79", "80-84", "85+")</f>
        <v>50-54</v>
      </c>
      <c r="D4873" t="s">
        <v>7</v>
      </c>
    </row>
    <row r="4874" spans="1:4">
      <c r="A4874" t="s">
        <v>6</v>
      </c>
      <c r="B4874">
        <v>27</v>
      </c>
      <c r="C4874" t="str">
        <f>CHOOSE(MATCH(B4874, {20,25,30,35,40,45,50,55,60,65,70,75,80,85}, 1), "20-24", "25-29", "30-34", "35-39", "40-44", "45-49", "50-54", "55-59", "60-64", "65-69", "70-74", "75-79", "80-84", "85+")</f>
        <v>25-29</v>
      </c>
      <c r="D4874" t="s">
        <v>7</v>
      </c>
    </row>
    <row r="4875" spans="1:4">
      <c r="A4875" t="s">
        <v>6</v>
      </c>
      <c r="B4875">
        <v>36</v>
      </c>
      <c r="C4875" t="str">
        <f>CHOOSE(MATCH(B4875, {20,25,30,35,40,45,50,55,60,65,70,75,80,85}, 1), "20-24", "25-29", "30-34", "35-39", "40-44", "45-49", "50-54", "55-59", "60-64", "65-69", "70-74", "75-79", "80-84", "85+")</f>
        <v>35-39</v>
      </c>
      <c r="D4875" t="s">
        <v>7</v>
      </c>
    </row>
    <row r="4876" spans="1:4">
      <c r="A4876" t="s">
        <v>6</v>
      </c>
      <c r="B4876">
        <v>28</v>
      </c>
      <c r="C4876" t="str">
        <f>CHOOSE(MATCH(B4876, {20,25,30,35,40,45,50,55,60,65,70,75,80,85}, 1), "20-24", "25-29", "30-34", "35-39", "40-44", "45-49", "50-54", "55-59", "60-64", "65-69", "70-74", "75-79", "80-84", "85+")</f>
        <v>25-29</v>
      </c>
      <c r="D4876" t="s">
        <v>7</v>
      </c>
    </row>
    <row r="4877" spans="1:4">
      <c r="A4877" t="s">
        <v>6</v>
      </c>
      <c r="B4877">
        <v>30</v>
      </c>
      <c r="C4877" t="str">
        <f>CHOOSE(MATCH(B4877, {20,25,30,35,40,45,50,55,60,65,70,75,80,85}, 1), "20-24", "25-29", "30-34", "35-39", "40-44", "45-49", "50-54", "55-59", "60-64", "65-69", "70-74", "75-79", "80-84", "85+")</f>
        <v>30-34</v>
      </c>
      <c r="D4877" t="s">
        <v>7</v>
      </c>
    </row>
    <row r="4878" spans="1:4">
      <c r="A4878" t="s">
        <v>6</v>
      </c>
      <c r="B4878">
        <v>34</v>
      </c>
      <c r="C4878" t="str">
        <f>CHOOSE(MATCH(B4878, {20,25,30,35,40,45,50,55,60,65,70,75,80,85}, 1), "20-24", "25-29", "30-34", "35-39", "40-44", "45-49", "50-54", "55-59", "60-64", "65-69", "70-74", "75-79", "80-84", "85+")</f>
        <v>30-34</v>
      </c>
      <c r="D4878" t="s">
        <v>7</v>
      </c>
    </row>
    <row r="4879" spans="1:4">
      <c r="A4879" t="s">
        <v>6</v>
      </c>
      <c r="B4879">
        <v>30</v>
      </c>
      <c r="C4879" t="str">
        <f>CHOOSE(MATCH(B4879, {20,25,30,35,40,45,50,55,60,65,70,75,80,85}, 1), "20-24", "25-29", "30-34", "35-39", "40-44", "45-49", "50-54", "55-59", "60-64", "65-69", "70-74", "75-79", "80-84", "85+")</f>
        <v>30-34</v>
      </c>
      <c r="D4879" t="s">
        <v>8</v>
      </c>
    </row>
    <row r="4880" spans="1:4">
      <c r="A4880" t="s">
        <v>6</v>
      </c>
      <c r="B4880">
        <v>59</v>
      </c>
      <c r="C4880" t="str">
        <f>CHOOSE(MATCH(B4880, {20,25,30,35,40,45,50,55,60,65,70,75,80,85}, 1), "20-24", "25-29", "30-34", "35-39", "40-44", "45-49", "50-54", "55-59", "60-64", "65-69", "70-74", "75-79", "80-84", "85+")</f>
        <v>55-59</v>
      </c>
      <c r="D4880" t="s">
        <v>8</v>
      </c>
    </row>
    <row r="4881" spans="1:4">
      <c r="A4881" t="s">
        <v>6</v>
      </c>
      <c r="B4881">
        <v>52</v>
      </c>
      <c r="C4881" t="str">
        <f>CHOOSE(MATCH(B4881, {20,25,30,35,40,45,50,55,60,65,70,75,80,85}, 1), "20-24", "25-29", "30-34", "35-39", "40-44", "45-49", "50-54", "55-59", "60-64", "65-69", "70-74", "75-79", "80-84", "85+")</f>
        <v>50-54</v>
      </c>
      <c r="D4881" t="s">
        <v>7</v>
      </c>
    </row>
    <row r="4882" spans="1:4">
      <c r="A4882" t="s">
        <v>6</v>
      </c>
      <c r="B4882">
        <v>47</v>
      </c>
      <c r="C4882" t="str">
        <f>CHOOSE(MATCH(B4882, {20,25,30,35,40,45,50,55,60,65,70,75,80,85}, 1), "20-24", "25-29", "30-34", "35-39", "40-44", "45-49", "50-54", "55-59", "60-64", "65-69", "70-74", "75-79", "80-84", "85+")</f>
        <v>45-49</v>
      </c>
      <c r="D4882" t="s">
        <v>7</v>
      </c>
    </row>
    <row r="4883" spans="1:4">
      <c r="A4883" t="s">
        <v>6</v>
      </c>
      <c r="B4883">
        <v>46</v>
      </c>
      <c r="C4883" t="str">
        <f>CHOOSE(MATCH(B4883, {20,25,30,35,40,45,50,55,60,65,70,75,80,85}, 1), "20-24", "25-29", "30-34", "35-39", "40-44", "45-49", "50-54", "55-59", "60-64", "65-69", "70-74", "75-79", "80-84", "85+")</f>
        <v>45-49</v>
      </c>
      <c r="D4883" t="s">
        <v>8</v>
      </c>
    </row>
    <row r="4884" spans="1:4">
      <c r="A4884" t="s">
        <v>6</v>
      </c>
      <c r="B4884">
        <v>24</v>
      </c>
      <c r="C4884" t="str">
        <f>CHOOSE(MATCH(B4884, {20,25,30,35,40,45,50,55,60,65,70,75,80,85}, 1), "20-24", "25-29", "30-34", "35-39", "40-44", "45-49", "50-54", "55-59", "60-64", "65-69", "70-74", "75-79", "80-84", "85+")</f>
        <v>20-24</v>
      </c>
      <c r="D4884" t="s">
        <v>8</v>
      </c>
    </row>
    <row r="4885" spans="1:4">
      <c r="A4885" t="s">
        <v>6</v>
      </c>
      <c r="B4885">
        <v>24</v>
      </c>
      <c r="C4885" t="str">
        <f>CHOOSE(MATCH(B4885, {20,25,30,35,40,45,50,55,60,65,70,75,80,85}, 1), "20-24", "25-29", "30-34", "35-39", "40-44", "45-49", "50-54", "55-59", "60-64", "65-69", "70-74", "75-79", "80-84", "85+")</f>
        <v>20-24</v>
      </c>
      <c r="D4885" t="s">
        <v>7</v>
      </c>
    </row>
    <row r="4886" spans="1:4">
      <c r="A4886" t="s">
        <v>6</v>
      </c>
      <c r="B4886">
        <v>31</v>
      </c>
      <c r="C4886" t="str">
        <f>CHOOSE(MATCH(B4886, {20,25,30,35,40,45,50,55,60,65,70,75,80,85}, 1), "20-24", "25-29", "30-34", "35-39", "40-44", "45-49", "50-54", "55-59", "60-64", "65-69", "70-74", "75-79", "80-84", "85+")</f>
        <v>30-34</v>
      </c>
      <c r="D4886" t="s">
        <v>7</v>
      </c>
    </row>
    <row r="4887" spans="1:4">
      <c r="A4887" t="s">
        <v>6</v>
      </c>
      <c r="B4887">
        <v>72</v>
      </c>
      <c r="C4887" t="str">
        <f>CHOOSE(MATCH(B4887, {20,25,30,35,40,45,50,55,60,65,70,75,80,85}, 1), "20-24", "25-29", "30-34", "35-39", "40-44", "45-49", "50-54", "55-59", "60-64", "65-69", "70-74", "75-79", "80-84", "85+")</f>
        <v>70-74</v>
      </c>
      <c r="D4887" t="s">
        <v>8</v>
      </c>
    </row>
    <row r="4888" spans="1:4">
      <c r="A4888" t="s">
        <v>6</v>
      </c>
      <c r="B4888">
        <v>66</v>
      </c>
      <c r="C4888" t="str">
        <f>CHOOSE(MATCH(B4888, {20,25,30,35,40,45,50,55,60,65,70,75,80,85}, 1), "20-24", "25-29", "30-34", "35-39", "40-44", "45-49", "50-54", "55-59", "60-64", "65-69", "70-74", "75-79", "80-84", "85+")</f>
        <v>65-69</v>
      </c>
      <c r="D4888" t="s">
        <v>8</v>
      </c>
    </row>
    <row r="4889" spans="1:4">
      <c r="A4889" t="s">
        <v>6</v>
      </c>
      <c r="B4889">
        <v>30</v>
      </c>
      <c r="C4889" t="str">
        <f>CHOOSE(MATCH(B4889, {20,25,30,35,40,45,50,55,60,65,70,75,80,85}, 1), "20-24", "25-29", "30-34", "35-39", "40-44", "45-49", "50-54", "55-59", "60-64", "65-69", "70-74", "75-79", "80-84", "85+")</f>
        <v>30-34</v>
      </c>
      <c r="D4889" t="s">
        <v>8</v>
      </c>
    </row>
    <row r="4890" spans="1:4">
      <c r="A4890" t="s">
        <v>6</v>
      </c>
      <c r="B4890">
        <v>26</v>
      </c>
      <c r="C4890" t="str">
        <f>CHOOSE(MATCH(B4890, {20,25,30,35,40,45,50,55,60,65,70,75,80,85}, 1), "20-24", "25-29", "30-34", "35-39", "40-44", "45-49", "50-54", "55-59", "60-64", "65-69", "70-74", "75-79", "80-84", "85+")</f>
        <v>25-29</v>
      </c>
      <c r="D4890" t="s">
        <v>7</v>
      </c>
    </row>
    <row r="4891" spans="1:4">
      <c r="A4891" t="s">
        <v>6</v>
      </c>
      <c r="B4891">
        <v>27</v>
      </c>
      <c r="C4891" t="str">
        <f>CHOOSE(MATCH(B4891, {20,25,30,35,40,45,50,55,60,65,70,75,80,85}, 1), "20-24", "25-29", "30-34", "35-39", "40-44", "45-49", "50-54", "55-59", "60-64", "65-69", "70-74", "75-79", "80-84", "85+")</f>
        <v>25-29</v>
      </c>
      <c r="D4891" t="s">
        <v>7</v>
      </c>
    </row>
    <row r="4892" spans="1:4">
      <c r="A4892" t="s">
        <v>6</v>
      </c>
      <c r="B4892">
        <v>38</v>
      </c>
      <c r="C4892" t="str">
        <f>CHOOSE(MATCH(B4892, {20,25,30,35,40,45,50,55,60,65,70,75,80,85}, 1), "20-24", "25-29", "30-34", "35-39", "40-44", "45-49", "50-54", "55-59", "60-64", "65-69", "70-74", "75-79", "80-84", "85+")</f>
        <v>35-39</v>
      </c>
      <c r="D4892" t="s">
        <v>7</v>
      </c>
    </row>
    <row r="4893" spans="1:4">
      <c r="A4893" t="s">
        <v>6</v>
      </c>
      <c r="B4893">
        <v>37</v>
      </c>
      <c r="C4893" t="str">
        <f>CHOOSE(MATCH(B4893, {20,25,30,35,40,45,50,55,60,65,70,75,80,85}, 1), "20-24", "25-29", "30-34", "35-39", "40-44", "45-49", "50-54", "55-59", "60-64", "65-69", "70-74", "75-79", "80-84", "85+")</f>
        <v>35-39</v>
      </c>
      <c r="D4893" t="s">
        <v>7</v>
      </c>
    </row>
    <row r="4894" spans="1:4">
      <c r="A4894" t="s">
        <v>6</v>
      </c>
      <c r="B4894">
        <v>35</v>
      </c>
      <c r="C4894" t="str">
        <f>CHOOSE(MATCH(B4894, {20,25,30,35,40,45,50,55,60,65,70,75,80,85}, 1), "20-24", "25-29", "30-34", "35-39", "40-44", "45-49", "50-54", "55-59", "60-64", "65-69", "70-74", "75-79", "80-84", "85+")</f>
        <v>35-39</v>
      </c>
      <c r="D4894" t="s">
        <v>7</v>
      </c>
    </row>
    <row r="4895" spans="1:4">
      <c r="A4895" t="s">
        <v>6</v>
      </c>
      <c r="B4895">
        <v>59</v>
      </c>
      <c r="C4895" t="str">
        <f>CHOOSE(MATCH(B4895, {20,25,30,35,40,45,50,55,60,65,70,75,80,85}, 1), "20-24", "25-29", "30-34", "35-39", "40-44", "45-49", "50-54", "55-59", "60-64", "65-69", "70-74", "75-79", "80-84", "85+")</f>
        <v>55-59</v>
      </c>
      <c r="D4895" t="s">
        <v>8</v>
      </c>
    </row>
    <row r="4896" spans="1:4">
      <c r="A4896" t="s">
        <v>6</v>
      </c>
      <c r="B4896">
        <v>44</v>
      </c>
      <c r="C4896" t="str">
        <f>CHOOSE(MATCH(B4896, {20,25,30,35,40,45,50,55,60,65,70,75,80,85}, 1), "20-24", "25-29", "30-34", "35-39", "40-44", "45-49", "50-54", "55-59", "60-64", "65-69", "70-74", "75-79", "80-84", "85+")</f>
        <v>40-44</v>
      </c>
      <c r="D4896" t="s">
        <v>7</v>
      </c>
    </row>
    <row r="4897" spans="1:4">
      <c r="A4897" t="s">
        <v>6</v>
      </c>
      <c r="B4897">
        <v>46</v>
      </c>
      <c r="C4897" t="str">
        <f>CHOOSE(MATCH(B4897, {20,25,30,35,40,45,50,55,60,65,70,75,80,85}, 1), "20-24", "25-29", "30-34", "35-39", "40-44", "45-49", "50-54", "55-59", "60-64", "65-69", "70-74", "75-79", "80-84", "85+")</f>
        <v>45-49</v>
      </c>
      <c r="D4897" t="s">
        <v>7</v>
      </c>
    </row>
    <row r="4898" spans="1:4">
      <c r="A4898" t="s">
        <v>6</v>
      </c>
      <c r="B4898">
        <v>27</v>
      </c>
      <c r="C4898" t="str">
        <f>CHOOSE(MATCH(B4898, {20,25,30,35,40,45,50,55,60,65,70,75,80,85}, 1), "20-24", "25-29", "30-34", "35-39", "40-44", "45-49", "50-54", "55-59", "60-64", "65-69", "70-74", "75-79", "80-84", "85+")</f>
        <v>25-29</v>
      </c>
      <c r="D4898" t="s">
        <v>8</v>
      </c>
    </row>
    <row r="4899" spans="1:4">
      <c r="A4899" t="s">
        <v>6</v>
      </c>
      <c r="B4899">
        <v>33</v>
      </c>
      <c r="C4899" t="str">
        <f>CHOOSE(MATCH(B4899, {20,25,30,35,40,45,50,55,60,65,70,75,80,85}, 1), "20-24", "25-29", "30-34", "35-39", "40-44", "45-49", "50-54", "55-59", "60-64", "65-69", "70-74", "75-79", "80-84", "85+")</f>
        <v>30-34</v>
      </c>
      <c r="D4899" t="s">
        <v>7</v>
      </c>
    </row>
    <row r="4900" spans="1:4">
      <c r="A4900" t="s">
        <v>6</v>
      </c>
      <c r="B4900">
        <v>32</v>
      </c>
      <c r="C4900" t="str">
        <f>CHOOSE(MATCH(B4900, {20,25,30,35,40,45,50,55,60,65,70,75,80,85}, 1), "20-24", "25-29", "30-34", "35-39", "40-44", "45-49", "50-54", "55-59", "60-64", "65-69", "70-74", "75-79", "80-84", "85+")</f>
        <v>30-34</v>
      </c>
      <c r="D4900" t="s">
        <v>8</v>
      </c>
    </row>
    <row r="4901" spans="1:4">
      <c r="A4901" t="s">
        <v>6</v>
      </c>
      <c r="B4901">
        <v>49</v>
      </c>
      <c r="C4901" t="str">
        <f>CHOOSE(MATCH(B4901, {20,25,30,35,40,45,50,55,60,65,70,75,80,85}, 1), "20-24", "25-29", "30-34", "35-39", "40-44", "45-49", "50-54", "55-59", "60-64", "65-69", "70-74", "75-79", "80-84", "85+")</f>
        <v>45-49</v>
      </c>
      <c r="D4901" t="s">
        <v>7</v>
      </c>
    </row>
    <row r="4902" spans="1:4">
      <c r="A4902" t="s">
        <v>6</v>
      </c>
      <c r="B4902">
        <v>35</v>
      </c>
      <c r="C4902" t="str">
        <f>CHOOSE(MATCH(B4902, {20,25,30,35,40,45,50,55,60,65,70,75,80,85}, 1), "20-24", "25-29", "30-34", "35-39", "40-44", "45-49", "50-54", "55-59", "60-64", "65-69", "70-74", "75-79", "80-84", "85+")</f>
        <v>35-39</v>
      </c>
      <c r="D4902" t="s">
        <v>7</v>
      </c>
    </row>
    <row r="4903" spans="1:4">
      <c r="A4903" t="s">
        <v>6</v>
      </c>
      <c r="B4903">
        <v>39</v>
      </c>
      <c r="C4903" t="str">
        <f>CHOOSE(MATCH(B4903, {20,25,30,35,40,45,50,55,60,65,70,75,80,85}, 1), "20-24", "25-29", "30-34", "35-39", "40-44", "45-49", "50-54", "55-59", "60-64", "65-69", "70-74", "75-79", "80-84", "85+")</f>
        <v>35-39</v>
      </c>
      <c r="D4903" t="s">
        <v>8</v>
      </c>
    </row>
    <row r="4904" spans="1:4">
      <c r="A4904" t="s">
        <v>6</v>
      </c>
      <c r="B4904">
        <v>35</v>
      </c>
      <c r="C4904" t="str">
        <f>CHOOSE(MATCH(B4904, {20,25,30,35,40,45,50,55,60,65,70,75,80,85}, 1), "20-24", "25-29", "30-34", "35-39", "40-44", "45-49", "50-54", "55-59", "60-64", "65-69", "70-74", "75-79", "80-84", "85+")</f>
        <v>35-39</v>
      </c>
      <c r="D4904" t="s">
        <v>7</v>
      </c>
    </row>
    <row r="4905" spans="1:4">
      <c r="A4905" t="s">
        <v>6</v>
      </c>
      <c r="B4905">
        <v>32</v>
      </c>
      <c r="C4905" t="str">
        <f>CHOOSE(MATCH(B4905, {20,25,30,35,40,45,50,55,60,65,70,75,80,85}, 1), "20-24", "25-29", "30-34", "35-39", "40-44", "45-49", "50-54", "55-59", "60-64", "65-69", "70-74", "75-79", "80-84", "85+")</f>
        <v>30-34</v>
      </c>
      <c r="D4905" t="s">
        <v>7</v>
      </c>
    </row>
    <row r="4906" spans="1:4">
      <c r="A4906" t="s">
        <v>6</v>
      </c>
      <c r="B4906">
        <v>37</v>
      </c>
      <c r="C4906" t="str">
        <f>CHOOSE(MATCH(B4906, {20,25,30,35,40,45,50,55,60,65,70,75,80,85}, 1), "20-24", "25-29", "30-34", "35-39", "40-44", "45-49", "50-54", "55-59", "60-64", "65-69", "70-74", "75-79", "80-84", "85+")</f>
        <v>35-39</v>
      </c>
      <c r="D4906" t="s">
        <v>7</v>
      </c>
    </row>
    <row r="4907" spans="1:4">
      <c r="A4907" t="s">
        <v>6</v>
      </c>
      <c r="B4907">
        <v>33</v>
      </c>
      <c r="C4907" t="str">
        <f>CHOOSE(MATCH(B4907, {20,25,30,35,40,45,50,55,60,65,70,75,80,85}, 1), "20-24", "25-29", "30-34", "35-39", "40-44", "45-49", "50-54", "55-59", "60-64", "65-69", "70-74", "75-79", "80-84", "85+")</f>
        <v>30-34</v>
      </c>
      <c r="D4907" t="s">
        <v>7</v>
      </c>
    </row>
    <row r="4908" spans="1:4">
      <c r="A4908" t="s">
        <v>6</v>
      </c>
      <c r="B4908">
        <v>42</v>
      </c>
      <c r="C4908" t="str">
        <f>CHOOSE(MATCH(B4908, {20,25,30,35,40,45,50,55,60,65,70,75,80,85}, 1), "20-24", "25-29", "30-34", "35-39", "40-44", "45-49", "50-54", "55-59", "60-64", "65-69", "70-74", "75-79", "80-84", "85+")</f>
        <v>40-44</v>
      </c>
      <c r="D4908" t="s">
        <v>8</v>
      </c>
    </row>
    <row r="4909" spans="1:4">
      <c r="A4909" t="s">
        <v>6</v>
      </c>
      <c r="B4909">
        <v>63</v>
      </c>
      <c r="C4909" t="str">
        <f>CHOOSE(MATCH(B4909, {20,25,30,35,40,45,50,55,60,65,70,75,80,85}, 1), "20-24", "25-29", "30-34", "35-39", "40-44", "45-49", "50-54", "55-59", "60-64", "65-69", "70-74", "75-79", "80-84", "85+")</f>
        <v>60-64</v>
      </c>
      <c r="D4909" t="s">
        <v>8</v>
      </c>
    </row>
    <row r="4910" spans="1:4">
      <c r="A4910" t="s">
        <v>6</v>
      </c>
      <c r="B4910">
        <v>39</v>
      </c>
      <c r="C4910" t="str">
        <f>CHOOSE(MATCH(B4910, {20,25,30,35,40,45,50,55,60,65,70,75,80,85}, 1), "20-24", "25-29", "30-34", "35-39", "40-44", "45-49", "50-54", "55-59", "60-64", "65-69", "70-74", "75-79", "80-84", "85+")</f>
        <v>35-39</v>
      </c>
      <c r="D4910" t="s">
        <v>8</v>
      </c>
    </row>
    <row r="4911" spans="1:4">
      <c r="A4911" t="s">
        <v>6</v>
      </c>
      <c r="B4911">
        <v>25</v>
      </c>
      <c r="C4911" t="str">
        <f>CHOOSE(MATCH(B4911, {20,25,30,35,40,45,50,55,60,65,70,75,80,85}, 1), "20-24", "25-29", "30-34", "35-39", "40-44", "45-49", "50-54", "55-59", "60-64", "65-69", "70-74", "75-79", "80-84", "85+")</f>
        <v>25-29</v>
      </c>
      <c r="D4911" t="s">
        <v>7</v>
      </c>
    </row>
    <row r="4912" spans="1:4">
      <c r="A4912" t="s">
        <v>6</v>
      </c>
      <c r="B4912">
        <v>46</v>
      </c>
      <c r="C4912" t="str">
        <f>CHOOSE(MATCH(B4912, {20,25,30,35,40,45,50,55,60,65,70,75,80,85}, 1), "20-24", "25-29", "30-34", "35-39", "40-44", "45-49", "50-54", "55-59", "60-64", "65-69", "70-74", "75-79", "80-84", "85+")</f>
        <v>45-49</v>
      </c>
      <c r="D4912" t="s">
        <v>7</v>
      </c>
    </row>
    <row r="4913" spans="1:4">
      <c r="A4913" t="s">
        <v>6</v>
      </c>
      <c r="B4913">
        <v>34</v>
      </c>
      <c r="C4913" t="str">
        <f>CHOOSE(MATCH(B4913, {20,25,30,35,40,45,50,55,60,65,70,75,80,85}, 1), "20-24", "25-29", "30-34", "35-39", "40-44", "45-49", "50-54", "55-59", "60-64", "65-69", "70-74", "75-79", "80-84", "85+")</f>
        <v>30-34</v>
      </c>
      <c r="D4913" t="s">
        <v>7</v>
      </c>
    </row>
    <row r="4914" spans="1:4">
      <c r="A4914" t="s">
        <v>6</v>
      </c>
      <c r="B4914">
        <v>44</v>
      </c>
      <c r="C4914" t="str">
        <f>CHOOSE(MATCH(B4914, {20,25,30,35,40,45,50,55,60,65,70,75,80,85}, 1), "20-24", "25-29", "30-34", "35-39", "40-44", "45-49", "50-54", "55-59", "60-64", "65-69", "70-74", "75-79", "80-84", "85+")</f>
        <v>40-44</v>
      </c>
      <c r="D4914" t="s">
        <v>8</v>
      </c>
    </row>
    <row r="4915" spans="1:4">
      <c r="A4915" t="s">
        <v>6</v>
      </c>
      <c r="B4915">
        <v>24</v>
      </c>
      <c r="C4915" t="str">
        <f>CHOOSE(MATCH(B4915, {20,25,30,35,40,45,50,55,60,65,70,75,80,85}, 1), "20-24", "25-29", "30-34", "35-39", "40-44", "45-49", "50-54", "55-59", "60-64", "65-69", "70-74", "75-79", "80-84", "85+")</f>
        <v>20-24</v>
      </c>
      <c r="D4915" t="s">
        <v>7</v>
      </c>
    </row>
    <row r="4916" spans="1:4">
      <c r="A4916" t="s">
        <v>6</v>
      </c>
      <c r="B4916">
        <v>31</v>
      </c>
      <c r="C4916" t="str">
        <f>CHOOSE(MATCH(B4916, {20,25,30,35,40,45,50,55,60,65,70,75,80,85}, 1), "20-24", "25-29", "30-34", "35-39", "40-44", "45-49", "50-54", "55-59", "60-64", "65-69", "70-74", "75-79", "80-84", "85+")</f>
        <v>30-34</v>
      </c>
      <c r="D4916" t="s">
        <v>7</v>
      </c>
    </row>
    <row r="4917" spans="1:4">
      <c r="A4917" t="s">
        <v>6</v>
      </c>
      <c r="B4917">
        <v>27</v>
      </c>
      <c r="C4917" t="str">
        <f>CHOOSE(MATCH(B4917, {20,25,30,35,40,45,50,55,60,65,70,75,80,85}, 1), "20-24", "25-29", "30-34", "35-39", "40-44", "45-49", "50-54", "55-59", "60-64", "65-69", "70-74", "75-79", "80-84", "85+")</f>
        <v>25-29</v>
      </c>
      <c r="D4917" t="s">
        <v>7</v>
      </c>
    </row>
    <row r="4918" spans="1:4">
      <c r="A4918" t="s">
        <v>6</v>
      </c>
      <c r="B4918">
        <v>54</v>
      </c>
      <c r="C4918" t="str">
        <f>CHOOSE(MATCH(B4918, {20,25,30,35,40,45,50,55,60,65,70,75,80,85}, 1), "20-24", "25-29", "30-34", "35-39", "40-44", "45-49", "50-54", "55-59", "60-64", "65-69", "70-74", "75-79", "80-84", "85+")</f>
        <v>50-54</v>
      </c>
      <c r="D4918" t="s">
        <v>7</v>
      </c>
    </row>
    <row r="4919" spans="1:4">
      <c r="A4919" t="s">
        <v>6</v>
      </c>
      <c r="B4919">
        <v>59</v>
      </c>
      <c r="C4919" t="str">
        <f>CHOOSE(MATCH(B4919, {20,25,30,35,40,45,50,55,60,65,70,75,80,85}, 1), "20-24", "25-29", "30-34", "35-39", "40-44", "45-49", "50-54", "55-59", "60-64", "65-69", "70-74", "75-79", "80-84", "85+")</f>
        <v>55-59</v>
      </c>
      <c r="D4919" t="s">
        <v>8</v>
      </c>
    </row>
    <row r="4920" spans="1:4">
      <c r="A4920" t="s">
        <v>6</v>
      </c>
      <c r="B4920">
        <v>40</v>
      </c>
      <c r="C4920" t="str">
        <f>CHOOSE(MATCH(B4920, {20,25,30,35,40,45,50,55,60,65,70,75,80,85}, 1), "20-24", "25-29", "30-34", "35-39", "40-44", "45-49", "50-54", "55-59", "60-64", "65-69", "70-74", "75-79", "80-84", "85+")</f>
        <v>40-44</v>
      </c>
      <c r="D4920" t="s">
        <v>8</v>
      </c>
    </row>
    <row r="4921" spans="1:4">
      <c r="A4921" t="s">
        <v>6</v>
      </c>
      <c r="B4921">
        <v>25</v>
      </c>
      <c r="C4921" t="str">
        <f>CHOOSE(MATCH(B4921, {20,25,30,35,40,45,50,55,60,65,70,75,80,85}, 1), "20-24", "25-29", "30-34", "35-39", "40-44", "45-49", "50-54", "55-59", "60-64", "65-69", "70-74", "75-79", "80-84", "85+")</f>
        <v>25-29</v>
      </c>
      <c r="D4921" t="s">
        <v>7</v>
      </c>
    </row>
    <row r="4922" spans="1:4">
      <c r="A4922" t="s">
        <v>6</v>
      </c>
      <c r="B4922">
        <v>40</v>
      </c>
      <c r="C4922" t="str">
        <f>CHOOSE(MATCH(B4922, {20,25,30,35,40,45,50,55,60,65,70,75,80,85}, 1), "20-24", "25-29", "30-34", "35-39", "40-44", "45-49", "50-54", "55-59", "60-64", "65-69", "70-74", "75-79", "80-84", "85+")</f>
        <v>40-44</v>
      </c>
      <c r="D4922" t="s">
        <v>7</v>
      </c>
    </row>
    <row r="4923" spans="1:4">
      <c r="A4923" t="s">
        <v>6</v>
      </c>
      <c r="B4923">
        <v>41</v>
      </c>
      <c r="C4923" t="str">
        <f>CHOOSE(MATCH(B4923, {20,25,30,35,40,45,50,55,60,65,70,75,80,85}, 1), "20-24", "25-29", "30-34", "35-39", "40-44", "45-49", "50-54", "55-59", "60-64", "65-69", "70-74", "75-79", "80-84", "85+")</f>
        <v>40-44</v>
      </c>
      <c r="D4923" t="s">
        <v>7</v>
      </c>
    </row>
    <row r="4924" spans="1:4">
      <c r="A4924" t="s">
        <v>6</v>
      </c>
      <c r="B4924">
        <v>30</v>
      </c>
      <c r="C4924" t="str">
        <f>CHOOSE(MATCH(B4924, {20,25,30,35,40,45,50,55,60,65,70,75,80,85}, 1), "20-24", "25-29", "30-34", "35-39", "40-44", "45-49", "50-54", "55-59", "60-64", "65-69", "70-74", "75-79", "80-84", "85+")</f>
        <v>30-34</v>
      </c>
      <c r="D4924" t="s">
        <v>8</v>
      </c>
    </row>
    <row r="4925" spans="1:4">
      <c r="A4925" t="s">
        <v>6</v>
      </c>
      <c r="B4925">
        <v>70</v>
      </c>
      <c r="C4925" t="str">
        <f>CHOOSE(MATCH(B4925, {20,25,30,35,40,45,50,55,60,65,70,75,80,85}, 1), "20-24", "25-29", "30-34", "35-39", "40-44", "45-49", "50-54", "55-59", "60-64", "65-69", "70-74", "75-79", "80-84", "85+")</f>
        <v>70-74</v>
      </c>
      <c r="D4925" t="s">
        <v>8</v>
      </c>
    </row>
    <row r="4926" spans="1:4">
      <c r="A4926" t="s">
        <v>6</v>
      </c>
      <c r="B4926">
        <v>69</v>
      </c>
      <c r="C4926" t="str">
        <f>CHOOSE(MATCH(B4926, {20,25,30,35,40,45,50,55,60,65,70,75,80,85}, 1), "20-24", "25-29", "30-34", "35-39", "40-44", "45-49", "50-54", "55-59", "60-64", "65-69", "70-74", "75-79", "80-84", "85+")</f>
        <v>65-69</v>
      </c>
      <c r="D4926" t="s">
        <v>8</v>
      </c>
    </row>
    <row r="4927" spans="1:4">
      <c r="A4927" t="s">
        <v>6</v>
      </c>
      <c r="B4927">
        <v>48</v>
      </c>
      <c r="C4927" t="str">
        <f>CHOOSE(MATCH(B4927, {20,25,30,35,40,45,50,55,60,65,70,75,80,85}, 1), "20-24", "25-29", "30-34", "35-39", "40-44", "45-49", "50-54", "55-59", "60-64", "65-69", "70-74", "75-79", "80-84", "85+")</f>
        <v>45-49</v>
      </c>
      <c r="D4927" t="s">
        <v>7</v>
      </c>
    </row>
    <row r="4928" spans="1:4">
      <c r="A4928" t="s">
        <v>6</v>
      </c>
      <c r="B4928">
        <v>55</v>
      </c>
      <c r="C4928" t="str">
        <f>CHOOSE(MATCH(B4928, {20,25,30,35,40,45,50,55,60,65,70,75,80,85}, 1), "20-24", "25-29", "30-34", "35-39", "40-44", "45-49", "50-54", "55-59", "60-64", "65-69", "70-74", "75-79", "80-84", "85+")</f>
        <v>55-59</v>
      </c>
      <c r="D4928" t="s">
        <v>8</v>
      </c>
    </row>
    <row r="4929" spans="1:4">
      <c r="A4929" t="s">
        <v>6</v>
      </c>
      <c r="B4929">
        <v>30</v>
      </c>
      <c r="C4929" t="str">
        <f>CHOOSE(MATCH(B4929, {20,25,30,35,40,45,50,55,60,65,70,75,80,85}, 1), "20-24", "25-29", "30-34", "35-39", "40-44", "45-49", "50-54", "55-59", "60-64", "65-69", "70-74", "75-79", "80-84", "85+")</f>
        <v>30-34</v>
      </c>
      <c r="D4929" t="s">
        <v>8</v>
      </c>
    </row>
    <row r="4930" spans="1:4">
      <c r="A4930" t="s">
        <v>6</v>
      </c>
      <c r="B4930">
        <v>39</v>
      </c>
      <c r="C4930" t="str">
        <f>CHOOSE(MATCH(B4930, {20,25,30,35,40,45,50,55,60,65,70,75,80,85}, 1), "20-24", "25-29", "30-34", "35-39", "40-44", "45-49", "50-54", "55-59", "60-64", "65-69", "70-74", "75-79", "80-84", "85+")</f>
        <v>35-39</v>
      </c>
      <c r="D4930" t="s">
        <v>7</v>
      </c>
    </row>
    <row r="4931" spans="1:4">
      <c r="A4931" t="s">
        <v>6</v>
      </c>
      <c r="B4931">
        <v>68</v>
      </c>
      <c r="C4931" t="str">
        <f>CHOOSE(MATCH(B4931, {20,25,30,35,40,45,50,55,60,65,70,75,80,85}, 1), "20-24", "25-29", "30-34", "35-39", "40-44", "45-49", "50-54", "55-59", "60-64", "65-69", "70-74", "75-79", "80-84", "85+")</f>
        <v>65-69</v>
      </c>
      <c r="D4931" t="s">
        <v>8</v>
      </c>
    </row>
    <row r="4932" spans="1:4">
      <c r="A4932" t="s">
        <v>6</v>
      </c>
      <c r="B4932">
        <v>73</v>
      </c>
      <c r="C4932" t="str">
        <f>CHOOSE(MATCH(B4932, {20,25,30,35,40,45,50,55,60,65,70,75,80,85}, 1), "20-24", "25-29", "30-34", "35-39", "40-44", "45-49", "50-54", "55-59", "60-64", "65-69", "70-74", "75-79", "80-84", "85+")</f>
        <v>70-74</v>
      </c>
      <c r="D4932" t="s">
        <v>7</v>
      </c>
    </row>
    <row r="4933" spans="1:4">
      <c r="A4933" t="s">
        <v>6</v>
      </c>
      <c r="B4933">
        <v>20</v>
      </c>
      <c r="C4933" t="str">
        <f>CHOOSE(MATCH(B4933, {20,25,30,35,40,45,50,55,60,65,70,75,80,85}, 1), "20-24", "25-29", "30-34", "35-39", "40-44", "45-49", "50-54", "55-59", "60-64", "65-69", "70-74", "75-79", "80-84", "85+")</f>
        <v>20-24</v>
      </c>
      <c r="D4933" t="s">
        <v>8</v>
      </c>
    </row>
    <row r="4934" spans="1:4">
      <c r="A4934" t="s">
        <v>6</v>
      </c>
      <c r="B4934">
        <v>65</v>
      </c>
      <c r="C4934" t="str">
        <f>CHOOSE(MATCH(B4934, {20,25,30,35,40,45,50,55,60,65,70,75,80,85}, 1), "20-24", "25-29", "30-34", "35-39", "40-44", "45-49", "50-54", "55-59", "60-64", "65-69", "70-74", "75-79", "80-84", "85+")</f>
        <v>65-69</v>
      </c>
      <c r="D4934" t="s">
        <v>8</v>
      </c>
    </row>
    <row r="4935" spans="1:4">
      <c r="A4935" t="s">
        <v>6</v>
      </c>
      <c r="B4935">
        <v>50</v>
      </c>
      <c r="C4935" t="str">
        <f>CHOOSE(MATCH(B4935, {20,25,30,35,40,45,50,55,60,65,70,75,80,85}, 1), "20-24", "25-29", "30-34", "35-39", "40-44", "45-49", "50-54", "55-59", "60-64", "65-69", "70-74", "75-79", "80-84", "85+")</f>
        <v>50-54</v>
      </c>
      <c r="D4935" t="s">
        <v>7</v>
      </c>
    </row>
    <row r="4936" spans="1:4">
      <c r="A4936" t="s">
        <v>6</v>
      </c>
      <c r="B4936">
        <v>64</v>
      </c>
      <c r="C4936" t="str">
        <f>CHOOSE(MATCH(B4936, {20,25,30,35,40,45,50,55,60,65,70,75,80,85}, 1), "20-24", "25-29", "30-34", "35-39", "40-44", "45-49", "50-54", "55-59", "60-64", "65-69", "70-74", "75-79", "80-84", "85+")</f>
        <v>60-64</v>
      </c>
      <c r="D4936" t="s">
        <v>8</v>
      </c>
    </row>
    <row r="4937" spans="1:4">
      <c r="A4937" t="s">
        <v>6</v>
      </c>
      <c r="B4937">
        <v>39</v>
      </c>
      <c r="C4937" t="str">
        <f>CHOOSE(MATCH(B4937, {20,25,30,35,40,45,50,55,60,65,70,75,80,85}, 1), "20-24", "25-29", "30-34", "35-39", "40-44", "45-49", "50-54", "55-59", "60-64", "65-69", "70-74", "75-79", "80-84", "85+")</f>
        <v>35-39</v>
      </c>
      <c r="D4937" t="s">
        <v>8</v>
      </c>
    </row>
    <row r="4938" spans="1:4">
      <c r="A4938" t="s">
        <v>6</v>
      </c>
      <c r="B4938">
        <v>31</v>
      </c>
      <c r="C4938" t="str">
        <f>CHOOSE(MATCH(B4938, {20,25,30,35,40,45,50,55,60,65,70,75,80,85}, 1), "20-24", "25-29", "30-34", "35-39", "40-44", "45-49", "50-54", "55-59", "60-64", "65-69", "70-74", "75-79", "80-84", "85+")</f>
        <v>30-34</v>
      </c>
      <c r="D4938" t="s">
        <v>8</v>
      </c>
    </row>
    <row r="4939" spans="1:4">
      <c r="A4939" t="s">
        <v>6</v>
      </c>
      <c r="B4939">
        <v>54</v>
      </c>
      <c r="C4939" t="str">
        <f>CHOOSE(MATCH(B4939, {20,25,30,35,40,45,50,55,60,65,70,75,80,85}, 1), "20-24", "25-29", "30-34", "35-39", "40-44", "45-49", "50-54", "55-59", "60-64", "65-69", "70-74", "75-79", "80-84", "85+")</f>
        <v>50-54</v>
      </c>
      <c r="D4939" t="s">
        <v>7</v>
      </c>
    </row>
    <row r="4940" spans="1:4">
      <c r="A4940" t="s">
        <v>6</v>
      </c>
      <c r="B4940">
        <v>30</v>
      </c>
      <c r="C4940" t="str">
        <f>CHOOSE(MATCH(B4940, {20,25,30,35,40,45,50,55,60,65,70,75,80,85}, 1), "20-24", "25-29", "30-34", "35-39", "40-44", "45-49", "50-54", "55-59", "60-64", "65-69", "70-74", "75-79", "80-84", "85+")</f>
        <v>30-34</v>
      </c>
      <c r="D4940" t="s">
        <v>7</v>
      </c>
    </row>
    <row r="4941" spans="1:4">
      <c r="A4941" t="s">
        <v>6</v>
      </c>
      <c r="B4941">
        <v>70</v>
      </c>
      <c r="C4941" t="str">
        <f>CHOOSE(MATCH(B4941, {20,25,30,35,40,45,50,55,60,65,70,75,80,85}, 1), "20-24", "25-29", "30-34", "35-39", "40-44", "45-49", "50-54", "55-59", "60-64", "65-69", "70-74", "75-79", "80-84", "85+")</f>
        <v>70-74</v>
      </c>
      <c r="D4941" t="s">
        <v>8</v>
      </c>
    </row>
    <row r="4942" spans="1:4">
      <c r="A4942" t="s">
        <v>6</v>
      </c>
      <c r="B4942">
        <v>75</v>
      </c>
      <c r="C4942" t="str">
        <f>CHOOSE(MATCH(B4942, {20,25,30,35,40,45,50,55,60,65,70,75,80,85}, 1), "20-24", "25-29", "30-34", "35-39", "40-44", "45-49", "50-54", "55-59", "60-64", "65-69", "70-74", "75-79", "80-84", "85+")</f>
        <v>75-79</v>
      </c>
      <c r="D4942" t="s">
        <v>7</v>
      </c>
    </row>
    <row r="4943" spans="1:4">
      <c r="A4943" t="s">
        <v>6</v>
      </c>
      <c r="B4943">
        <v>46</v>
      </c>
      <c r="C4943" t="str">
        <f>CHOOSE(MATCH(B4943, {20,25,30,35,40,45,50,55,60,65,70,75,80,85}, 1), "20-24", "25-29", "30-34", "35-39", "40-44", "45-49", "50-54", "55-59", "60-64", "65-69", "70-74", "75-79", "80-84", "85+")</f>
        <v>45-49</v>
      </c>
      <c r="D4943" t="s">
        <v>7</v>
      </c>
    </row>
    <row r="4944" spans="1:4">
      <c r="A4944" t="s">
        <v>6</v>
      </c>
      <c r="B4944">
        <v>34</v>
      </c>
      <c r="C4944" t="str">
        <f>CHOOSE(MATCH(B4944, {20,25,30,35,40,45,50,55,60,65,70,75,80,85}, 1), "20-24", "25-29", "30-34", "35-39", "40-44", "45-49", "50-54", "55-59", "60-64", "65-69", "70-74", "75-79", "80-84", "85+")</f>
        <v>30-34</v>
      </c>
      <c r="D4944" t="s">
        <v>8</v>
      </c>
    </row>
    <row r="4945" spans="1:4">
      <c r="A4945" t="s">
        <v>6</v>
      </c>
      <c r="B4945">
        <v>36</v>
      </c>
      <c r="C4945" t="str">
        <f>CHOOSE(MATCH(B4945, {20,25,30,35,40,45,50,55,60,65,70,75,80,85}, 1), "20-24", "25-29", "30-34", "35-39", "40-44", "45-49", "50-54", "55-59", "60-64", "65-69", "70-74", "75-79", "80-84", "85+")</f>
        <v>35-39</v>
      </c>
      <c r="D4945" t="s">
        <v>8</v>
      </c>
    </row>
    <row r="4946" spans="1:4">
      <c r="A4946" t="s">
        <v>6</v>
      </c>
      <c r="B4946">
        <v>30</v>
      </c>
      <c r="C4946" t="str">
        <f>CHOOSE(MATCH(B4946, {20,25,30,35,40,45,50,55,60,65,70,75,80,85}, 1), "20-24", "25-29", "30-34", "35-39", "40-44", "45-49", "50-54", "55-59", "60-64", "65-69", "70-74", "75-79", "80-84", "85+")</f>
        <v>30-34</v>
      </c>
      <c r="D4946" t="s">
        <v>7</v>
      </c>
    </row>
    <row r="4947" spans="1:4">
      <c r="A4947" t="s">
        <v>6</v>
      </c>
      <c r="B4947">
        <v>37</v>
      </c>
      <c r="C4947" t="str">
        <f>CHOOSE(MATCH(B4947, {20,25,30,35,40,45,50,55,60,65,70,75,80,85}, 1), "20-24", "25-29", "30-34", "35-39", "40-44", "45-49", "50-54", "55-59", "60-64", "65-69", "70-74", "75-79", "80-84", "85+")</f>
        <v>35-39</v>
      </c>
      <c r="D4947" t="s">
        <v>8</v>
      </c>
    </row>
    <row r="4948" spans="1:4">
      <c r="A4948" t="s">
        <v>6</v>
      </c>
      <c r="B4948">
        <v>24</v>
      </c>
      <c r="C4948" t="str">
        <f>CHOOSE(MATCH(B4948, {20,25,30,35,40,45,50,55,60,65,70,75,80,85}, 1), "20-24", "25-29", "30-34", "35-39", "40-44", "45-49", "50-54", "55-59", "60-64", "65-69", "70-74", "75-79", "80-84", "85+")</f>
        <v>20-24</v>
      </c>
      <c r="D4948" t="s">
        <v>7</v>
      </c>
    </row>
    <row r="4949" spans="1:4">
      <c r="A4949" t="s">
        <v>6</v>
      </c>
      <c r="B4949">
        <v>29</v>
      </c>
      <c r="C4949" t="str">
        <f>CHOOSE(MATCH(B4949, {20,25,30,35,40,45,50,55,60,65,70,75,80,85}, 1), "20-24", "25-29", "30-34", "35-39", "40-44", "45-49", "50-54", "55-59", "60-64", "65-69", "70-74", "75-79", "80-84", "85+")</f>
        <v>25-29</v>
      </c>
      <c r="D4949" t="s">
        <v>8</v>
      </c>
    </row>
    <row r="4950" spans="1:4">
      <c r="A4950" t="s">
        <v>6</v>
      </c>
      <c r="B4950">
        <v>44</v>
      </c>
      <c r="C4950" t="str">
        <f>CHOOSE(MATCH(B4950, {20,25,30,35,40,45,50,55,60,65,70,75,80,85}, 1), "20-24", "25-29", "30-34", "35-39", "40-44", "45-49", "50-54", "55-59", "60-64", "65-69", "70-74", "75-79", "80-84", "85+")</f>
        <v>40-44</v>
      </c>
      <c r="D4950" t="s">
        <v>8</v>
      </c>
    </row>
    <row r="4951" spans="1:4">
      <c r="A4951" t="s">
        <v>6</v>
      </c>
      <c r="B4951">
        <v>42</v>
      </c>
      <c r="C4951" t="str">
        <f>CHOOSE(MATCH(B4951, {20,25,30,35,40,45,50,55,60,65,70,75,80,85}, 1), "20-24", "25-29", "30-34", "35-39", "40-44", "45-49", "50-54", "55-59", "60-64", "65-69", "70-74", "75-79", "80-84", "85+")</f>
        <v>40-44</v>
      </c>
      <c r="D4951" t="s">
        <v>7</v>
      </c>
    </row>
    <row r="4952" spans="1:4">
      <c r="A4952" t="s">
        <v>6</v>
      </c>
      <c r="B4952">
        <v>28</v>
      </c>
      <c r="C4952" t="str">
        <f>CHOOSE(MATCH(B4952, {20,25,30,35,40,45,50,55,60,65,70,75,80,85}, 1), "20-24", "25-29", "30-34", "35-39", "40-44", "45-49", "50-54", "55-59", "60-64", "65-69", "70-74", "75-79", "80-84", "85+")</f>
        <v>25-29</v>
      </c>
      <c r="D4952" t="s">
        <v>7</v>
      </c>
    </row>
    <row r="4953" spans="1:4">
      <c r="A4953" t="s">
        <v>6</v>
      </c>
      <c r="B4953">
        <v>29</v>
      </c>
      <c r="C4953" t="str">
        <f>CHOOSE(MATCH(B4953, {20,25,30,35,40,45,50,55,60,65,70,75,80,85}, 1), "20-24", "25-29", "30-34", "35-39", "40-44", "45-49", "50-54", "55-59", "60-64", "65-69", "70-74", "75-79", "80-84", "85+")</f>
        <v>25-29</v>
      </c>
      <c r="D4953" t="s">
        <v>7</v>
      </c>
    </row>
    <row r="4954" spans="1:4">
      <c r="A4954" t="s">
        <v>6</v>
      </c>
      <c r="B4954">
        <v>23</v>
      </c>
      <c r="C4954" t="str">
        <f>CHOOSE(MATCH(B4954, {20,25,30,35,40,45,50,55,60,65,70,75,80,85}, 1), "20-24", "25-29", "30-34", "35-39", "40-44", "45-49", "50-54", "55-59", "60-64", "65-69", "70-74", "75-79", "80-84", "85+")</f>
        <v>20-24</v>
      </c>
      <c r="D4954" t="s">
        <v>7</v>
      </c>
    </row>
    <row r="4955" spans="1:4">
      <c r="A4955" t="s">
        <v>6</v>
      </c>
      <c r="B4955">
        <v>76</v>
      </c>
      <c r="C4955" t="str">
        <f>CHOOSE(MATCH(B4955, {20,25,30,35,40,45,50,55,60,65,70,75,80,85}, 1), "20-24", "25-29", "30-34", "35-39", "40-44", "45-49", "50-54", "55-59", "60-64", "65-69", "70-74", "75-79", "80-84", "85+")</f>
        <v>75-79</v>
      </c>
      <c r="D4955" t="s">
        <v>8</v>
      </c>
    </row>
    <row r="4956" spans="1:4">
      <c r="A4956" t="s">
        <v>6</v>
      </c>
      <c r="B4956">
        <v>30</v>
      </c>
      <c r="C4956" t="str">
        <f>CHOOSE(MATCH(B4956, {20,25,30,35,40,45,50,55,60,65,70,75,80,85}, 1), "20-24", "25-29", "30-34", "35-39", "40-44", "45-49", "50-54", "55-59", "60-64", "65-69", "70-74", "75-79", "80-84", "85+")</f>
        <v>30-34</v>
      </c>
      <c r="D4956" t="s">
        <v>8</v>
      </c>
    </row>
    <row r="4957" spans="1:4">
      <c r="A4957" t="s">
        <v>6</v>
      </c>
      <c r="B4957">
        <v>45</v>
      </c>
      <c r="C4957" t="str">
        <f>CHOOSE(MATCH(B4957, {20,25,30,35,40,45,50,55,60,65,70,75,80,85}, 1), "20-24", "25-29", "30-34", "35-39", "40-44", "45-49", "50-54", "55-59", "60-64", "65-69", "70-74", "75-79", "80-84", "85+")</f>
        <v>45-49</v>
      </c>
      <c r="D4957" t="s">
        <v>8</v>
      </c>
    </row>
    <row r="4958" spans="1:4">
      <c r="A4958" t="s">
        <v>6</v>
      </c>
      <c r="B4958">
        <v>44</v>
      </c>
      <c r="C4958" t="str">
        <f>CHOOSE(MATCH(B4958, {20,25,30,35,40,45,50,55,60,65,70,75,80,85}, 1), "20-24", "25-29", "30-34", "35-39", "40-44", "45-49", "50-54", "55-59", "60-64", "65-69", "70-74", "75-79", "80-84", "85+")</f>
        <v>40-44</v>
      </c>
      <c r="D4958" t="s">
        <v>8</v>
      </c>
    </row>
    <row r="4959" spans="1:4">
      <c r="A4959" t="s">
        <v>6</v>
      </c>
      <c r="B4959">
        <v>32</v>
      </c>
      <c r="C4959" t="str">
        <f>CHOOSE(MATCH(B4959, {20,25,30,35,40,45,50,55,60,65,70,75,80,85}, 1), "20-24", "25-29", "30-34", "35-39", "40-44", "45-49", "50-54", "55-59", "60-64", "65-69", "70-74", "75-79", "80-84", "85+")</f>
        <v>30-34</v>
      </c>
      <c r="D4959" t="s">
        <v>7</v>
      </c>
    </row>
    <row r="4960" spans="1:4">
      <c r="A4960" t="s">
        <v>6</v>
      </c>
      <c r="B4960">
        <v>43</v>
      </c>
      <c r="C4960" t="str">
        <f>CHOOSE(MATCH(B4960, {20,25,30,35,40,45,50,55,60,65,70,75,80,85}, 1), "20-24", "25-29", "30-34", "35-39", "40-44", "45-49", "50-54", "55-59", "60-64", "65-69", "70-74", "75-79", "80-84", "85+")</f>
        <v>40-44</v>
      </c>
      <c r="D4960" t="s">
        <v>8</v>
      </c>
    </row>
    <row r="4961" spans="1:4">
      <c r="A4961" t="s">
        <v>6</v>
      </c>
      <c r="B4961">
        <v>32</v>
      </c>
      <c r="C4961" t="str">
        <f>CHOOSE(MATCH(B4961, {20,25,30,35,40,45,50,55,60,65,70,75,80,85}, 1), "20-24", "25-29", "30-34", "35-39", "40-44", "45-49", "50-54", "55-59", "60-64", "65-69", "70-74", "75-79", "80-84", "85+")</f>
        <v>30-34</v>
      </c>
      <c r="D4961" t="s">
        <v>8</v>
      </c>
    </row>
    <row r="4962" spans="1:4">
      <c r="A4962" t="s">
        <v>6</v>
      </c>
      <c r="B4962">
        <v>76</v>
      </c>
      <c r="C4962" t="str">
        <f>CHOOSE(MATCH(B4962, {20,25,30,35,40,45,50,55,60,65,70,75,80,85}, 1), "20-24", "25-29", "30-34", "35-39", "40-44", "45-49", "50-54", "55-59", "60-64", "65-69", "70-74", "75-79", "80-84", "85+")</f>
        <v>75-79</v>
      </c>
      <c r="D4962" t="s">
        <v>8</v>
      </c>
    </row>
    <row r="4963" spans="1:4">
      <c r="A4963" t="s">
        <v>6</v>
      </c>
      <c r="B4963">
        <v>38</v>
      </c>
      <c r="C4963" t="str">
        <f>CHOOSE(MATCH(B4963, {20,25,30,35,40,45,50,55,60,65,70,75,80,85}, 1), "20-24", "25-29", "30-34", "35-39", "40-44", "45-49", "50-54", "55-59", "60-64", "65-69", "70-74", "75-79", "80-84", "85+")</f>
        <v>35-39</v>
      </c>
      <c r="D4963" t="s">
        <v>7</v>
      </c>
    </row>
    <row r="4964" spans="1:4">
      <c r="A4964" t="s">
        <v>6</v>
      </c>
      <c r="B4964">
        <v>73</v>
      </c>
      <c r="C4964" t="str">
        <f>CHOOSE(MATCH(B4964, {20,25,30,35,40,45,50,55,60,65,70,75,80,85}, 1), "20-24", "25-29", "30-34", "35-39", "40-44", "45-49", "50-54", "55-59", "60-64", "65-69", "70-74", "75-79", "80-84", "85+")</f>
        <v>70-74</v>
      </c>
      <c r="D4964" t="s">
        <v>8</v>
      </c>
    </row>
    <row r="4965" spans="1:4">
      <c r="A4965" t="s">
        <v>6</v>
      </c>
      <c r="B4965">
        <v>55</v>
      </c>
      <c r="C4965" t="str">
        <f>CHOOSE(MATCH(B4965, {20,25,30,35,40,45,50,55,60,65,70,75,80,85}, 1), "20-24", "25-29", "30-34", "35-39", "40-44", "45-49", "50-54", "55-59", "60-64", "65-69", "70-74", "75-79", "80-84", "85+")</f>
        <v>55-59</v>
      </c>
      <c r="D4965" t="s">
        <v>7</v>
      </c>
    </row>
    <row r="4966" spans="1:4">
      <c r="A4966" t="s">
        <v>6</v>
      </c>
      <c r="B4966">
        <v>49</v>
      </c>
      <c r="C4966" t="str">
        <f>CHOOSE(MATCH(B4966, {20,25,30,35,40,45,50,55,60,65,70,75,80,85}, 1), "20-24", "25-29", "30-34", "35-39", "40-44", "45-49", "50-54", "55-59", "60-64", "65-69", "70-74", "75-79", "80-84", "85+")</f>
        <v>45-49</v>
      </c>
      <c r="D4966" t="s">
        <v>7</v>
      </c>
    </row>
    <row r="4967" spans="1:4">
      <c r="A4967" t="s">
        <v>6</v>
      </c>
      <c r="B4967">
        <v>26</v>
      </c>
      <c r="C4967" t="str">
        <f>CHOOSE(MATCH(B4967, {20,25,30,35,40,45,50,55,60,65,70,75,80,85}, 1), "20-24", "25-29", "30-34", "35-39", "40-44", "45-49", "50-54", "55-59", "60-64", "65-69", "70-74", "75-79", "80-84", "85+")</f>
        <v>25-29</v>
      </c>
      <c r="D4967" t="s">
        <v>8</v>
      </c>
    </row>
    <row r="4968" spans="1:4">
      <c r="A4968" t="s">
        <v>6</v>
      </c>
      <c r="B4968">
        <v>31</v>
      </c>
      <c r="C4968" t="str">
        <f>CHOOSE(MATCH(B4968, {20,25,30,35,40,45,50,55,60,65,70,75,80,85}, 1), "20-24", "25-29", "30-34", "35-39", "40-44", "45-49", "50-54", "55-59", "60-64", "65-69", "70-74", "75-79", "80-84", "85+")</f>
        <v>30-34</v>
      </c>
      <c r="D4968" t="s">
        <v>8</v>
      </c>
    </row>
    <row r="4969" spans="1:4">
      <c r="A4969" t="s">
        <v>6</v>
      </c>
      <c r="B4969">
        <v>35</v>
      </c>
      <c r="C4969" t="str">
        <f>CHOOSE(MATCH(B4969, {20,25,30,35,40,45,50,55,60,65,70,75,80,85}, 1), "20-24", "25-29", "30-34", "35-39", "40-44", "45-49", "50-54", "55-59", "60-64", "65-69", "70-74", "75-79", "80-84", "85+")</f>
        <v>35-39</v>
      </c>
      <c r="D4969" t="s">
        <v>7</v>
      </c>
    </row>
    <row r="4970" spans="1:4">
      <c r="A4970" t="s">
        <v>6</v>
      </c>
      <c r="B4970">
        <v>48</v>
      </c>
      <c r="C4970" t="str">
        <f>CHOOSE(MATCH(B4970, {20,25,30,35,40,45,50,55,60,65,70,75,80,85}, 1), "20-24", "25-29", "30-34", "35-39", "40-44", "45-49", "50-54", "55-59", "60-64", "65-69", "70-74", "75-79", "80-84", "85+")</f>
        <v>45-49</v>
      </c>
      <c r="D4970" t="s">
        <v>7</v>
      </c>
    </row>
    <row r="4971" spans="1:4">
      <c r="A4971" t="s">
        <v>6</v>
      </c>
      <c r="B4971">
        <v>43</v>
      </c>
      <c r="C4971" t="str">
        <f>CHOOSE(MATCH(B4971, {20,25,30,35,40,45,50,55,60,65,70,75,80,85}, 1), "20-24", "25-29", "30-34", "35-39", "40-44", "45-49", "50-54", "55-59", "60-64", "65-69", "70-74", "75-79", "80-84", "85+")</f>
        <v>40-44</v>
      </c>
      <c r="D4971" t="s">
        <v>7</v>
      </c>
    </row>
    <row r="4972" spans="1:4">
      <c r="A4972" t="s">
        <v>6</v>
      </c>
      <c r="B4972">
        <v>34</v>
      </c>
      <c r="C4972" t="str">
        <f>CHOOSE(MATCH(B4972, {20,25,30,35,40,45,50,55,60,65,70,75,80,85}, 1), "20-24", "25-29", "30-34", "35-39", "40-44", "45-49", "50-54", "55-59", "60-64", "65-69", "70-74", "75-79", "80-84", "85+")</f>
        <v>30-34</v>
      </c>
      <c r="D4972" t="s">
        <v>7</v>
      </c>
    </row>
    <row r="4973" spans="1:4">
      <c r="A4973" t="s">
        <v>6</v>
      </c>
      <c r="B4973">
        <v>38</v>
      </c>
      <c r="C4973" t="str">
        <f>CHOOSE(MATCH(B4973, {20,25,30,35,40,45,50,55,60,65,70,75,80,85}, 1), "20-24", "25-29", "30-34", "35-39", "40-44", "45-49", "50-54", "55-59", "60-64", "65-69", "70-74", "75-79", "80-84", "85+")</f>
        <v>35-39</v>
      </c>
      <c r="D4973" t="s">
        <v>7</v>
      </c>
    </row>
    <row r="4974" spans="1:4">
      <c r="A4974" t="s">
        <v>6</v>
      </c>
      <c r="B4974">
        <v>32</v>
      </c>
      <c r="C4974" t="str">
        <f>CHOOSE(MATCH(B4974, {20,25,30,35,40,45,50,55,60,65,70,75,80,85}, 1), "20-24", "25-29", "30-34", "35-39", "40-44", "45-49", "50-54", "55-59", "60-64", "65-69", "70-74", "75-79", "80-84", "85+")</f>
        <v>30-34</v>
      </c>
      <c r="D4974" t="s">
        <v>7</v>
      </c>
    </row>
    <row r="4975" spans="1:4">
      <c r="A4975" t="s">
        <v>6</v>
      </c>
      <c r="B4975">
        <v>26</v>
      </c>
      <c r="C4975" t="str">
        <f>CHOOSE(MATCH(B4975, {20,25,30,35,40,45,50,55,60,65,70,75,80,85}, 1), "20-24", "25-29", "30-34", "35-39", "40-44", "45-49", "50-54", "55-59", "60-64", "65-69", "70-74", "75-79", "80-84", "85+")</f>
        <v>25-29</v>
      </c>
      <c r="D4975" t="s">
        <v>8</v>
      </c>
    </row>
    <row r="4976" spans="1:4">
      <c r="A4976" t="s">
        <v>6</v>
      </c>
      <c r="B4976">
        <v>61</v>
      </c>
      <c r="C4976" t="str">
        <f>CHOOSE(MATCH(B4976, {20,25,30,35,40,45,50,55,60,65,70,75,80,85}, 1), "20-24", "25-29", "30-34", "35-39", "40-44", "45-49", "50-54", "55-59", "60-64", "65-69", "70-74", "75-79", "80-84", "85+")</f>
        <v>60-64</v>
      </c>
      <c r="D4976" t="s">
        <v>7</v>
      </c>
    </row>
    <row r="4977" spans="1:4">
      <c r="A4977" t="s">
        <v>6</v>
      </c>
      <c r="B4977">
        <v>27</v>
      </c>
      <c r="C4977" t="str">
        <f>CHOOSE(MATCH(B4977, {20,25,30,35,40,45,50,55,60,65,70,75,80,85}, 1), "20-24", "25-29", "30-34", "35-39", "40-44", "45-49", "50-54", "55-59", "60-64", "65-69", "70-74", "75-79", "80-84", "85+")</f>
        <v>25-29</v>
      </c>
      <c r="D4977" t="s">
        <v>7</v>
      </c>
    </row>
    <row r="4978" spans="1:4">
      <c r="A4978" t="s">
        <v>6</v>
      </c>
      <c r="B4978">
        <v>23</v>
      </c>
      <c r="C4978" t="str">
        <f>CHOOSE(MATCH(B4978, {20,25,30,35,40,45,50,55,60,65,70,75,80,85}, 1), "20-24", "25-29", "30-34", "35-39", "40-44", "45-49", "50-54", "55-59", "60-64", "65-69", "70-74", "75-79", "80-84", "85+")</f>
        <v>20-24</v>
      </c>
      <c r="D4978" t="s">
        <v>8</v>
      </c>
    </row>
    <row r="4979" spans="1:4">
      <c r="A4979" t="s">
        <v>6</v>
      </c>
      <c r="B4979">
        <v>63</v>
      </c>
      <c r="C4979" t="str">
        <f>CHOOSE(MATCH(B4979, {20,25,30,35,40,45,50,55,60,65,70,75,80,85}, 1), "20-24", "25-29", "30-34", "35-39", "40-44", "45-49", "50-54", "55-59", "60-64", "65-69", "70-74", "75-79", "80-84", "85+")</f>
        <v>60-64</v>
      </c>
      <c r="D4979" t="s">
        <v>8</v>
      </c>
    </row>
    <row r="4980" spans="1:4">
      <c r="A4980" t="s">
        <v>6</v>
      </c>
      <c r="B4980">
        <v>30</v>
      </c>
      <c r="C4980" t="str">
        <f>CHOOSE(MATCH(B4980, {20,25,30,35,40,45,50,55,60,65,70,75,80,85}, 1), "20-24", "25-29", "30-34", "35-39", "40-44", "45-49", "50-54", "55-59", "60-64", "65-69", "70-74", "75-79", "80-84", "85+")</f>
        <v>30-34</v>
      </c>
      <c r="D4980" t="s">
        <v>8</v>
      </c>
    </row>
    <row r="4981" spans="1:4">
      <c r="A4981" t="s">
        <v>6</v>
      </c>
      <c r="B4981">
        <v>73</v>
      </c>
      <c r="C4981" t="str">
        <f>CHOOSE(MATCH(B4981, {20,25,30,35,40,45,50,55,60,65,70,75,80,85}, 1), "20-24", "25-29", "30-34", "35-39", "40-44", "45-49", "50-54", "55-59", "60-64", "65-69", "70-74", "75-79", "80-84", "85+")</f>
        <v>70-74</v>
      </c>
      <c r="D4981" t="s">
        <v>7</v>
      </c>
    </row>
    <row r="4982" spans="1:4">
      <c r="A4982" t="s">
        <v>6</v>
      </c>
      <c r="B4982">
        <v>37</v>
      </c>
      <c r="C4982" t="str">
        <f>CHOOSE(MATCH(B4982, {20,25,30,35,40,45,50,55,60,65,70,75,80,85}, 1), "20-24", "25-29", "30-34", "35-39", "40-44", "45-49", "50-54", "55-59", "60-64", "65-69", "70-74", "75-79", "80-84", "85+")</f>
        <v>35-39</v>
      </c>
      <c r="D4982" t="s">
        <v>8</v>
      </c>
    </row>
    <row r="4983" spans="1:4">
      <c r="A4983" t="s">
        <v>6</v>
      </c>
      <c r="B4983">
        <v>27</v>
      </c>
      <c r="C4983" t="str">
        <f>CHOOSE(MATCH(B4983, {20,25,30,35,40,45,50,55,60,65,70,75,80,85}, 1), "20-24", "25-29", "30-34", "35-39", "40-44", "45-49", "50-54", "55-59", "60-64", "65-69", "70-74", "75-79", "80-84", "85+")</f>
        <v>25-29</v>
      </c>
      <c r="D4983" t="s">
        <v>7</v>
      </c>
    </row>
    <row r="4984" spans="1:4">
      <c r="A4984" t="s">
        <v>6</v>
      </c>
      <c r="B4984">
        <v>30</v>
      </c>
      <c r="C4984" t="str">
        <f>CHOOSE(MATCH(B4984, {20,25,30,35,40,45,50,55,60,65,70,75,80,85}, 1), "20-24", "25-29", "30-34", "35-39", "40-44", "45-49", "50-54", "55-59", "60-64", "65-69", "70-74", "75-79", "80-84", "85+")</f>
        <v>30-34</v>
      </c>
      <c r="D4984" t="s">
        <v>7</v>
      </c>
    </row>
    <row r="4985" spans="1:4">
      <c r="A4985" t="s">
        <v>6</v>
      </c>
      <c r="B4985">
        <v>32</v>
      </c>
      <c r="C4985" t="str">
        <f>CHOOSE(MATCH(B4985, {20,25,30,35,40,45,50,55,60,65,70,75,80,85}, 1), "20-24", "25-29", "30-34", "35-39", "40-44", "45-49", "50-54", "55-59", "60-64", "65-69", "70-74", "75-79", "80-84", "85+")</f>
        <v>30-34</v>
      </c>
      <c r="D4985" t="s">
        <v>7</v>
      </c>
    </row>
    <row r="4986" spans="1:4">
      <c r="A4986" t="s">
        <v>6</v>
      </c>
      <c r="B4986">
        <v>24</v>
      </c>
      <c r="C4986" t="str">
        <f>CHOOSE(MATCH(B4986, {20,25,30,35,40,45,50,55,60,65,70,75,80,85}, 1), "20-24", "25-29", "30-34", "35-39", "40-44", "45-49", "50-54", "55-59", "60-64", "65-69", "70-74", "75-79", "80-84", "85+")</f>
        <v>20-24</v>
      </c>
      <c r="D4986" t="s">
        <v>7</v>
      </c>
    </row>
    <row r="4987" spans="1:4">
      <c r="A4987" t="s">
        <v>6</v>
      </c>
      <c r="B4987">
        <v>50</v>
      </c>
      <c r="C4987" t="str">
        <f>CHOOSE(MATCH(B4987, {20,25,30,35,40,45,50,55,60,65,70,75,80,85}, 1), "20-24", "25-29", "30-34", "35-39", "40-44", "45-49", "50-54", "55-59", "60-64", "65-69", "70-74", "75-79", "80-84", "85+")</f>
        <v>50-54</v>
      </c>
      <c r="D4987" t="s">
        <v>7</v>
      </c>
    </row>
    <row r="4988" spans="1:4">
      <c r="A4988" t="s">
        <v>6</v>
      </c>
      <c r="B4988">
        <v>26</v>
      </c>
      <c r="C4988" t="str">
        <f>CHOOSE(MATCH(B4988, {20,25,30,35,40,45,50,55,60,65,70,75,80,85}, 1), "20-24", "25-29", "30-34", "35-39", "40-44", "45-49", "50-54", "55-59", "60-64", "65-69", "70-74", "75-79", "80-84", "85+")</f>
        <v>25-29</v>
      </c>
      <c r="D4988" t="s">
        <v>8</v>
      </c>
    </row>
    <row r="4989" spans="1:4">
      <c r="A4989" t="s">
        <v>6</v>
      </c>
      <c r="B4989">
        <v>37</v>
      </c>
      <c r="C4989" t="str">
        <f>CHOOSE(MATCH(B4989, {20,25,30,35,40,45,50,55,60,65,70,75,80,85}, 1), "20-24", "25-29", "30-34", "35-39", "40-44", "45-49", "50-54", "55-59", "60-64", "65-69", "70-74", "75-79", "80-84", "85+")</f>
        <v>35-39</v>
      </c>
      <c r="D4989" t="s">
        <v>7</v>
      </c>
    </row>
    <row r="4990" spans="1:4">
      <c r="A4990" t="s">
        <v>6</v>
      </c>
      <c r="B4990">
        <v>35</v>
      </c>
      <c r="C4990" t="str">
        <f>CHOOSE(MATCH(B4990, {20,25,30,35,40,45,50,55,60,65,70,75,80,85}, 1), "20-24", "25-29", "30-34", "35-39", "40-44", "45-49", "50-54", "55-59", "60-64", "65-69", "70-74", "75-79", "80-84", "85+")</f>
        <v>35-39</v>
      </c>
      <c r="D4990" t="s">
        <v>8</v>
      </c>
    </row>
    <row r="4991" spans="1:4">
      <c r="A4991" t="s">
        <v>6</v>
      </c>
      <c r="B4991">
        <v>38</v>
      </c>
      <c r="C4991" t="str">
        <f>CHOOSE(MATCH(B4991, {20,25,30,35,40,45,50,55,60,65,70,75,80,85}, 1), "20-24", "25-29", "30-34", "35-39", "40-44", "45-49", "50-54", "55-59", "60-64", "65-69", "70-74", "75-79", "80-84", "85+")</f>
        <v>35-39</v>
      </c>
      <c r="D4991" t="s">
        <v>7</v>
      </c>
    </row>
    <row r="4992" spans="1:4">
      <c r="A4992" t="s">
        <v>6</v>
      </c>
      <c r="B4992">
        <v>34</v>
      </c>
      <c r="C4992" t="str">
        <f>CHOOSE(MATCH(B4992, {20,25,30,35,40,45,50,55,60,65,70,75,80,85}, 1), "20-24", "25-29", "30-34", "35-39", "40-44", "45-49", "50-54", "55-59", "60-64", "65-69", "70-74", "75-79", "80-84", "85+")</f>
        <v>30-34</v>
      </c>
      <c r="D4992" t="s">
        <v>7</v>
      </c>
    </row>
    <row r="4993" spans="1:4">
      <c r="A4993" t="s">
        <v>6</v>
      </c>
      <c r="B4993">
        <v>35</v>
      </c>
      <c r="C4993" t="str">
        <f>CHOOSE(MATCH(B4993, {20,25,30,35,40,45,50,55,60,65,70,75,80,85}, 1), "20-24", "25-29", "30-34", "35-39", "40-44", "45-49", "50-54", "55-59", "60-64", "65-69", "70-74", "75-79", "80-84", "85+")</f>
        <v>35-39</v>
      </c>
      <c r="D4993" t="s">
        <v>7</v>
      </c>
    </row>
    <row r="4994" spans="1:4">
      <c r="A4994" t="s">
        <v>6</v>
      </c>
      <c r="B4994">
        <v>59</v>
      </c>
      <c r="C4994" t="str">
        <f>CHOOSE(MATCH(B4994, {20,25,30,35,40,45,50,55,60,65,70,75,80,85}, 1), "20-24", "25-29", "30-34", "35-39", "40-44", "45-49", "50-54", "55-59", "60-64", "65-69", "70-74", "75-79", "80-84", "85+")</f>
        <v>55-59</v>
      </c>
      <c r="D4994" t="s">
        <v>8</v>
      </c>
    </row>
    <row r="4995" spans="1:4">
      <c r="A4995" t="s">
        <v>6</v>
      </c>
      <c r="B4995">
        <v>66</v>
      </c>
      <c r="C4995" t="str">
        <f>CHOOSE(MATCH(B4995, {20,25,30,35,40,45,50,55,60,65,70,75,80,85}, 1), "20-24", "25-29", "30-34", "35-39", "40-44", "45-49", "50-54", "55-59", "60-64", "65-69", "70-74", "75-79", "80-84", "85+")</f>
        <v>65-69</v>
      </c>
      <c r="D4995" t="s">
        <v>7</v>
      </c>
    </row>
    <row r="4996" spans="1:4">
      <c r="A4996" t="s">
        <v>6</v>
      </c>
      <c r="B4996">
        <v>28</v>
      </c>
      <c r="C4996" t="str">
        <f>CHOOSE(MATCH(B4996, {20,25,30,35,40,45,50,55,60,65,70,75,80,85}, 1), "20-24", "25-29", "30-34", "35-39", "40-44", "45-49", "50-54", "55-59", "60-64", "65-69", "70-74", "75-79", "80-84", "85+")</f>
        <v>25-29</v>
      </c>
      <c r="D4996" t="s">
        <v>7</v>
      </c>
    </row>
    <row r="4997" spans="1:4">
      <c r="A4997" t="s">
        <v>6</v>
      </c>
      <c r="B4997">
        <v>35</v>
      </c>
      <c r="C4997" t="str">
        <f>CHOOSE(MATCH(B4997, {20,25,30,35,40,45,50,55,60,65,70,75,80,85}, 1), "20-24", "25-29", "30-34", "35-39", "40-44", "45-49", "50-54", "55-59", "60-64", "65-69", "70-74", "75-79", "80-84", "85+")</f>
        <v>35-39</v>
      </c>
      <c r="D4997" t="s">
        <v>7</v>
      </c>
    </row>
    <row r="4998" spans="1:4">
      <c r="A4998" t="s">
        <v>6</v>
      </c>
      <c r="B4998">
        <v>26</v>
      </c>
      <c r="C4998" t="str">
        <f>CHOOSE(MATCH(B4998, {20,25,30,35,40,45,50,55,60,65,70,75,80,85}, 1), "20-24", "25-29", "30-34", "35-39", "40-44", "45-49", "50-54", "55-59", "60-64", "65-69", "70-74", "75-79", "80-84", "85+")</f>
        <v>25-29</v>
      </c>
      <c r="D4998" t="s">
        <v>7</v>
      </c>
    </row>
    <row r="4999" spans="1:4">
      <c r="A4999" t="s">
        <v>6</v>
      </c>
      <c r="B4999">
        <v>33</v>
      </c>
      <c r="C4999" t="str">
        <f>CHOOSE(MATCH(B4999, {20,25,30,35,40,45,50,55,60,65,70,75,80,85}, 1), "20-24", "25-29", "30-34", "35-39", "40-44", "45-49", "50-54", "55-59", "60-64", "65-69", "70-74", "75-79", "80-84", "85+")</f>
        <v>30-34</v>
      </c>
      <c r="D4999" t="s">
        <v>7</v>
      </c>
    </row>
    <row r="5000" spans="1:4">
      <c r="A5000" t="s">
        <v>6</v>
      </c>
      <c r="B5000">
        <v>36</v>
      </c>
      <c r="C5000" t="str">
        <f>CHOOSE(MATCH(B5000, {20,25,30,35,40,45,50,55,60,65,70,75,80,85}, 1), "20-24", "25-29", "30-34", "35-39", "40-44", "45-49", "50-54", "55-59", "60-64", "65-69", "70-74", "75-79", "80-84", "85+")</f>
        <v>35-39</v>
      </c>
      <c r="D5000" t="s">
        <v>8</v>
      </c>
    </row>
    <row r="5001" spans="1:4">
      <c r="A5001" t="s">
        <v>6</v>
      </c>
      <c r="B5001">
        <v>39</v>
      </c>
      <c r="C5001" t="str">
        <f>CHOOSE(MATCH(B5001, {20,25,30,35,40,45,50,55,60,65,70,75,80,85}, 1), "20-24", "25-29", "30-34", "35-39", "40-44", "45-49", "50-54", "55-59", "60-64", "65-69", "70-74", "75-79", "80-84", "85+")</f>
        <v>35-39</v>
      </c>
      <c r="D5001" t="s">
        <v>8</v>
      </c>
    </row>
    <row r="5002" spans="1:4">
      <c r="A5002" t="s">
        <v>6</v>
      </c>
      <c r="B5002">
        <v>22</v>
      </c>
      <c r="C5002" t="str">
        <f>CHOOSE(MATCH(B5002, {20,25,30,35,40,45,50,55,60,65,70,75,80,85}, 1), "20-24", "25-29", "30-34", "35-39", "40-44", "45-49", "50-54", "55-59", "60-64", "65-69", "70-74", "75-79", "80-84", "85+")</f>
        <v>20-24</v>
      </c>
      <c r="D5002" t="s">
        <v>7</v>
      </c>
    </row>
    <row r="5003" spans="1:4">
      <c r="A5003" t="s">
        <v>6</v>
      </c>
      <c r="B5003">
        <v>33</v>
      </c>
      <c r="C5003" t="str">
        <f>CHOOSE(MATCH(B5003, {20,25,30,35,40,45,50,55,60,65,70,75,80,85}, 1), "20-24", "25-29", "30-34", "35-39", "40-44", "45-49", "50-54", "55-59", "60-64", "65-69", "70-74", "75-79", "80-84", "85+")</f>
        <v>30-34</v>
      </c>
      <c r="D5003" t="s">
        <v>7</v>
      </c>
    </row>
    <row r="5004" spans="1:4">
      <c r="A5004" t="s">
        <v>6</v>
      </c>
      <c r="B5004">
        <v>54</v>
      </c>
      <c r="C5004" t="str">
        <f>CHOOSE(MATCH(B5004, {20,25,30,35,40,45,50,55,60,65,70,75,80,85}, 1), "20-24", "25-29", "30-34", "35-39", "40-44", "45-49", "50-54", "55-59", "60-64", "65-69", "70-74", "75-79", "80-84", "85+")</f>
        <v>50-54</v>
      </c>
      <c r="D5004" t="s">
        <v>8</v>
      </c>
    </row>
    <row r="5005" spans="1:4">
      <c r="A5005" t="s">
        <v>6</v>
      </c>
      <c r="B5005">
        <v>47</v>
      </c>
      <c r="C5005" t="str">
        <f>CHOOSE(MATCH(B5005, {20,25,30,35,40,45,50,55,60,65,70,75,80,85}, 1), "20-24", "25-29", "30-34", "35-39", "40-44", "45-49", "50-54", "55-59", "60-64", "65-69", "70-74", "75-79", "80-84", "85+")</f>
        <v>45-49</v>
      </c>
      <c r="D5005" t="s">
        <v>7</v>
      </c>
    </row>
    <row r="5006" spans="1:4">
      <c r="A5006" t="s">
        <v>6</v>
      </c>
      <c r="B5006">
        <v>47</v>
      </c>
      <c r="C5006" t="str">
        <f>CHOOSE(MATCH(B5006, {20,25,30,35,40,45,50,55,60,65,70,75,80,85}, 1), "20-24", "25-29", "30-34", "35-39", "40-44", "45-49", "50-54", "55-59", "60-64", "65-69", "70-74", "75-79", "80-84", "85+")</f>
        <v>45-49</v>
      </c>
      <c r="D5006" t="s">
        <v>8</v>
      </c>
    </row>
    <row r="5007" spans="1:4">
      <c r="A5007" t="s">
        <v>6</v>
      </c>
      <c r="B5007">
        <v>54</v>
      </c>
      <c r="C5007" t="str">
        <f>CHOOSE(MATCH(B5007, {20,25,30,35,40,45,50,55,60,65,70,75,80,85}, 1), "20-24", "25-29", "30-34", "35-39", "40-44", "45-49", "50-54", "55-59", "60-64", "65-69", "70-74", "75-79", "80-84", "85+")</f>
        <v>50-54</v>
      </c>
      <c r="D5007" t="s">
        <v>8</v>
      </c>
    </row>
    <row r="5008" spans="1:4">
      <c r="A5008" t="s">
        <v>6</v>
      </c>
      <c r="B5008">
        <v>43</v>
      </c>
      <c r="C5008" t="str">
        <f>CHOOSE(MATCH(B5008, {20,25,30,35,40,45,50,55,60,65,70,75,80,85}, 1), "20-24", "25-29", "30-34", "35-39", "40-44", "45-49", "50-54", "55-59", "60-64", "65-69", "70-74", "75-79", "80-84", "85+")</f>
        <v>40-44</v>
      </c>
      <c r="D5008" t="s">
        <v>8</v>
      </c>
    </row>
    <row r="5009" spans="1:4">
      <c r="A5009" t="s">
        <v>6</v>
      </c>
      <c r="B5009">
        <v>20</v>
      </c>
      <c r="C5009" t="str">
        <f>CHOOSE(MATCH(B5009, {20,25,30,35,40,45,50,55,60,65,70,75,80,85}, 1), "20-24", "25-29", "30-34", "35-39", "40-44", "45-49", "50-54", "55-59", "60-64", "65-69", "70-74", "75-79", "80-84", "85+")</f>
        <v>20-24</v>
      </c>
      <c r="D5009" t="s">
        <v>7</v>
      </c>
    </row>
    <row r="5010" spans="1:4">
      <c r="A5010" t="s">
        <v>6</v>
      </c>
      <c r="B5010">
        <v>21</v>
      </c>
      <c r="C5010" t="str">
        <f>CHOOSE(MATCH(B5010, {20,25,30,35,40,45,50,55,60,65,70,75,80,85}, 1), "20-24", "25-29", "30-34", "35-39", "40-44", "45-49", "50-54", "55-59", "60-64", "65-69", "70-74", "75-79", "80-84", "85+")</f>
        <v>20-24</v>
      </c>
      <c r="D5010" t="s">
        <v>7</v>
      </c>
    </row>
    <row r="5011" spans="1:4">
      <c r="A5011" t="s">
        <v>6</v>
      </c>
      <c r="B5011">
        <v>48</v>
      </c>
      <c r="C5011" t="str">
        <f>CHOOSE(MATCH(B5011, {20,25,30,35,40,45,50,55,60,65,70,75,80,85}, 1), "20-24", "25-29", "30-34", "35-39", "40-44", "45-49", "50-54", "55-59", "60-64", "65-69", "70-74", "75-79", "80-84", "85+")</f>
        <v>45-49</v>
      </c>
      <c r="D5011" t="s">
        <v>8</v>
      </c>
    </row>
    <row r="5012" spans="1:4">
      <c r="A5012" t="s">
        <v>6</v>
      </c>
      <c r="B5012">
        <v>26</v>
      </c>
      <c r="C5012" t="str">
        <f>CHOOSE(MATCH(B5012, {20,25,30,35,40,45,50,55,60,65,70,75,80,85}, 1), "20-24", "25-29", "30-34", "35-39", "40-44", "45-49", "50-54", "55-59", "60-64", "65-69", "70-74", "75-79", "80-84", "85+")</f>
        <v>25-29</v>
      </c>
      <c r="D5012" t="s">
        <v>7</v>
      </c>
    </row>
    <row r="5013" spans="1:4">
      <c r="A5013" t="s">
        <v>6</v>
      </c>
      <c r="B5013">
        <v>38</v>
      </c>
      <c r="C5013" t="str">
        <f>CHOOSE(MATCH(B5013, {20,25,30,35,40,45,50,55,60,65,70,75,80,85}, 1), "20-24", "25-29", "30-34", "35-39", "40-44", "45-49", "50-54", "55-59", "60-64", "65-69", "70-74", "75-79", "80-84", "85+")</f>
        <v>35-39</v>
      </c>
      <c r="D5013" t="s">
        <v>8</v>
      </c>
    </row>
    <row r="5014" spans="1:4">
      <c r="A5014" t="s">
        <v>6</v>
      </c>
      <c r="B5014">
        <v>26</v>
      </c>
      <c r="C5014" t="str">
        <f>CHOOSE(MATCH(B5014, {20,25,30,35,40,45,50,55,60,65,70,75,80,85}, 1), "20-24", "25-29", "30-34", "35-39", "40-44", "45-49", "50-54", "55-59", "60-64", "65-69", "70-74", "75-79", "80-84", "85+")</f>
        <v>25-29</v>
      </c>
      <c r="D5014" t="s">
        <v>7</v>
      </c>
    </row>
    <row r="5015" spans="1:4">
      <c r="A5015" t="s">
        <v>6</v>
      </c>
      <c r="B5015">
        <v>72</v>
      </c>
      <c r="C5015" t="str">
        <f>CHOOSE(MATCH(B5015, {20,25,30,35,40,45,50,55,60,65,70,75,80,85}, 1), "20-24", "25-29", "30-34", "35-39", "40-44", "45-49", "50-54", "55-59", "60-64", "65-69", "70-74", "75-79", "80-84", "85+")</f>
        <v>70-74</v>
      </c>
      <c r="D5015" t="s">
        <v>7</v>
      </c>
    </row>
    <row r="5016" spans="1:4">
      <c r="A5016" t="s">
        <v>6</v>
      </c>
      <c r="B5016">
        <v>53</v>
      </c>
      <c r="C5016" t="str">
        <f>CHOOSE(MATCH(B5016, {20,25,30,35,40,45,50,55,60,65,70,75,80,85}, 1), "20-24", "25-29", "30-34", "35-39", "40-44", "45-49", "50-54", "55-59", "60-64", "65-69", "70-74", "75-79", "80-84", "85+")</f>
        <v>50-54</v>
      </c>
      <c r="D5016" t="s">
        <v>7</v>
      </c>
    </row>
    <row r="5017" spans="1:4">
      <c r="A5017" t="s">
        <v>6</v>
      </c>
      <c r="B5017">
        <v>64</v>
      </c>
      <c r="C5017" t="str">
        <f>CHOOSE(MATCH(B5017, {20,25,30,35,40,45,50,55,60,65,70,75,80,85}, 1), "20-24", "25-29", "30-34", "35-39", "40-44", "45-49", "50-54", "55-59", "60-64", "65-69", "70-74", "75-79", "80-84", "85+")</f>
        <v>60-64</v>
      </c>
      <c r="D5017" t="s">
        <v>8</v>
      </c>
    </row>
    <row r="5018" spans="1:4">
      <c r="A5018" t="s">
        <v>6</v>
      </c>
      <c r="B5018">
        <v>39</v>
      </c>
      <c r="C5018" t="str">
        <f>CHOOSE(MATCH(B5018, {20,25,30,35,40,45,50,55,60,65,70,75,80,85}, 1), "20-24", "25-29", "30-34", "35-39", "40-44", "45-49", "50-54", "55-59", "60-64", "65-69", "70-74", "75-79", "80-84", "85+")</f>
        <v>35-39</v>
      </c>
      <c r="D5018" t="s">
        <v>8</v>
      </c>
    </row>
    <row r="5019" spans="1:4">
      <c r="A5019" t="s">
        <v>6</v>
      </c>
      <c r="B5019">
        <v>41</v>
      </c>
      <c r="C5019" t="str">
        <f>CHOOSE(MATCH(B5019, {20,25,30,35,40,45,50,55,60,65,70,75,80,85}, 1), "20-24", "25-29", "30-34", "35-39", "40-44", "45-49", "50-54", "55-59", "60-64", "65-69", "70-74", "75-79", "80-84", "85+")</f>
        <v>40-44</v>
      </c>
      <c r="D5019" t="s">
        <v>7</v>
      </c>
    </row>
    <row r="5020" spans="1:4">
      <c r="A5020" t="s">
        <v>6</v>
      </c>
      <c r="B5020">
        <v>37</v>
      </c>
      <c r="C5020" t="str">
        <f>CHOOSE(MATCH(B5020, {20,25,30,35,40,45,50,55,60,65,70,75,80,85}, 1), "20-24", "25-29", "30-34", "35-39", "40-44", "45-49", "50-54", "55-59", "60-64", "65-69", "70-74", "75-79", "80-84", "85+")</f>
        <v>35-39</v>
      </c>
      <c r="D5020" t="s">
        <v>7</v>
      </c>
    </row>
    <row r="5021" spans="1:4">
      <c r="A5021" t="s">
        <v>6</v>
      </c>
      <c r="B5021">
        <v>27</v>
      </c>
      <c r="C5021" t="str">
        <f>CHOOSE(MATCH(B5021, {20,25,30,35,40,45,50,55,60,65,70,75,80,85}, 1), "20-24", "25-29", "30-34", "35-39", "40-44", "45-49", "50-54", "55-59", "60-64", "65-69", "70-74", "75-79", "80-84", "85+")</f>
        <v>25-29</v>
      </c>
      <c r="D5021" t="s">
        <v>7</v>
      </c>
    </row>
    <row r="5022" spans="1:4">
      <c r="A5022" t="s">
        <v>6</v>
      </c>
      <c r="B5022">
        <v>28</v>
      </c>
      <c r="C5022" t="str">
        <f>CHOOSE(MATCH(B5022, {20,25,30,35,40,45,50,55,60,65,70,75,80,85}, 1), "20-24", "25-29", "30-34", "35-39", "40-44", "45-49", "50-54", "55-59", "60-64", "65-69", "70-74", "75-79", "80-84", "85+")</f>
        <v>25-29</v>
      </c>
      <c r="D5022" t="s">
        <v>7</v>
      </c>
    </row>
    <row r="5023" spans="1:4">
      <c r="A5023" t="s">
        <v>6</v>
      </c>
      <c r="B5023">
        <v>66</v>
      </c>
      <c r="C5023" t="str">
        <f>CHOOSE(MATCH(B5023, {20,25,30,35,40,45,50,55,60,65,70,75,80,85}, 1), "20-24", "25-29", "30-34", "35-39", "40-44", "45-49", "50-54", "55-59", "60-64", "65-69", "70-74", "75-79", "80-84", "85+")</f>
        <v>65-69</v>
      </c>
      <c r="D5023" t="s">
        <v>8</v>
      </c>
    </row>
    <row r="5024" spans="1:4">
      <c r="A5024" t="s">
        <v>6</v>
      </c>
      <c r="B5024">
        <v>32</v>
      </c>
      <c r="C5024" t="str">
        <f>CHOOSE(MATCH(B5024, {20,25,30,35,40,45,50,55,60,65,70,75,80,85}, 1), "20-24", "25-29", "30-34", "35-39", "40-44", "45-49", "50-54", "55-59", "60-64", "65-69", "70-74", "75-79", "80-84", "85+")</f>
        <v>30-34</v>
      </c>
      <c r="D5024" t="s">
        <v>7</v>
      </c>
    </row>
    <row r="5025" spans="1:4">
      <c r="A5025" t="s">
        <v>6</v>
      </c>
      <c r="B5025">
        <v>26</v>
      </c>
      <c r="C5025" t="str">
        <f>CHOOSE(MATCH(B5025, {20,25,30,35,40,45,50,55,60,65,70,75,80,85}, 1), "20-24", "25-29", "30-34", "35-39", "40-44", "45-49", "50-54", "55-59", "60-64", "65-69", "70-74", "75-79", "80-84", "85+")</f>
        <v>25-29</v>
      </c>
      <c r="D5025" t="s">
        <v>7</v>
      </c>
    </row>
    <row r="5026" spans="1:4">
      <c r="A5026" t="s">
        <v>6</v>
      </c>
      <c r="B5026">
        <v>68</v>
      </c>
      <c r="C5026" t="str">
        <f>CHOOSE(MATCH(B5026, {20,25,30,35,40,45,50,55,60,65,70,75,80,85}, 1), "20-24", "25-29", "30-34", "35-39", "40-44", "45-49", "50-54", "55-59", "60-64", "65-69", "70-74", "75-79", "80-84", "85+")</f>
        <v>65-69</v>
      </c>
      <c r="D5026" t="s">
        <v>7</v>
      </c>
    </row>
    <row r="5027" spans="1:4">
      <c r="A5027" t="s">
        <v>6</v>
      </c>
      <c r="B5027">
        <v>43</v>
      </c>
      <c r="C5027" t="str">
        <f>CHOOSE(MATCH(B5027, {20,25,30,35,40,45,50,55,60,65,70,75,80,85}, 1), "20-24", "25-29", "30-34", "35-39", "40-44", "45-49", "50-54", "55-59", "60-64", "65-69", "70-74", "75-79", "80-84", "85+")</f>
        <v>40-44</v>
      </c>
      <c r="D5027" t="s">
        <v>7</v>
      </c>
    </row>
    <row r="5028" spans="1:4">
      <c r="A5028" t="s">
        <v>6</v>
      </c>
      <c r="B5028">
        <v>30</v>
      </c>
      <c r="C5028" t="str">
        <f>CHOOSE(MATCH(B5028, {20,25,30,35,40,45,50,55,60,65,70,75,80,85}, 1), "20-24", "25-29", "30-34", "35-39", "40-44", "45-49", "50-54", "55-59", "60-64", "65-69", "70-74", "75-79", "80-84", "85+")</f>
        <v>30-34</v>
      </c>
      <c r="D5028" t="s">
        <v>7</v>
      </c>
    </row>
    <row r="5029" spans="1:4">
      <c r="A5029" t="s">
        <v>6</v>
      </c>
      <c r="B5029">
        <v>53</v>
      </c>
      <c r="C5029" t="str">
        <f>CHOOSE(MATCH(B5029, {20,25,30,35,40,45,50,55,60,65,70,75,80,85}, 1), "20-24", "25-29", "30-34", "35-39", "40-44", "45-49", "50-54", "55-59", "60-64", "65-69", "70-74", "75-79", "80-84", "85+")</f>
        <v>50-54</v>
      </c>
      <c r="D5029" t="s">
        <v>7</v>
      </c>
    </row>
    <row r="5030" spans="1:4">
      <c r="A5030" t="s">
        <v>6</v>
      </c>
      <c r="B5030">
        <v>33</v>
      </c>
      <c r="C5030" t="str">
        <f>CHOOSE(MATCH(B5030, {20,25,30,35,40,45,50,55,60,65,70,75,80,85}, 1), "20-24", "25-29", "30-34", "35-39", "40-44", "45-49", "50-54", "55-59", "60-64", "65-69", "70-74", "75-79", "80-84", "85+")</f>
        <v>30-34</v>
      </c>
      <c r="D5030" t="s">
        <v>8</v>
      </c>
    </row>
    <row r="5031" spans="1:4">
      <c r="A5031" t="s">
        <v>6</v>
      </c>
      <c r="B5031">
        <v>63</v>
      </c>
      <c r="C5031" t="str">
        <f>CHOOSE(MATCH(B5031, {20,25,30,35,40,45,50,55,60,65,70,75,80,85}, 1), "20-24", "25-29", "30-34", "35-39", "40-44", "45-49", "50-54", "55-59", "60-64", "65-69", "70-74", "75-79", "80-84", "85+")</f>
        <v>60-64</v>
      </c>
      <c r="D5031" t="s">
        <v>7</v>
      </c>
    </row>
    <row r="5032" spans="1:4">
      <c r="A5032" t="s">
        <v>6</v>
      </c>
      <c r="B5032">
        <v>30</v>
      </c>
      <c r="C5032" t="str">
        <f>CHOOSE(MATCH(B5032, {20,25,30,35,40,45,50,55,60,65,70,75,80,85}, 1), "20-24", "25-29", "30-34", "35-39", "40-44", "45-49", "50-54", "55-59", "60-64", "65-69", "70-74", "75-79", "80-84", "85+")</f>
        <v>30-34</v>
      </c>
      <c r="D5032" t="s">
        <v>7</v>
      </c>
    </row>
    <row r="5033" spans="1:4">
      <c r="A5033" t="s">
        <v>6</v>
      </c>
      <c r="B5033">
        <v>22</v>
      </c>
      <c r="C5033" t="str">
        <f>CHOOSE(MATCH(B5033, {20,25,30,35,40,45,50,55,60,65,70,75,80,85}, 1), "20-24", "25-29", "30-34", "35-39", "40-44", "45-49", "50-54", "55-59", "60-64", "65-69", "70-74", "75-79", "80-84", "85+")</f>
        <v>20-24</v>
      </c>
      <c r="D5033" t="s">
        <v>7</v>
      </c>
    </row>
    <row r="5034" spans="1:4">
      <c r="A5034" t="s">
        <v>6</v>
      </c>
      <c r="B5034">
        <v>25</v>
      </c>
      <c r="C5034" t="str">
        <f>CHOOSE(MATCH(B5034, {20,25,30,35,40,45,50,55,60,65,70,75,80,85}, 1), "20-24", "25-29", "30-34", "35-39", "40-44", "45-49", "50-54", "55-59", "60-64", "65-69", "70-74", "75-79", "80-84", "85+")</f>
        <v>25-29</v>
      </c>
      <c r="D5034" t="s">
        <v>7</v>
      </c>
    </row>
    <row r="5035" spans="1:4">
      <c r="A5035" t="s">
        <v>6</v>
      </c>
      <c r="B5035">
        <v>28</v>
      </c>
      <c r="C5035" t="str">
        <f>CHOOSE(MATCH(B5035, {20,25,30,35,40,45,50,55,60,65,70,75,80,85}, 1), "20-24", "25-29", "30-34", "35-39", "40-44", "45-49", "50-54", "55-59", "60-64", "65-69", "70-74", "75-79", "80-84", "85+")</f>
        <v>25-29</v>
      </c>
      <c r="D5035" t="s">
        <v>7</v>
      </c>
    </row>
    <row r="5036" spans="1:4">
      <c r="A5036" t="s">
        <v>6</v>
      </c>
      <c r="B5036">
        <v>35</v>
      </c>
      <c r="C5036" t="str">
        <f>CHOOSE(MATCH(B5036, {20,25,30,35,40,45,50,55,60,65,70,75,80,85}, 1), "20-24", "25-29", "30-34", "35-39", "40-44", "45-49", "50-54", "55-59", "60-64", "65-69", "70-74", "75-79", "80-84", "85+")</f>
        <v>35-39</v>
      </c>
      <c r="D5036" t="s">
        <v>8</v>
      </c>
    </row>
    <row r="5037" spans="1:4">
      <c r="A5037" t="s">
        <v>6</v>
      </c>
      <c r="B5037">
        <v>47</v>
      </c>
      <c r="C5037" t="str">
        <f>CHOOSE(MATCH(B5037, {20,25,30,35,40,45,50,55,60,65,70,75,80,85}, 1), "20-24", "25-29", "30-34", "35-39", "40-44", "45-49", "50-54", "55-59", "60-64", "65-69", "70-74", "75-79", "80-84", "85+")</f>
        <v>45-49</v>
      </c>
      <c r="D5037" t="s">
        <v>7</v>
      </c>
    </row>
    <row r="5038" spans="1:4">
      <c r="A5038" t="s">
        <v>6</v>
      </c>
      <c r="B5038">
        <v>35</v>
      </c>
      <c r="C5038" t="str">
        <f>CHOOSE(MATCH(B5038, {20,25,30,35,40,45,50,55,60,65,70,75,80,85}, 1), "20-24", "25-29", "30-34", "35-39", "40-44", "45-49", "50-54", "55-59", "60-64", "65-69", "70-74", "75-79", "80-84", "85+")</f>
        <v>35-39</v>
      </c>
      <c r="D5038" t="s">
        <v>8</v>
      </c>
    </row>
    <row r="5039" spans="1:4">
      <c r="A5039" t="s">
        <v>6</v>
      </c>
      <c r="B5039">
        <v>65</v>
      </c>
      <c r="C5039" t="str">
        <f>CHOOSE(MATCH(B5039, {20,25,30,35,40,45,50,55,60,65,70,75,80,85}, 1), "20-24", "25-29", "30-34", "35-39", "40-44", "45-49", "50-54", "55-59", "60-64", "65-69", "70-74", "75-79", "80-84", "85+")</f>
        <v>65-69</v>
      </c>
      <c r="D5039" t="s">
        <v>7</v>
      </c>
    </row>
    <row r="5040" spans="1:4">
      <c r="A5040" t="s">
        <v>6</v>
      </c>
      <c r="B5040">
        <v>23</v>
      </c>
      <c r="C5040" t="str">
        <f>CHOOSE(MATCH(B5040, {20,25,30,35,40,45,50,55,60,65,70,75,80,85}, 1), "20-24", "25-29", "30-34", "35-39", "40-44", "45-49", "50-54", "55-59", "60-64", "65-69", "70-74", "75-79", "80-84", "85+")</f>
        <v>20-24</v>
      </c>
      <c r="D5040" t="s">
        <v>8</v>
      </c>
    </row>
    <row r="5041" spans="1:4">
      <c r="A5041" t="s">
        <v>6</v>
      </c>
      <c r="B5041">
        <v>26</v>
      </c>
      <c r="C5041" t="str">
        <f>CHOOSE(MATCH(B5041, {20,25,30,35,40,45,50,55,60,65,70,75,80,85}, 1), "20-24", "25-29", "30-34", "35-39", "40-44", "45-49", "50-54", "55-59", "60-64", "65-69", "70-74", "75-79", "80-84", "85+")</f>
        <v>25-29</v>
      </c>
      <c r="D5041" t="s">
        <v>7</v>
      </c>
    </row>
    <row r="5042" spans="1:4">
      <c r="A5042" t="s">
        <v>6</v>
      </c>
      <c r="B5042">
        <v>29</v>
      </c>
      <c r="C5042" t="str">
        <f>CHOOSE(MATCH(B5042, {20,25,30,35,40,45,50,55,60,65,70,75,80,85}, 1), "20-24", "25-29", "30-34", "35-39", "40-44", "45-49", "50-54", "55-59", "60-64", "65-69", "70-74", "75-79", "80-84", "85+")</f>
        <v>25-29</v>
      </c>
      <c r="D5042" t="s">
        <v>8</v>
      </c>
    </row>
    <row r="5043" spans="1:4">
      <c r="A5043" t="s">
        <v>6</v>
      </c>
      <c r="B5043">
        <v>35</v>
      </c>
      <c r="C5043" t="str">
        <f>CHOOSE(MATCH(B5043, {20,25,30,35,40,45,50,55,60,65,70,75,80,85}, 1), "20-24", "25-29", "30-34", "35-39", "40-44", "45-49", "50-54", "55-59", "60-64", "65-69", "70-74", "75-79", "80-84", "85+")</f>
        <v>35-39</v>
      </c>
      <c r="D5043" t="s">
        <v>7</v>
      </c>
    </row>
    <row r="5044" spans="1:4">
      <c r="A5044" t="s">
        <v>6</v>
      </c>
      <c r="B5044">
        <v>38</v>
      </c>
      <c r="C5044" t="str">
        <f>CHOOSE(MATCH(B5044, {20,25,30,35,40,45,50,55,60,65,70,75,80,85}, 1), "20-24", "25-29", "30-34", "35-39", "40-44", "45-49", "50-54", "55-59", "60-64", "65-69", "70-74", "75-79", "80-84", "85+")</f>
        <v>35-39</v>
      </c>
      <c r="D5044" t="s">
        <v>7</v>
      </c>
    </row>
    <row r="5045" spans="1:4">
      <c r="A5045" t="s">
        <v>6</v>
      </c>
      <c r="B5045">
        <v>69</v>
      </c>
      <c r="C5045" t="str">
        <f>CHOOSE(MATCH(B5045, {20,25,30,35,40,45,50,55,60,65,70,75,80,85}, 1), "20-24", "25-29", "30-34", "35-39", "40-44", "45-49", "50-54", "55-59", "60-64", "65-69", "70-74", "75-79", "80-84", "85+")</f>
        <v>65-69</v>
      </c>
      <c r="D5045" t="s">
        <v>8</v>
      </c>
    </row>
    <row r="5046" spans="1:4">
      <c r="A5046" t="s">
        <v>6</v>
      </c>
      <c r="B5046">
        <v>38</v>
      </c>
      <c r="C5046" t="str">
        <f>CHOOSE(MATCH(B5046, {20,25,30,35,40,45,50,55,60,65,70,75,80,85}, 1), "20-24", "25-29", "30-34", "35-39", "40-44", "45-49", "50-54", "55-59", "60-64", "65-69", "70-74", "75-79", "80-84", "85+")</f>
        <v>35-39</v>
      </c>
      <c r="D5046" t="s">
        <v>7</v>
      </c>
    </row>
    <row r="5047" spans="1:4">
      <c r="A5047" t="s">
        <v>6</v>
      </c>
      <c r="B5047">
        <v>70</v>
      </c>
      <c r="C5047" t="str">
        <f>CHOOSE(MATCH(B5047, {20,25,30,35,40,45,50,55,60,65,70,75,80,85}, 1), "20-24", "25-29", "30-34", "35-39", "40-44", "45-49", "50-54", "55-59", "60-64", "65-69", "70-74", "75-79", "80-84", "85+")</f>
        <v>70-74</v>
      </c>
      <c r="D5047" t="s">
        <v>7</v>
      </c>
    </row>
    <row r="5048" spans="1:4">
      <c r="A5048" t="s">
        <v>6</v>
      </c>
      <c r="B5048">
        <v>49</v>
      </c>
      <c r="C5048" t="str">
        <f>CHOOSE(MATCH(B5048, {20,25,30,35,40,45,50,55,60,65,70,75,80,85}, 1), "20-24", "25-29", "30-34", "35-39", "40-44", "45-49", "50-54", "55-59", "60-64", "65-69", "70-74", "75-79", "80-84", "85+")</f>
        <v>45-49</v>
      </c>
      <c r="D5048" t="s">
        <v>7</v>
      </c>
    </row>
    <row r="5049" spans="1:4">
      <c r="A5049" t="s">
        <v>6</v>
      </c>
      <c r="B5049">
        <v>34</v>
      </c>
      <c r="C5049" t="str">
        <f>CHOOSE(MATCH(B5049, {20,25,30,35,40,45,50,55,60,65,70,75,80,85}, 1), "20-24", "25-29", "30-34", "35-39", "40-44", "45-49", "50-54", "55-59", "60-64", "65-69", "70-74", "75-79", "80-84", "85+")</f>
        <v>30-34</v>
      </c>
      <c r="D5049" t="s">
        <v>7</v>
      </c>
    </row>
    <row r="5050" spans="1:4">
      <c r="A5050" t="s">
        <v>6</v>
      </c>
      <c r="B5050">
        <v>70</v>
      </c>
      <c r="C5050" t="str">
        <f>CHOOSE(MATCH(B5050, {20,25,30,35,40,45,50,55,60,65,70,75,80,85}, 1), "20-24", "25-29", "30-34", "35-39", "40-44", "45-49", "50-54", "55-59", "60-64", "65-69", "70-74", "75-79", "80-84", "85+")</f>
        <v>70-74</v>
      </c>
      <c r="D5050" t="s">
        <v>7</v>
      </c>
    </row>
    <row r="5051" spans="1:4">
      <c r="A5051" t="s">
        <v>6</v>
      </c>
      <c r="B5051">
        <v>32</v>
      </c>
      <c r="C5051" t="str">
        <f>CHOOSE(MATCH(B5051, {20,25,30,35,40,45,50,55,60,65,70,75,80,85}, 1), "20-24", "25-29", "30-34", "35-39", "40-44", "45-49", "50-54", "55-59", "60-64", "65-69", "70-74", "75-79", "80-84", "85+")</f>
        <v>30-34</v>
      </c>
      <c r="D5051" t="s">
        <v>8</v>
      </c>
    </row>
    <row r="5052" spans="1:4">
      <c r="A5052" t="s">
        <v>6</v>
      </c>
      <c r="B5052">
        <v>65</v>
      </c>
      <c r="C5052" t="str">
        <f>CHOOSE(MATCH(B5052, {20,25,30,35,40,45,50,55,60,65,70,75,80,85}, 1), "20-24", "25-29", "30-34", "35-39", "40-44", "45-49", "50-54", "55-59", "60-64", "65-69", "70-74", "75-79", "80-84", "85+")</f>
        <v>65-69</v>
      </c>
      <c r="D5052" t="s">
        <v>8</v>
      </c>
    </row>
    <row r="5053" spans="1:4">
      <c r="A5053" t="s">
        <v>6</v>
      </c>
      <c r="B5053">
        <v>23</v>
      </c>
      <c r="C5053" t="str">
        <f>CHOOSE(MATCH(B5053, {20,25,30,35,40,45,50,55,60,65,70,75,80,85}, 1), "20-24", "25-29", "30-34", "35-39", "40-44", "45-49", "50-54", "55-59", "60-64", "65-69", "70-74", "75-79", "80-84", "85+")</f>
        <v>20-24</v>
      </c>
      <c r="D5053" t="s">
        <v>8</v>
      </c>
    </row>
    <row r="5054" spans="1:4">
      <c r="A5054" t="s">
        <v>6</v>
      </c>
      <c r="B5054">
        <v>39</v>
      </c>
      <c r="C5054" t="str">
        <f>CHOOSE(MATCH(B5054, {20,25,30,35,40,45,50,55,60,65,70,75,80,85}, 1), "20-24", "25-29", "30-34", "35-39", "40-44", "45-49", "50-54", "55-59", "60-64", "65-69", "70-74", "75-79", "80-84", "85+")</f>
        <v>35-39</v>
      </c>
      <c r="D5054" t="s">
        <v>7</v>
      </c>
    </row>
    <row r="5055" spans="1:4">
      <c r="A5055" t="s">
        <v>6</v>
      </c>
      <c r="B5055">
        <v>36</v>
      </c>
      <c r="C5055" t="str">
        <f>CHOOSE(MATCH(B5055, {20,25,30,35,40,45,50,55,60,65,70,75,80,85}, 1), "20-24", "25-29", "30-34", "35-39", "40-44", "45-49", "50-54", "55-59", "60-64", "65-69", "70-74", "75-79", "80-84", "85+")</f>
        <v>35-39</v>
      </c>
      <c r="D5055" t="s">
        <v>7</v>
      </c>
    </row>
    <row r="5056" spans="1:4">
      <c r="A5056" t="s">
        <v>6</v>
      </c>
      <c r="B5056">
        <v>42</v>
      </c>
      <c r="C5056" t="str">
        <f>CHOOSE(MATCH(B5056, {20,25,30,35,40,45,50,55,60,65,70,75,80,85}, 1), "20-24", "25-29", "30-34", "35-39", "40-44", "45-49", "50-54", "55-59", "60-64", "65-69", "70-74", "75-79", "80-84", "85+")</f>
        <v>40-44</v>
      </c>
      <c r="D5056" t="s">
        <v>8</v>
      </c>
    </row>
    <row r="5057" spans="1:4">
      <c r="A5057" t="s">
        <v>6</v>
      </c>
      <c r="B5057">
        <v>73</v>
      </c>
      <c r="C5057" t="str">
        <f>CHOOSE(MATCH(B5057, {20,25,30,35,40,45,50,55,60,65,70,75,80,85}, 1), "20-24", "25-29", "30-34", "35-39", "40-44", "45-49", "50-54", "55-59", "60-64", "65-69", "70-74", "75-79", "80-84", "85+")</f>
        <v>70-74</v>
      </c>
      <c r="D5057" t="s">
        <v>8</v>
      </c>
    </row>
    <row r="5058" spans="1:4">
      <c r="A5058" t="s">
        <v>6</v>
      </c>
      <c r="B5058">
        <v>28</v>
      </c>
      <c r="C5058" t="str">
        <f>CHOOSE(MATCH(B5058, {20,25,30,35,40,45,50,55,60,65,70,75,80,85}, 1), "20-24", "25-29", "30-34", "35-39", "40-44", "45-49", "50-54", "55-59", "60-64", "65-69", "70-74", "75-79", "80-84", "85+")</f>
        <v>25-29</v>
      </c>
      <c r="D5058" t="s">
        <v>8</v>
      </c>
    </row>
    <row r="5059" spans="1:4">
      <c r="A5059" t="s">
        <v>6</v>
      </c>
      <c r="B5059">
        <v>42</v>
      </c>
      <c r="C5059" t="str">
        <f>CHOOSE(MATCH(B5059, {20,25,30,35,40,45,50,55,60,65,70,75,80,85}, 1), "20-24", "25-29", "30-34", "35-39", "40-44", "45-49", "50-54", "55-59", "60-64", "65-69", "70-74", "75-79", "80-84", "85+")</f>
        <v>40-44</v>
      </c>
      <c r="D5059" t="s">
        <v>8</v>
      </c>
    </row>
    <row r="5060" spans="1:4">
      <c r="A5060" t="s">
        <v>6</v>
      </c>
      <c r="B5060">
        <v>45</v>
      </c>
      <c r="C5060" t="str">
        <f>CHOOSE(MATCH(B5060, {20,25,30,35,40,45,50,55,60,65,70,75,80,85}, 1), "20-24", "25-29", "30-34", "35-39", "40-44", "45-49", "50-54", "55-59", "60-64", "65-69", "70-74", "75-79", "80-84", "85+")</f>
        <v>45-49</v>
      </c>
      <c r="D5060" t="s">
        <v>7</v>
      </c>
    </row>
    <row r="5061" spans="1:4">
      <c r="A5061" t="s">
        <v>6</v>
      </c>
      <c r="B5061">
        <v>55</v>
      </c>
      <c r="C5061" t="str">
        <f>CHOOSE(MATCH(B5061, {20,25,30,35,40,45,50,55,60,65,70,75,80,85}, 1), "20-24", "25-29", "30-34", "35-39", "40-44", "45-49", "50-54", "55-59", "60-64", "65-69", "70-74", "75-79", "80-84", "85+")</f>
        <v>55-59</v>
      </c>
      <c r="D5061" t="s">
        <v>8</v>
      </c>
    </row>
    <row r="5062" spans="1:4">
      <c r="A5062" t="s">
        <v>6</v>
      </c>
      <c r="B5062">
        <v>81</v>
      </c>
      <c r="C5062" t="str">
        <f>CHOOSE(MATCH(B5062, {20,25,30,35,40,45,50,55,60,65,70,75,80,85}, 1), "20-24", "25-29", "30-34", "35-39", "40-44", "45-49", "50-54", "55-59", "60-64", "65-69", "70-74", "75-79", "80-84", "85+")</f>
        <v>80-84</v>
      </c>
      <c r="D5062" t="s">
        <v>8</v>
      </c>
    </row>
    <row r="5063" spans="1:4">
      <c r="A5063" t="s">
        <v>6</v>
      </c>
      <c r="B5063">
        <v>48</v>
      </c>
      <c r="C5063" t="str">
        <f>CHOOSE(MATCH(B5063, {20,25,30,35,40,45,50,55,60,65,70,75,80,85}, 1), "20-24", "25-29", "30-34", "35-39", "40-44", "45-49", "50-54", "55-59", "60-64", "65-69", "70-74", "75-79", "80-84", "85+")</f>
        <v>45-49</v>
      </c>
      <c r="D5063" t="s">
        <v>8</v>
      </c>
    </row>
    <row r="5064" spans="1:4">
      <c r="A5064" t="s">
        <v>6</v>
      </c>
      <c r="B5064">
        <v>75</v>
      </c>
      <c r="C5064" t="str">
        <f>CHOOSE(MATCH(B5064, {20,25,30,35,40,45,50,55,60,65,70,75,80,85}, 1), "20-24", "25-29", "30-34", "35-39", "40-44", "45-49", "50-54", "55-59", "60-64", "65-69", "70-74", "75-79", "80-84", "85+")</f>
        <v>75-79</v>
      </c>
      <c r="D5064" t="s">
        <v>8</v>
      </c>
    </row>
    <row r="5065" spans="1:4">
      <c r="A5065" t="s">
        <v>6</v>
      </c>
      <c r="B5065">
        <v>55</v>
      </c>
      <c r="C5065" t="str">
        <f>CHOOSE(MATCH(B5065, {20,25,30,35,40,45,50,55,60,65,70,75,80,85}, 1), "20-24", "25-29", "30-34", "35-39", "40-44", "45-49", "50-54", "55-59", "60-64", "65-69", "70-74", "75-79", "80-84", "85+")</f>
        <v>55-59</v>
      </c>
      <c r="D5065" t="s">
        <v>7</v>
      </c>
    </row>
    <row r="5066" spans="1:4">
      <c r="A5066" t="s">
        <v>6</v>
      </c>
      <c r="B5066">
        <v>58</v>
      </c>
      <c r="C5066" t="str">
        <f>CHOOSE(MATCH(B5066, {20,25,30,35,40,45,50,55,60,65,70,75,80,85}, 1), "20-24", "25-29", "30-34", "35-39", "40-44", "45-49", "50-54", "55-59", "60-64", "65-69", "70-74", "75-79", "80-84", "85+")</f>
        <v>55-59</v>
      </c>
      <c r="D5066" t="s">
        <v>7</v>
      </c>
    </row>
    <row r="5067" spans="1:4">
      <c r="A5067" t="s">
        <v>6</v>
      </c>
      <c r="B5067">
        <v>47</v>
      </c>
      <c r="C5067" t="str">
        <f>CHOOSE(MATCH(B5067, {20,25,30,35,40,45,50,55,60,65,70,75,80,85}, 1), "20-24", "25-29", "30-34", "35-39", "40-44", "45-49", "50-54", "55-59", "60-64", "65-69", "70-74", "75-79", "80-84", "85+")</f>
        <v>45-49</v>
      </c>
      <c r="D5067" t="s">
        <v>7</v>
      </c>
    </row>
    <row r="5068" spans="1:4">
      <c r="A5068" t="s">
        <v>6</v>
      </c>
      <c r="B5068">
        <v>47</v>
      </c>
      <c r="C5068" t="str">
        <f>CHOOSE(MATCH(B5068, {20,25,30,35,40,45,50,55,60,65,70,75,80,85}, 1), "20-24", "25-29", "30-34", "35-39", "40-44", "45-49", "50-54", "55-59", "60-64", "65-69", "70-74", "75-79", "80-84", "85+")</f>
        <v>45-49</v>
      </c>
      <c r="D5068" t="s">
        <v>7</v>
      </c>
    </row>
    <row r="5069" spans="1:4">
      <c r="A5069" t="s">
        <v>6</v>
      </c>
      <c r="B5069">
        <v>31</v>
      </c>
      <c r="C5069" t="str">
        <f>CHOOSE(MATCH(B5069, {20,25,30,35,40,45,50,55,60,65,70,75,80,85}, 1), "20-24", "25-29", "30-34", "35-39", "40-44", "45-49", "50-54", "55-59", "60-64", "65-69", "70-74", "75-79", "80-84", "85+")</f>
        <v>30-34</v>
      </c>
      <c r="D5069" t="s">
        <v>7</v>
      </c>
    </row>
    <row r="5070" spans="1:4">
      <c r="A5070" t="s">
        <v>6</v>
      </c>
      <c r="B5070">
        <v>32</v>
      </c>
      <c r="C5070" t="str">
        <f>CHOOSE(MATCH(B5070, {20,25,30,35,40,45,50,55,60,65,70,75,80,85}, 1), "20-24", "25-29", "30-34", "35-39", "40-44", "45-49", "50-54", "55-59", "60-64", "65-69", "70-74", "75-79", "80-84", "85+")</f>
        <v>30-34</v>
      </c>
      <c r="D5070" t="s">
        <v>7</v>
      </c>
    </row>
    <row r="5071" spans="1:4">
      <c r="A5071" t="s">
        <v>6</v>
      </c>
      <c r="B5071">
        <v>42</v>
      </c>
      <c r="C5071" t="str">
        <f>CHOOSE(MATCH(B5071, {20,25,30,35,40,45,50,55,60,65,70,75,80,85}, 1), "20-24", "25-29", "30-34", "35-39", "40-44", "45-49", "50-54", "55-59", "60-64", "65-69", "70-74", "75-79", "80-84", "85+")</f>
        <v>40-44</v>
      </c>
      <c r="D5071" t="s">
        <v>7</v>
      </c>
    </row>
    <row r="5072" spans="1:4">
      <c r="A5072" t="s">
        <v>6</v>
      </c>
      <c r="B5072">
        <v>30</v>
      </c>
      <c r="C5072" t="str">
        <f>CHOOSE(MATCH(B5072, {20,25,30,35,40,45,50,55,60,65,70,75,80,85}, 1), "20-24", "25-29", "30-34", "35-39", "40-44", "45-49", "50-54", "55-59", "60-64", "65-69", "70-74", "75-79", "80-84", "85+")</f>
        <v>30-34</v>
      </c>
      <c r="D5072" t="s">
        <v>8</v>
      </c>
    </row>
    <row r="5073" spans="1:4">
      <c r="A5073" t="s">
        <v>6</v>
      </c>
      <c r="B5073">
        <v>50</v>
      </c>
      <c r="C5073" t="str">
        <f>CHOOSE(MATCH(B5073, {20,25,30,35,40,45,50,55,60,65,70,75,80,85}, 1), "20-24", "25-29", "30-34", "35-39", "40-44", "45-49", "50-54", "55-59", "60-64", "65-69", "70-74", "75-79", "80-84", "85+")</f>
        <v>50-54</v>
      </c>
      <c r="D5073" t="s">
        <v>7</v>
      </c>
    </row>
    <row r="5074" spans="1:4">
      <c r="A5074" t="s">
        <v>6</v>
      </c>
      <c r="B5074">
        <v>49</v>
      </c>
      <c r="C5074" t="str">
        <f>CHOOSE(MATCH(B5074, {20,25,30,35,40,45,50,55,60,65,70,75,80,85}, 1), "20-24", "25-29", "30-34", "35-39", "40-44", "45-49", "50-54", "55-59", "60-64", "65-69", "70-74", "75-79", "80-84", "85+")</f>
        <v>45-49</v>
      </c>
      <c r="D5074" t="s">
        <v>8</v>
      </c>
    </row>
    <row r="5075" spans="1:4">
      <c r="A5075" t="s">
        <v>6</v>
      </c>
      <c r="B5075">
        <v>33</v>
      </c>
      <c r="C5075" t="str">
        <f>CHOOSE(MATCH(B5075, {20,25,30,35,40,45,50,55,60,65,70,75,80,85}, 1), "20-24", "25-29", "30-34", "35-39", "40-44", "45-49", "50-54", "55-59", "60-64", "65-69", "70-74", "75-79", "80-84", "85+")</f>
        <v>30-34</v>
      </c>
      <c r="D5075" t="s">
        <v>7</v>
      </c>
    </row>
    <row r="5076" spans="1:4">
      <c r="A5076" t="s">
        <v>6</v>
      </c>
      <c r="B5076">
        <v>58</v>
      </c>
      <c r="C5076" t="str">
        <f>CHOOSE(MATCH(B5076, {20,25,30,35,40,45,50,55,60,65,70,75,80,85}, 1), "20-24", "25-29", "30-34", "35-39", "40-44", "45-49", "50-54", "55-59", "60-64", "65-69", "70-74", "75-79", "80-84", "85+")</f>
        <v>55-59</v>
      </c>
      <c r="D5076" t="s">
        <v>7</v>
      </c>
    </row>
    <row r="5077" spans="1:4">
      <c r="A5077" t="s">
        <v>6</v>
      </c>
      <c r="B5077">
        <v>66</v>
      </c>
      <c r="C5077" t="str">
        <f>CHOOSE(MATCH(B5077, {20,25,30,35,40,45,50,55,60,65,70,75,80,85}, 1), "20-24", "25-29", "30-34", "35-39", "40-44", "45-49", "50-54", "55-59", "60-64", "65-69", "70-74", "75-79", "80-84", "85+")</f>
        <v>65-69</v>
      </c>
      <c r="D5077" t="s">
        <v>8</v>
      </c>
    </row>
    <row r="5078" spans="1:4">
      <c r="A5078" t="s">
        <v>6</v>
      </c>
      <c r="B5078">
        <v>44</v>
      </c>
      <c r="C5078" t="str">
        <f>CHOOSE(MATCH(B5078, {20,25,30,35,40,45,50,55,60,65,70,75,80,85}, 1), "20-24", "25-29", "30-34", "35-39", "40-44", "45-49", "50-54", "55-59", "60-64", "65-69", "70-74", "75-79", "80-84", "85+")</f>
        <v>40-44</v>
      </c>
      <c r="D5078" t="s">
        <v>7</v>
      </c>
    </row>
    <row r="5079" spans="1:4">
      <c r="A5079" t="s">
        <v>6</v>
      </c>
      <c r="B5079">
        <v>29</v>
      </c>
      <c r="C5079" t="str">
        <f>CHOOSE(MATCH(B5079, {20,25,30,35,40,45,50,55,60,65,70,75,80,85}, 1), "20-24", "25-29", "30-34", "35-39", "40-44", "45-49", "50-54", "55-59", "60-64", "65-69", "70-74", "75-79", "80-84", "85+")</f>
        <v>25-29</v>
      </c>
      <c r="D5079" t="s">
        <v>7</v>
      </c>
    </row>
    <row r="5080" spans="1:4">
      <c r="A5080" t="s">
        <v>6</v>
      </c>
      <c r="B5080">
        <v>44</v>
      </c>
      <c r="C5080" t="str">
        <f>CHOOSE(MATCH(B5080, {20,25,30,35,40,45,50,55,60,65,70,75,80,85}, 1), "20-24", "25-29", "30-34", "35-39", "40-44", "45-49", "50-54", "55-59", "60-64", "65-69", "70-74", "75-79", "80-84", "85+")</f>
        <v>40-44</v>
      </c>
      <c r="D5080" t="s">
        <v>7</v>
      </c>
    </row>
    <row r="5081" spans="1:4">
      <c r="A5081" t="s">
        <v>6</v>
      </c>
      <c r="B5081">
        <v>37</v>
      </c>
      <c r="C5081" t="str">
        <f>CHOOSE(MATCH(B5081, {20,25,30,35,40,45,50,55,60,65,70,75,80,85}, 1), "20-24", "25-29", "30-34", "35-39", "40-44", "45-49", "50-54", "55-59", "60-64", "65-69", "70-74", "75-79", "80-84", "85+")</f>
        <v>35-39</v>
      </c>
      <c r="D5081" t="s">
        <v>8</v>
      </c>
    </row>
    <row r="5082" spans="1:4">
      <c r="A5082" t="s">
        <v>6</v>
      </c>
      <c r="B5082">
        <v>35</v>
      </c>
      <c r="C5082" t="str">
        <f>CHOOSE(MATCH(B5082, {20,25,30,35,40,45,50,55,60,65,70,75,80,85}, 1), "20-24", "25-29", "30-34", "35-39", "40-44", "45-49", "50-54", "55-59", "60-64", "65-69", "70-74", "75-79", "80-84", "85+")</f>
        <v>35-39</v>
      </c>
      <c r="D5082" t="s">
        <v>7</v>
      </c>
    </row>
    <row r="5083" spans="1:4">
      <c r="A5083" t="s">
        <v>6</v>
      </c>
      <c r="B5083">
        <v>49</v>
      </c>
      <c r="C5083" t="str">
        <f>CHOOSE(MATCH(B5083, {20,25,30,35,40,45,50,55,60,65,70,75,80,85}, 1), "20-24", "25-29", "30-34", "35-39", "40-44", "45-49", "50-54", "55-59", "60-64", "65-69", "70-74", "75-79", "80-84", "85+")</f>
        <v>45-49</v>
      </c>
      <c r="D5083" t="s">
        <v>8</v>
      </c>
    </row>
    <row r="5084" spans="1:4">
      <c r="A5084" t="s">
        <v>6</v>
      </c>
      <c r="B5084">
        <v>23</v>
      </c>
      <c r="C5084" t="str">
        <f>CHOOSE(MATCH(B5084, {20,25,30,35,40,45,50,55,60,65,70,75,80,85}, 1), "20-24", "25-29", "30-34", "35-39", "40-44", "45-49", "50-54", "55-59", "60-64", "65-69", "70-74", "75-79", "80-84", "85+")</f>
        <v>20-24</v>
      </c>
      <c r="D5084" t="s">
        <v>7</v>
      </c>
    </row>
    <row r="5085" spans="1:4">
      <c r="A5085" t="s">
        <v>6</v>
      </c>
      <c r="B5085">
        <v>71</v>
      </c>
      <c r="C5085" t="str">
        <f>CHOOSE(MATCH(B5085, {20,25,30,35,40,45,50,55,60,65,70,75,80,85}, 1), "20-24", "25-29", "30-34", "35-39", "40-44", "45-49", "50-54", "55-59", "60-64", "65-69", "70-74", "75-79", "80-84", "85+")</f>
        <v>70-74</v>
      </c>
      <c r="D5085" t="s">
        <v>8</v>
      </c>
    </row>
    <row r="5086" spans="1:4">
      <c r="A5086" t="s">
        <v>6</v>
      </c>
      <c r="B5086">
        <v>25</v>
      </c>
      <c r="C5086" t="str">
        <f>CHOOSE(MATCH(B5086, {20,25,30,35,40,45,50,55,60,65,70,75,80,85}, 1), "20-24", "25-29", "30-34", "35-39", "40-44", "45-49", "50-54", "55-59", "60-64", "65-69", "70-74", "75-79", "80-84", "85+")</f>
        <v>25-29</v>
      </c>
      <c r="D5086" t="s">
        <v>8</v>
      </c>
    </row>
    <row r="5087" spans="1:4">
      <c r="A5087" t="s">
        <v>6</v>
      </c>
      <c r="B5087">
        <v>29</v>
      </c>
      <c r="C5087" t="str">
        <f>CHOOSE(MATCH(B5087, {20,25,30,35,40,45,50,55,60,65,70,75,80,85}, 1), "20-24", "25-29", "30-34", "35-39", "40-44", "45-49", "50-54", "55-59", "60-64", "65-69", "70-74", "75-79", "80-84", "85+")</f>
        <v>25-29</v>
      </c>
      <c r="D5087" t="s">
        <v>7</v>
      </c>
    </row>
    <row r="5088" spans="1:4">
      <c r="A5088" t="s">
        <v>6</v>
      </c>
      <c r="B5088">
        <v>48</v>
      </c>
      <c r="C5088" t="str">
        <f>CHOOSE(MATCH(B5088, {20,25,30,35,40,45,50,55,60,65,70,75,80,85}, 1), "20-24", "25-29", "30-34", "35-39", "40-44", "45-49", "50-54", "55-59", "60-64", "65-69", "70-74", "75-79", "80-84", "85+")</f>
        <v>45-49</v>
      </c>
      <c r="D5088" t="s">
        <v>8</v>
      </c>
    </row>
    <row r="5089" spans="1:4">
      <c r="A5089" t="s">
        <v>6</v>
      </c>
      <c r="B5089">
        <v>33</v>
      </c>
      <c r="C5089" t="str">
        <f>CHOOSE(MATCH(B5089, {20,25,30,35,40,45,50,55,60,65,70,75,80,85}, 1), "20-24", "25-29", "30-34", "35-39", "40-44", "45-49", "50-54", "55-59", "60-64", "65-69", "70-74", "75-79", "80-84", "85+")</f>
        <v>30-34</v>
      </c>
      <c r="D5089" t="s">
        <v>7</v>
      </c>
    </row>
    <row r="5090" spans="1:4">
      <c r="A5090" t="s">
        <v>6</v>
      </c>
      <c r="B5090">
        <v>30</v>
      </c>
      <c r="C5090" t="str">
        <f>CHOOSE(MATCH(B5090, {20,25,30,35,40,45,50,55,60,65,70,75,80,85}, 1), "20-24", "25-29", "30-34", "35-39", "40-44", "45-49", "50-54", "55-59", "60-64", "65-69", "70-74", "75-79", "80-84", "85+")</f>
        <v>30-34</v>
      </c>
      <c r="D5090" t="s">
        <v>7</v>
      </c>
    </row>
    <row r="5091" spans="1:4">
      <c r="A5091" t="s">
        <v>6</v>
      </c>
      <c r="B5091">
        <v>58</v>
      </c>
      <c r="C5091" t="str">
        <f>CHOOSE(MATCH(B5091, {20,25,30,35,40,45,50,55,60,65,70,75,80,85}, 1), "20-24", "25-29", "30-34", "35-39", "40-44", "45-49", "50-54", "55-59", "60-64", "65-69", "70-74", "75-79", "80-84", "85+")</f>
        <v>55-59</v>
      </c>
      <c r="D5091" t="s">
        <v>8</v>
      </c>
    </row>
    <row r="5092" spans="1:4">
      <c r="A5092" t="s">
        <v>6</v>
      </c>
      <c r="B5092">
        <v>34</v>
      </c>
      <c r="C5092" t="str">
        <f>CHOOSE(MATCH(B5092, {20,25,30,35,40,45,50,55,60,65,70,75,80,85}, 1), "20-24", "25-29", "30-34", "35-39", "40-44", "45-49", "50-54", "55-59", "60-64", "65-69", "70-74", "75-79", "80-84", "85+")</f>
        <v>30-34</v>
      </c>
      <c r="D5092" t="s">
        <v>7</v>
      </c>
    </row>
    <row r="5093" spans="1:4">
      <c r="A5093" t="s">
        <v>6</v>
      </c>
      <c r="B5093">
        <v>53</v>
      </c>
      <c r="C5093" t="str">
        <f>CHOOSE(MATCH(B5093, {20,25,30,35,40,45,50,55,60,65,70,75,80,85}, 1), "20-24", "25-29", "30-34", "35-39", "40-44", "45-49", "50-54", "55-59", "60-64", "65-69", "70-74", "75-79", "80-84", "85+")</f>
        <v>50-54</v>
      </c>
      <c r="D5093" t="s">
        <v>7</v>
      </c>
    </row>
    <row r="5094" spans="1:4">
      <c r="A5094" t="s">
        <v>6</v>
      </c>
      <c r="B5094">
        <v>39</v>
      </c>
      <c r="C5094" t="str">
        <f>CHOOSE(MATCH(B5094, {20,25,30,35,40,45,50,55,60,65,70,75,80,85}, 1), "20-24", "25-29", "30-34", "35-39", "40-44", "45-49", "50-54", "55-59", "60-64", "65-69", "70-74", "75-79", "80-84", "85+")</f>
        <v>35-39</v>
      </c>
      <c r="D5094" t="s">
        <v>8</v>
      </c>
    </row>
    <row r="5095" spans="1:4">
      <c r="A5095" t="s">
        <v>6</v>
      </c>
      <c r="B5095">
        <v>64</v>
      </c>
      <c r="C5095" t="str">
        <f>CHOOSE(MATCH(B5095, {20,25,30,35,40,45,50,55,60,65,70,75,80,85}, 1), "20-24", "25-29", "30-34", "35-39", "40-44", "45-49", "50-54", "55-59", "60-64", "65-69", "70-74", "75-79", "80-84", "85+")</f>
        <v>60-64</v>
      </c>
      <c r="D5095" t="s">
        <v>8</v>
      </c>
    </row>
    <row r="5096" spans="1:4">
      <c r="A5096" t="s">
        <v>6</v>
      </c>
      <c r="B5096">
        <v>22</v>
      </c>
      <c r="C5096" t="str">
        <f>CHOOSE(MATCH(B5096, {20,25,30,35,40,45,50,55,60,65,70,75,80,85}, 1), "20-24", "25-29", "30-34", "35-39", "40-44", "45-49", "50-54", "55-59", "60-64", "65-69", "70-74", "75-79", "80-84", "85+")</f>
        <v>20-24</v>
      </c>
      <c r="D5096" t="s">
        <v>8</v>
      </c>
    </row>
    <row r="5097" spans="1:4">
      <c r="A5097" t="s">
        <v>6</v>
      </c>
      <c r="B5097">
        <v>61</v>
      </c>
      <c r="C5097" t="str">
        <f>CHOOSE(MATCH(B5097, {20,25,30,35,40,45,50,55,60,65,70,75,80,85}, 1), "20-24", "25-29", "30-34", "35-39", "40-44", "45-49", "50-54", "55-59", "60-64", "65-69", "70-74", "75-79", "80-84", "85+")</f>
        <v>60-64</v>
      </c>
      <c r="D5097" t="s">
        <v>8</v>
      </c>
    </row>
    <row r="5098" spans="1:4">
      <c r="A5098" t="s">
        <v>6</v>
      </c>
      <c r="B5098">
        <v>32</v>
      </c>
      <c r="C5098" t="str">
        <f>CHOOSE(MATCH(B5098, {20,25,30,35,40,45,50,55,60,65,70,75,80,85}, 1), "20-24", "25-29", "30-34", "35-39", "40-44", "45-49", "50-54", "55-59", "60-64", "65-69", "70-74", "75-79", "80-84", "85+")</f>
        <v>30-34</v>
      </c>
      <c r="D5098" t="s">
        <v>7</v>
      </c>
    </row>
    <row r="5099" spans="1:4">
      <c r="A5099" t="s">
        <v>6</v>
      </c>
      <c r="B5099">
        <v>33</v>
      </c>
      <c r="C5099" t="str">
        <f>CHOOSE(MATCH(B5099, {20,25,30,35,40,45,50,55,60,65,70,75,80,85}, 1), "20-24", "25-29", "30-34", "35-39", "40-44", "45-49", "50-54", "55-59", "60-64", "65-69", "70-74", "75-79", "80-84", "85+")</f>
        <v>30-34</v>
      </c>
      <c r="D5099" t="s">
        <v>7</v>
      </c>
    </row>
    <row r="5100" spans="1:4">
      <c r="A5100" t="s">
        <v>6</v>
      </c>
      <c r="B5100">
        <v>21</v>
      </c>
      <c r="C5100" t="str">
        <f>CHOOSE(MATCH(B5100, {20,25,30,35,40,45,50,55,60,65,70,75,80,85}, 1), "20-24", "25-29", "30-34", "35-39", "40-44", "45-49", "50-54", "55-59", "60-64", "65-69", "70-74", "75-79", "80-84", "85+")</f>
        <v>20-24</v>
      </c>
      <c r="D5100" t="s">
        <v>8</v>
      </c>
    </row>
    <row r="5101" spans="1:4">
      <c r="A5101" t="s">
        <v>6</v>
      </c>
      <c r="B5101">
        <v>47</v>
      </c>
      <c r="C5101" t="str">
        <f>CHOOSE(MATCH(B5101, {20,25,30,35,40,45,50,55,60,65,70,75,80,85}, 1), "20-24", "25-29", "30-34", "35-39", "40-44", "45-49", "50-54", "55-59", "60-64", "65-69", "70-74", "75-79", "80-84", "85+")</f>
        <v>45-49</v>
      </c>
      <c r="D5101" t="s">
        <v>7</v>
      </c>
    </row>
    <row r="5102" spans="1:4">
      <c r="A5102" t="s">
        <v>6</v>
      </c>
      <c r="B5102">
        <v>50</v>
      </c>
      <c r="C5102" t="str">
        <f>CHOOSE(MATCH(B5102, {20,25,30,35,40,45,50,55,60,65,70,75,80,85}, 1), "20-24", "25-29", "30-34", "35-39", "40-44", "45-49", "50-54", "55-59", "60-64", "65-69", "70-74", "75-79", "80-84", "85+")</f>
        <v>50-54</v>
      </c>
      <c r="D5102" t="s">
        <v>8</v>
      </c>
    </row>
    <row r="5103" spans="1:4">
      <c r="A5103" t="s">
        <v>6</v>
      </c>
      <c r="B5103">
        <v>38</v>
      </c>
      <c r="C5103" t="str">
        <f>CHOOSE(MATCH(B5103, {20,25,30,35,40,45,50,55,60,65,70,75,80,85}, 1), "20-24", "25-29", "30-34", "35-39", "40-44", "45-49", "50-54", "55-59", "60-64", "65-69", "70-74", "75-79", "80-84", "85+")</f>
        <v>35-39</v>
      </c>
      <c r="D5103" t="s">
        <v>7</v>
      </c>
    </row>
    <row r="5104" spans="1:4">
      <c r="A5104" t="s">
        <v>6</v>
      </c>
      <c r="B5104">
        <v>34</v>
      </c>
      <c r="C5104" t="str">
        <f>CHOOSE(MATCH(B5104, {20,25,30,35,40,45,50,55,60,65,70,75,80,85}, 1), "20-24", "25-29", "30-34", "35-39", "40-44", "45-49", "50-54", "55-59", "60-64", "65-69", "70-74", "75-79", "80-84", "85+")</f>
        <v>30-34</v>
      </c>
      <c r="D5104" t="s">
        <v>8</v>
      </c>
    </row>
    <row r="5105" spans="1:4">
      <c r="A5105" t="s">
        <v>6</v>
      </c>
      <c r="B5105">
        <v>52</v>
      </c>
      <c r="C5105" t="str">
        <f>CHOOSE(MATCH(B5105, {20,25,30,35,40,45,50,55,60,65,70,75,80,85}, 1), "20-24", "25-29", "30-34", "35-39", "40-44", "45-49", "50-54", "55-59", "60-64", "65-69", "70-74", "75-79", "80-84", "85+")</f>
        <v>50-54</v>
      </c>
      <c r="D5105" t="s">
        <v>8</v>
      </c>
    </row>
    <row r="5106" spans="1:4">
      <c r="A5106" t="s">
        <v>6</v>
      </c>
      <c r="B5106">
        <v>51</v>
      </c>
      <c r="C5106" t="str">
        <f>CHOOSE(MATCH(B5106, {20,25,30,35,40,45,50,55,60,65,70,75,80,85}, 1), "20-24", "25-29", "30-34", "35-39", "40-44", "45-49", "50-54", "55-59", "60-64", "65-69", "70-74", "75-79", "80-84", "85+")</f>
        <v>50-54</v>
      </c>
      <c r="D5106" t="s">
        <v>7</v>
      </c>
    </row>
    <row r="5107" spans="1:4">
      <c r="A5107" t="s">
        <v>6</v>
      </c>
      <c r="B5107">
        <v>27</v>
      </c>
      <c r="C5107" t="str">
        <f>CHOOSE(MATCH(B5107, {20,25,30,35,40,45,50,55,60,65,70,75,80,85}, 1), "20-24", "25-29", "30-34", "35-39", "40-44", "45-49", "50-54", "55-59", "60-64", "65-69", "70-74", "75-79", "80-84", "85+")</f>
        <v>25-29</v>
      </c>
      <c r="D5107" t="s">
        <v>8</v>
      </c>
    </row>
    <row r="5108" spans="1:4">
      <c r="A5108" t="s">
        <v>6</v>
      </c>
      <c r="B5108">
        <v>67</v>
      </c>
      <c r="C5108" t="str">
        <f>CHOOSE(MATCH(B5108, {20,25,30,35,40,45,50,55,60,65,70,75,80,85}, 1), "20-24", "25-29", "30-34", "35-39", "40-44", "45-49", "50-54", "55-59", "60-64", "65-69", "70-74", "75-79", "80-84", "85+")</f>
        <v>65-69</v>
      </c>
      <c r="D5108" t="s">
        <v>8</v>
      </c>
    </row>
    <row r="5109" spans="1:4">
      <c r="A5109" t="s">
        <v>6</v>
      </c>
      <c r="B5109">
        <v>30</v>
      </c>
      <c r="C5109" t="str">
        <f>CHOOSE(MATCH(B5109, {20,25,30,35,40,45,50,55,60,65,70,75,80,85}, 1), "20-24", "25-29", "30-34", "35-39", "40-44", "45-49", "50-54", "55-59", "60-64", "65-69", "70-74", "75-79", "80-84", "85+")</f>
        <v>30-34</v>
      </c>
      <c r="D5109" t="s">
        <v>7</v>
      </c>
    </row>
    <row r="5110" spans="1:4">
      <c r="A5110" t="s">
        <v>6</v>
      </c>
      <c r="B5110">
        <v>36</v>
      </c>
      <c r="C5110" t="str">
        <f>CHOOSE(MATCH(B5110, {20,25,30,35,40,45,50,55,60,65,70,75,80,85}, 1), "20-24", "25-29", "30-34", "35-39", "40-44", "45-49", "50-54", "55-59", "60-64", "65-69", "70-74", "75-79", "80-84", "85+")</f>
        <v>35-39</v>
      </c>
      <c r="D5110" t="s">
        <v>7</v>
      </c>
    </row>
    <row r="5111" spans="1:4">
      <c r="A5111" t="s">
        <v>6</v>
      </c>
      <c r="B5111">
        <v>45</v>
      </c>
      <c r="C5111" t="str">
        <f>CHOOSE(MATCH(B5111, {20,25,30,35,40,45,50,55,60,65,70,75,80,85}, 1), "20-24", "25-29", "30-34", "35-39", "40-44", "45-49", "50-54", "55-59", "60-64", "65-69", "70-74", "75-79", "80-84", "85+")</f>
        <v>45-49</v>
      </c>
      <c r="D5111" t="s">
        <v>8</v>
      </c>
    </row>
    <row r="5112" spans="1:4">
      <c r="A5112" t="s">
        <v>6</v>
      </c>
      <c r="B5112">
        <v>53</v>
      </c>
      <c r="C5112" t="str">
        <f>CHOOSE(MATCH(B5112, {20,25,30,35,40,45,50,55,60,65,70,75,80,85}, 1), "20-24", "25-29", "30-34", "35-39", "40-44", "45-49", "50-54", "55-59", "60-64", "65-69", "70-74", "75-79", "80-84", "85+")</f>
        <v>50-54</v>
      </c>
      <c r="D5112" t="s">
        <v>8</v>
      </c>
    </row>
    <row r="5113" spans="1:4">
      <c r="A5113" t="s">
        <v>6</v>
      </c>
      <c r="B5113">
        <v>25</v>
      </c>
      <c r="C5113" t="str">
        <f>CHOOSE(MATCH(B5113, {20,25,30,35,40,45,50,55,60,65,70,75,80,85}, 1), "20-24", "25-29", "30-34", "35-39", "40-44", "45-49", "50-54", "55-59", "60-64", "65-69", "70-74", "75-79", "80-84", "85+")</f>
        <v>25-29</v>
      </c>
      <c r="D5113" t="s">
        <v>7</v>
      </c>
    </row>
    <row r="5114" spans="1:4">
      <c r="A5114" t="s">
        <v>6</v>
      </c>
      <c r="B5114">
        <v>22</v>
      </c>
      <c r="C5114" t="str">
        <f>CHOOSE(MATCH(B5114, {20,25,30,35,40,45,50,55,60,65,70,75,80,85}, 1), "20-24", "25-29", "30-34", "35-39", "40-44", "45-49", "50-54", "55-59", "60-64", "65-69", "70-74", "75-79", "80-84", "85+")</f>
        <v>20-24</v>
      </c>
      <c r="D5114" t="s">
        <v>8</v>
      </c>
    </row>
    <row r="5115" spans="1:4">
      <c r="A5115" t="s">
        <v>6</v>
      </c>
      <c r="B5115">
        <v>40</v>
      </c>
      <c r="C5115" t="str">
        <f>CHOOSE(MATCH(B5115, {20,25,30,35,40,45,50,55,60,65,70,75,80,85}, 1), "20-24", "25-29", "30-34", "35-39", "40-44", "45-49", "50-54", "55-59", "60-64", "65-69", "70-74", "75-79", "80-84", "85+")</f>
        <v>40-44</v>
      </c>
      <c r="D5115" t="s">
        <v>7</v>
      </c>
    </row>
    <row r="5116" spans="1:4">
      <c r="A5116" t="s">
        <v>6</v>
      </c>
      <c r="B5116">
        <v>82</v>
      </c>
      <c r="C5116" t="str">
        <f>CHOOSE(MATCH(B5116, {20,25,30,35,40,45,50,55,60,65,70,75,80,85}, 1), "20-24", "25-29", "30-34", "35-39", "40-44", "45-49", "50-54", "55-59", "60-64", "65-69", "70-74", "75-79", "80-84", "85+")</f>
        <v>80-84</v>
      </c>
      <c r="D5116" t="s">
        <v>8</v>
      </c>
    </row>
    <row r="5117" spans="1:4">
      <c r="A5117" t="s">
        <v>6</v>
      </c>
      <c r="B5117">
        <v>40</v>
      </c>
      <c r="C5117" t="str">
        <f>CHOOSE(MATCH(B5117, {20,25,30,35,40,45,50,55,60,65,70,75,80,85}, 1), "20-24", "25-29", "30-34", "35-39", "40-44", "45-49", "50-54", "55-59", "60-64", "65-69", "70-74", "75-79", "80-84", "85+")</f>
        <v>40-44</v>
      </c>
      <c r="D5117" t="s">
        <v>8</v>
      </c>
    </row>
    <row r="5118" spans="1:4">
      <c r="A5118" t="s">
        <v>6</v>
      </c>
      <c r="B5118">
        <v>80</v>
      </c>
      <c r="C5118" t="str">
        <f>CHOOSE(MATCH(B5118, {20,25,30,35,40,45,50,55,60,65,70,75,80,85}, 1), "20-24", "25-29", "30-34", "35-39", "40-44", "45-49", "50-54", "55-59", "60-64", "65-69", "70-74", "75-79", "80-84", "85+")</f>
        <v>80-84</v>
      </c>
      <c r="D5118" t="s">
        <v>8</v>
      </c>
    </row>
    <row r="5119" spans="1:4">
      <c r="A5119" t="s">
        <v>6</v>
      </c>
      <c r="B5119">
        <v>43</v>
      </c>
      <c r="C5119" t="str">
        <f>CHOOSE(MATCH(B5119, {20,25,30,35,40,45,50,55,60,65,70,75,80,85}, 1), "20-24", "25-29", "30-34", "35-39", "40-44", "45-49", "50-54", "55-59", "60-64", "65-69", "70-74", "75-79", "80-84", "85+")</f>
        <v>40-44</v>
      </c>
      <c r="D5119" t="s">
        <v>8</v>
      </c>
    </row>
    <row r="5120" spans="1:4">
      <c r="A5120" t="s">
        <v>6</v>
      </c>
      <c r="B5120">
        <v>49</v>
      </c>
      <c r="C5120" t="str">
        <f>CHOOSE(MATCH(B5120, {20,25,30,35,40,45,50,55,60,65,70,75,80,85}, 1), "20-24", "25-29", "30-34", "35-39", "40-44", "45-49", "50-54", "55-59", "60-64", "65-69", "70-74", "75-79", "80-84", "85+")</f>
        <v>45-49</v>
      </c>
      <c r="D5120" t="s">
        <v>7</v>
      </c>
    </row>
    <row r="5121" spans="1:4">
      <c r="A5121" t="s">
        <v>6</v>
      </c>
      <c r="B5121">
        <v>60</v>
      </c>
      <c r="C5121" t="str">
        <f>CHOOSE(MATCH(B5121, {20,25,30,35,40,45,50,55,60,65,70,75,80,85}, 1), "20-24", "25-29", "30-34", "35-39", "40-44", "45-49", "50-54", "55-59", "60-64", "65-69", "70-74", "75-79", "80-84", "85+")</f>
        <v>60-64</v>
      </c>
      <c r="D5121" t="s">
        <v>7</v>
      </c>
    </row>
    <row r="5122" spans="1:4">
      <c r="A5122" t="s">
        <v>6</v>
      </c>
      <c r="B5122">
        <v>39</v>
      </c>
      <c r="C5122" t="str">
        <f>CHOOSE(MATCH(B5122, {20,25,30,35,40,45,50,55,60,65,70,75,80,85}, 1), "20-24", "25-29", "30-34", "35-39", "40-44", "45-49", "50-54", "55-59", "60-64", "65-69", "70-74", "75-79", "80-84", "85+")</f>
        <v>35-39</v>
      </c>
      <c r="D5122" t="s">
        <v>7</v>
      </c>
    </row>
    <row r="5123" spans="1:4">
      <c r="A5123" t="s">
        <v>6</v>
      </c>
      <c r="B5123">
        <v>21</v>
      </c>
      <c r="C5123" t="str">
        <f>CHOOSE(MATCH(B5123, {20,25,30,35,40,45,50,55,60,65,70,75,80,85}, 1), "20-24", "25-29", "30-34", "35-39", "40-44", "45-49", "50-54", "55-59", "60-64", "65-69", "70-74", "75-79", "80-84", "85+")</f>
        <v>20-24</v>
      </c>
      <c r="D5123" t="s">
        <v>7</v>
      </c>
    </row>
    <row r="5124" spans="1:4">
      <c r="A5124" t="s">
        <v>6</v>
      </c>
      <c r="B5124">
        <v>43</v>
      </c>
      <c r="C5124" t="str">
        <f>CHOOSE(MATCH(B5124, {20,25,30,35,40,45,50,55,60,65,70,75,80,85}, 1), "20-24", "25-29", "30-34", "35-39", "40-44", "45-49", "50-54", "55-59", "60-64", "65-69", "70-74", "75-79", "80-84", "85+")</f>
        <v>40-44</v>
      </c>
      <c r="D5124" t="s">
        <v>8</v>
      </c>
    </row>
    <row r="5125" spans="1:4">
      <c r="A5125" t="s">
        <v>6</v>
      </c>
      <c r="B5125">
        <v>40</v>
      </c>
      <c r="C5125" t="str">
        <f>CHOOSE(MATCH(B5125, {20,25,30,35,40,45,50,55,60,65,70,75,80,85}, 1), "20-24", "25-29", "30-34", "35-39", "40-44", "45-49", "50-54", "55-59", "60-64", "65-69", "70-74", "75-79", "80-84", "85+")</f>
        <v>40-44</v>
      </c>
      <c r="D5125" t="s">
        <v>7</v>
      </c>
    </row>
    <row r="5126" spans="1:4">
      <c r="A5126" t="s">
        <v>6</v>
      </c>
      <c r="B5126">
        <v>34</v>
      </c>
      <c r="C5126" t="str">
        <f>CHOOSE(MATCH(B5126, {20,25,30,35,40,45,50,55,60,65,70,75,80,85}, 1), "20-24", "25-29", "30-34", "35-39", "40-44", "45-49", "50-54", "55-59", "60-64", "65-69", "70-74", "75-79", "80-84", "85+")</f>
        <v>30-34</v>
      </c>
      <c r="D5126" t="s">
        <v>8</v>
      </c>
    </row>
    <row r="5127" spans="1:4">
      <c r="A5127" t="s">
        <v>6</v>
      </c>
      <c r="B5127">
        <v>74</v>
      </c>
      <c r="C5127" t="str">
        <f>CHOOSE(MATCH(B5127, {20,25,30,35,40,45,50,55,60,65,70,75,80,85}, 1), "20-24", "25-29", "30-34", "35-39", "40-44", "45-49", "50-54", "55-59", "60-64", "65-69", "70-74", "75-79", "80-84", "85+")</f>
        <v>70-74</v>
      </c>
      <c r="D5127" t="s">
        <v>7</v>
      </c>
    </row>
    <row r="5128" spans="1:4">
      <c r="A5128" t="s">
        <v>6</v>
      </c>
      <c r="B5128">
        <v>41</v>
      </c>
      <c r="C5128" t="str">
        <f>CHOOSE(MATCH(B5128, {20,25,30,35,40,45,50,55,60,65,70,75,80,85}, 1), "20-24", "25-29", "30-34", "35-39", "40-44", "45-49", "50-54", "55-59", "60-64", "65-69", "70-74", "75-79", "80-84", "85+")</f>
        <v>40-44</v>
      </c>
      <c r="D5128" t="s">
        <v>8</v>
      </c>
    </row>
    <row r="5129" spans="1:4">
      <c r="A5129" t="s">
        <v>6</v>
      </c>
      <c r="B5129">
        <v>36</v>
      </c>
      <c r="C5129" t="str">
        <f>CHOOSE(MATCH(B5129, {20,25,30,35,40,45,50,55,60,65,70,75,80,85}, 1), "20-24", "25-29", "30-34", "35-39", "40-44", "45-49", "50-54", "55-59", "60-64", "65-69", "70-74", "75-79", "80-84", "85+")</f>
        <v>35-39</v>
      </c>
      <c r="D5129" t="s">
        <v>7</v>
      </c>
    </row>
    <row r="5130" spans="1:4">
      <c r="A5130" t="s">
        <v>6</v>
      </c>
      <c r="B5130">
        <v>43</v>
      </c>
      <c r="C5130" t="str">
        <f>CHOOSE(MATCH(B5130, {20,25,30,35,40,45,50,55,60,65,70,75,80,85}, 1), "20-24", "25-29", "30-34", "35-39", "40-44", "45-49", "50-54", "55-59", "60-64", "65-69", "70-74", "75-79", "80-84", "85+")</f>
        <v>40-44</v>
      </c>
      <c r="D5130" t="s">
        <v>7</v>
      </c>
    </row>
    <row r="5131" spans="1:4">
      <c r="A5131" t="s">
        <v>6</v>
      </c>
      <c r="B5131">
        <v>31</v>
      </c>
      <c r="C5131" t="str">
        <f>CHOOSE(MATCH(B5131, {20,25,30,35,40,45,50,55,60,65,70,75,80,85}, 1), "20-24", "25-29", "30-34", "35-39", "40-44", "45-49", "50-54", "55-59", "60-64", "65-69", "70-74", "75-79", "80-84", "85+")</f>
        <v>30-34</v>
      </c>
      <c r="D5131" t="s">
        <v>8</v>
      </c>
    </row>
    <row r="5132" spans="1:4">
      <c r="A5132" t="s">
        <v>6</v>
      </c>
      <c r="B5132">
        <v>76</v>
      </c>
      <c r="C5132" t="str">
        <f>CHOOSE(MATCH(B5132, {20,25,30,35,40,45,50,55,60,65,70,75,80,85}, 1), "20-24", "25-29", "30-34", "35-39", "40-44", "45-49", "50-54", "55-59", "60-64", "65-69", "70-74", "75-79", "80-84", "85+")</f>
        <v>75-79</v>
      </c>
      <c r="D5132" t="s">
        <v>8</v>
      </c>
    </row>
    <row r="5133" spans="1:4">
      <c r="A5133" t="s">
        <v>6</v>
      </c>
      <c r="B5133">
        <v>22</v>
      </c>
      <c r="C5133" t="str">
        <f>CHOOSE(MATCH(B5133, {20,25,30,35,40,45,50,55,60,65,70,75,80,85}, 1), "20-24", "25-29", "30-34", "35-39", "40-44", "45-49", "50-54", "55-59", "60-64", "65-69", "70-74", "75-79", "80-84", "85+")</f>
        <v>20-24</v>
      </c>
      <c r="D5133" t="s">
        <v>7</v>
      </c>
    </row>
    <row r="5134" spans="1:4">
      <c r="A5134" t="s">
        <v>6</v>
      </c>
      <c r="B5134">
        <v>36</v>
      </c>
      <c r="C5134" t="str">
        <f>CHOOSE(MATCH(B5134, {20,25,30,35,40,45,50,55,60,65,70,75,80,85}, 1), "20-24", "25-29", "30-34", "35-39", "40-44", "45-49", "50-54", "55-59", "60-64", "65-69", "70-74", "75-79", "80-84", "85+")</f>
        <v>35-39</v>
      </c>
      <c r="D5134" t="s">
        <v>8</v>
      </c>
    </row>
    <row r="5135" spans="1:4">
      <c r="A5135" t="s">
        <v>6</v>
      </c>
      <c r="B5135">
        <v>24</v>
      </c>
      <c r="C5135" t="str">
        <f>CHOOSE(MATCH(B5135, {20,25,30,35,40,45,50,55,60,65,70,75,80,85}, 1), "20-24", "25-29", "30-34", "35-39", "40-44", "45-49", "50-54", "55-59", "60-64", "65-69", "70-74", "75-79", "80-84", "85+")</f>
        <v>20-24</v>
      </c>
      <c r="D5135" t="s">
        <v>7</v>
      </c>
    </row>
    <row r="5136" spans="1:4">
      <c r="A5136" t="s">
        <v>6</v>
      </c>
      <c r="B5136">
        <v>60</v>
      </c>
      <c r="C5136" t="str">
        <f>CHOOSE(MATCH(B5136, {20,25,30,35,40,45,50,55,60,65,70,75,80,85}, 1), "20-24", "25-29", "30-34", "35-39", "40-44", "45-49", "50-54", "55-59", "60-64", "65-69", "70-74", "75-79", "80-84", "85+")</f>
        <v>60-64</v>
      </c>
      <c r="D5136" t="s">
        <v>7</v>
      </c>
    </row>
    <row r="5137" spans="1:4">
      <c r="A5137" t="s">
        <v>6</v>
      </c>
      <c r="B5137">
        <v>26</v>
      </c>
      <c r="C5137" t="str">
        <f>CHOOSE(MATCH(B5137, {20,25,30,35,40,45,50,55,60,65,70,75,80,85}, 1), "20-24", "25-29", "30-34", "35-39", "40-44", "45-49", "50-54", "55-59", "60-64", "65-69", "70-74", "75-79", "80-84", "85+")</f>
        <v>25-29</v>
      </c>
      <c r="D5137" t="s">
        <v>8</v>
      </c>
    </row>
    <row r="5138" spans="1:4">
      <c r="A5138" t="s">
        <v>6</v>
      </c>
      <c r="B5138">
        <v>25</v>
      </c>
      <c r="C5138" t="str">
        <f>CHOOSE(MATCH(B5138, {20,25,30,35,40,45,50,55,60,65,70,75,80,85}, 1), "20-24", "25-29", "30-34", "35-39", "40-44", "45-49", "50-54", "55-59", "60-64", "65-69", "70-74", "75-79", "80-84", "85+")</f>
        <v>25-29</v>
      </c>
      <c r="D5138" t="s">
        <v>8</v>
      </c>
    </row>
    <row r="5139" spans="1:4">
      <c r="A5139" t="s">
        <v>6</v>
      </c>
      <c r="B5139">
        <v>43</v>
      </c>
      <c r="C5139" t="str">
        <f>CHOOSE(MATCH(B5139, {20,25,30,35,40,45,50,55,60,65,70,75,80,85}, 1), "20-24", "25-29", "30-34", "35-39", "40-44", "45-49", "50-54", "55-59", "60-64", "65-69", "70-74", "75-79", "80-84", "85+")</f>
        <v>40-44</v>
      </c>
      <c r="D5139" t="s">
        <v>8</v>
      </c>
    </row>
    <row r="5140" spans="1:4">
      <c r="A5140" t="s">
        <v>6</v>
      </c>
      <c r="B5140">
        <v>32</v>
      </c>
      <c r="C5140" t="str">
        <f>CHOOSE(MATCH(B5140, {20,25,30,35,40,45,50,55,60,65,70,75,80,85}, 1), "20-24", "25-29", "30-34", "35-39", "40-44", "45-49", "50-54", "55-59", "60-64", "65-69", "70-74", "75-79", "80-84", "85+")</f>
        <v>30-34</v>
      </c>
      <c r="D5140" t="s">
        <v>7</v>
      </c>
    </row>
    <row r="5141" spans="1:4">
      <c r="A5141" t="s">
        <v>6</v>
      </c>
      <c r="B5141">
        <v>43</v>
      </c>
      <c r="C5141" t="str">
        <f>CHOOSE(MATCH(B5141, {20,25,30,35,40,45,50,55,60,65,70,75,80,85}, 1), "20-24", "25-29", "30-34", "35-39", "40-44", "45-49", "50-54", "55-59", "60-64", "65-69", "70-74", "75-79", "80-84", "85+")</f>
        <v>40-44</v>
      </c>
      <c r="D5141" t="s">
        <v>8</v>
      </c>
    </row>
    <row r="5142" spans="1:4">
      <c r="A5142" t="s">
        <v>6</v>
      </c>
      <c r="B5142">
        <v>35</v>
      </c>
      <c r="C5142" t="str">
        <f>CHOOSE(MATCH(B5142, {20,25,30,35,40,45,50,55,60,65,70,75,80,85}, 1), "20-24", "25-29", "30-34", "35-39", "40-44", "45-49", "50-54", "55-59", "60-64", "65-69", "70-74", "75-79", "80-84", "85+")</f>
        <v>35-39</v>
      </c>
      <c r="D5142" t="s">
        <v>8</v>
      </c>
    </row>
    <row r="5143" spans="1:4">
      <c r="A5143" t="s">
        <v>6</v>
      </c>
      <c r="B5143">
        <v>48</v>
      </c>
      <c r="C5143" t="str">
        <f>CHOOSE(MATCH(B5143, {20,25,30,35,40,45,50,55,60,65,70,75,80,85}, 1), "20-24", "25-29", "30-34", "35-39", "40-44", "45-49", "50-54", "55-59", "60-64", "65-69", "70-74", "75-79", "80-84", "85+")</f>
        <v>45-49</v>
      </c>
      <c r="D5143" t="s">
        <v>7</v>
      </c>
    </row>
    <row r="5144" spans="1:4">
      <c r="A5144" t="s">
        <v>6</v>
      </c>
      <c r="B5144">
        <v>36</v>
      </c>
      <c r="C5144" t="str">
        <f>CHOOSE(MATCH(B5144, {20,25,30,35,40,45,50,55,60,65,70,75,80,85}, 1), "20-24", "25-29", "30-34", "35-39", "40-44", "45-49", "50-54", "55-59", "60-64", "65-69", "70-74", "75-79", "80-84", "85+")</f>
        <v>35-39</v>
      </c>
      <c r="D5144" t="s">
        <v>8</v>
      </c>
    </row>
    <row r="5145" spans="1:4">
      <c r="A5145" t="s">
        <v>6</v>
      </c>
      <c r="B5145">
        <v>28</v>
      </c>
      <c r="C5145" t="str">
        <f>CHOOSE(MATCH(B5145, {20,25,30,35,40,45,50,55,60,65,70,75,80,85}, 1), "20-24", "25-29", "30-34", "35-39", "40-44", "45-49", "50-54", "55-59", "60-64", "65-69", "70-74", "75-79", "80-84", "85+")</f>
        <v>25-29</v>
      </c>
      <c r="D5145" t="s">
        <v>8</v>
      </c>
    </row>
    <row r="5146" spans="1:4">
      <c r="A5146" t="s">
        <v>6</v>
      </c>
      <c r="B5146">
        <v>92</v>
      </c>
      <c r="C5146" t="str">
        <f>CHOOSE(MATCH(B5146, {20,25,30,35,40,45,50,55,60,65,70,75,80,85}, 1), "20-24", "25-29", "30-34", "35-39", "40-44", "45-49", "50-54", "55-59", "60-64", "65-69", "70-74", "75-79", "80-84", "85+")</f>
        <v>85+</v>
      </c>
      <c r="D5146" t="s">
        <v>7</v>
      </c>
    </row>
    <row r="5147" spans="1:4">
      <c r="A5147" t="s">
        <v>6</v>
      </c>
      <c r="B5147">
        <v>32</v>
      </c>
      <c r="C5147" t="str">
        <f>CHOOSE(MATCH(B5147, {20,25,30,35,40,45,50,55,60,65,70,75,80,85}, 1), "20-24", "25-29", "30-34", "35-39", "40-44", "45-49", "50-54", "55-59", "60-64", "65-69", "70-74", "75-79", "80-84", "85+")</f>
        <v>30-34</v>
      </c>
      <c r="D5147" t="s">
        <v>7</v>
      </c>
    </row>
    <row r="5148" spans="1:4">
      <c r="A5148" t="s">
        <v>6</v>
      </c>
      <c r="B5148">
        <v>23</v>
      </c>
      <c r="C5148" t="str">
        <f>CHOOSE(MATCH(B5148, {20,25,30,35,40,45,50,55,60,65,70,75,80,85}, 1), "20-24", "25-29", "30-34", "35-39", "40-44", "45-49", "50-54", "55-59", "60-64", "65-69", "70-74", "75-79", "80-84", "85+")</f>
        <v>20-24</v>
      </c>
      <c r="D5148" t="s">
        <v>8</v>
      </c>
    </row>
    <row r="5149" spans="1:4">
      <c r="A5149" t="s">
        <v>6</v>
      </c>
      <c r="B5149">
        <v>84</v>
      </c>
      <c r="C5149" t="str">
        <f>CHOOSE(MATCH(B5149, {20,25,30,35,40,45,50,55,60,65,70,75,80,85}, 1), "20-24", "25-29", "30-34", "35-39", "40-44", "45-49", "50-54", "55-59", "60-64", "65-69", "70-74", "75-79", "80-84", "85+")</f>
        <v>80-84</v>
      </c>
      <c r="D5149" t="s">
        <v>7</v>
      </c>
    </row>
    <row r="5150" spans="1:4">
      <c r="A5150" t="s">
        <v>6</v>
      </c>
      <c r="B5150">
        <v>47</v>
      </c>
      <c r="C5150" t="str">
        <f>CHOOSE(MATCH(B5150, {20,25,30,35,40,45,50,55,60,65,70,75,80,85}, 1), "20-24", "25-29", "30-34", "35-39", "40-44", "45-49", "50-54", "55-59", "60-64", "65-69", "70-74", "75-79", "80-84", "85+")</f>
        <v>45-49</v>
      </c>
      <c r="D5150" t="s">
        <v>8</v>
      </c>
    </row>
    <row r="5151" spans="1:4">
      <c r="A5151" t="s">
        <v>6</v>
      </c>
      <c r="B5151">
        <v>58</v>
      </c>
      <c r="C5151" t="str">
        <f>CHOOSE(MATCH(B5151, {20,25,30,35,40,45,50,55,60,65,70,75,80,85}, 1), "20-24", "25-29", "30-34", "35-39", "40-44", "45-49", "50-54", "55-59", "60-64", "65-69", "70-74", "75-79", "80-84", "85+")</f>
        <v>55-59</v>
      </c>
      <c r="D5151" t="s">
        <v>7</v>
      </c>
    </row>
    <row r="5152" spans="1:4">
      <c r="A5152" t="s">
        <v>6</v>
      </c>
      <c r="B5152">
        <v>43</v>
      </c>
      <c r="C5152" t="str">
        <f>CHOOSE(MATCH(B5152, {20,25,30,35,40,45,50,55,60,65,70,75,80,85}, 1), "20-24", "25-29", "30-34", "35-39", "40-44", "45-49", "50-54", "55-59", "60-64", "65-69", "70-74", "75-79", "80-84", "85+")</f>
        <v>40-44</v>
      </c>
      <c r="D5152" t="s">
        <v>8</v>
      </c>
    </row>
    <row r="5153" spans="1:4">
      <c r="A5153" t="s">
        <v>6</v>
      </c>
      <c r="B5153">
        <v>43</v>
      </c>
      <c r="C5153" t="str">
        <f>CHOOSE(MATCH(B5153, {20,25,30,35,40,45,50,55,60,65,70,75,80,85}, 1), "20-24", "25-29", "30-34", "35-39", "40-44", "45-49", "50-54", "55-59", "60-64", "65-69", "70-74", "75-79", "80-84", "85+")</f>
        <v>40-44</v>
      </c>
      <c r="D5153" t="s">
        <v>8</v>
      </c>
    </row>
    <row r="5154" spans="1:4">
      <c r="A5154" t="s">
        <v>6</v>
      </c>
      <c r="B5154">
        <v>30</v>
      </c>
      <c r="C5154" t="str">
        <f>CHOOSE(MATCH(B5154, {20,25,30,35,40,45,50,55,60,65,70,75,80,85}, 1), "20-24", "25-29", "30-34", "35-39", "40-44", "45-49", "50-54", "55-59", "60-64", "65-69", "70-74", "75-79", "80-84", "85+")</f>
        <v>30-34</v>
      </c>
      <c r="D5154" t="s">
        <v>8</v>
      </c>
    </row>
    <row r="5155" spans="1:4">
      <c r="A5155" t="s">
        <v>6</v>
      </c>
      <c r="B5155">
        <v>51</v>
      </c>
      <c r="C5155" t="str">
        <f>CHOOSE(MATCH(B5155, {20,25,30,35,40,45,50,55,60,65,70,75,80,85}, 1), "20-24", "25-29", "30-34", "35-39", "40-44", "45-49", "50-54", "55-59", "60-64", "65-69", "70-74", "75-79", "80-84", "85+")</f>
        <v>50-54</v>
      </c>
      <c r="D5155" t="s">
        <v>7</v>
      </c>
    </row>
    <row r="5156" spans="1:4">
      <c r="A5156" t="s">
        <v>6</v>
      </c>
      <c r="B5156">
        <v>31</v>
      </c>
      <c r="C5156" t="str">
        <f>CHOOSE(MATCH(B5156, {20,25,30,35,40,45,50,55,60,65,70,75,80,85}, 1), "20-24", "25-29", "30-34", "35-39", "40-44", "45-49", "50-54", "55-59", "60-64", "65-69", "70-74", "75-79", "80-84", "85+")</f>
        <v>30-34</v>
      </c>
      <c r="D5156" t="s">
        <v>7</v>
      </c>
    </row>
    <row r="5157" spans="1:4">
      <c r="A5157" t="s">
        <v>6</v>
      </c>
      <c r="B5157">
        <v>49</v>
      </c>
      <c r="C5157" t="str">
        <f>CHOOSE(MATCH(B5157, {20,25,30,35,40,45,50,55,60,65,70,75,80,85}, 1), "20-24", "25-29", "30-34", "35-39", "40-44", "45-49", "50-54", "55-59", "60-64", "65-69", "70-74", "75-79", "80-84", "85+")</f>
        <v>45-49</v>
      </c>
      <c r="D5157" t="s">
        <v>7</v>
      </c>
    </row>
    <row r="5158" spans="1:4">
      <c r="A5158" t="s">
        <v>6</v>
      </c>
      <c r="B5158">
        <v>34</v>
      </c>
      <c r="C5158" t="str">
        <f>CHOOSE(MATCH(B5158, {20,25,30,35,40,45,50,55,60,65,70,75,80,85}, 1), "20-24", "25-29", "30-34", "35-39", "40-44", "45-49", "50-54", "55-59", "60-64", "65-69", "70-74", "75-79", "80-84", "85+")</f>
        <v>30-34</v>
      </c>
      <c r="D5158" t="s">
        <v>7</v>
      </c>
    </row>
    <row r="5159" spans="1:4">
      <c r="A5159" t="s">
        <v>6</v>
      </c>
      <c r="B5159">
        <v>49</v>
      </c>
      <c r="C5159" t="str">
        <f>CHOOSE(MATCH(B5159, {20,25,30,35,40,45,50,55,60,65,70,75,80,85}, 1), "20-24", "25-29", "30-34", "35-39", "40-44", "45-49", "50-54", "55-59", "60-64", "65-69", "70-74", "75-79", "80-84", "85+")</f>
        <v>45-49</v>
      </c>
      <c r="D5159" t="s">
        <v>8</v>
      </c>
    </row>
    <row r="5160" spans="1:4">
      <c r="A5160" t="s">
        <v>6</v>
      </c>
      <c r="B5160">
        <v>23</v>
      </c>
      <c r="C5160" t="str">
        <f>CHOOSE(MATCH(B5160, {20,25,30,35,40,45,50,55,60,65,70,75,80,85}, 1), "20-24", "25-29", "30-34", "35-39", "40-44", "45-49", "50-54", "55-59", "60-64", "65-69", "70-74", "75-79", "80-84", "85+")</f>
        <v>20-24</v>
      </c>
      <c r="D5160" t="s">
        <v>7</v>
      </c>
    </row>
    <row r="5161" spans="1:4">
      <c r="A5161" t="s">
        <v>6</v>
      </c>
      <c r="B5161">
        <v>38</v>
      </c>
      <c r="C5161" t="str">
        <f>CHOOSE(MATCH(B5161, {20,25,30,35,40,45,50,55,60,65,70,75,80,85}, 1), "20-24", "25-29", "30-34", "35-39", "40-44", "45-49", "50-54", "55-59", "60-64", "65-69", "70-74", "75-79", "80-84", "85+")</f>
        <v>35-39</v>
      </c>
      <c r="D5161" t="s">
        <v>8</v>
      </c>
    </row>
    <row r="5162" spans="1:4">
      <c r="A5162" t="s">
        <v>6</v>
      </c>
      <c r="B5162">
        <v>44</v>
      </c>
      <c r="C5162" t="str">
        <f>CHOOSE(MATCH(B5162, {20,25,30,35,40,45,50,55,60,65,70,75,80,85}, 1), "20-24", "25-29", "30-34", "35-39", "40-44", "45-49", "50-54", "55-59", "60-64", "65-69", "70-74", "75-79", "80-84", "85+")</f>
        <v>40-44</v>
      </c>
      <c r="D5162" t="s">
        <v>8</v>
      </c>
    </row>
    <row r="5163" spans="1:4">
      <c r="A5163" t="s">
        <v>6</v>
      </c>
      <c r="B5163">
        <v>80</v>
      </c>
      <c r="C5163" t="str">
        <f>CHOOSE(MATCH(B5163, {20,25,30,35,40,45,50,55,60,65,70,75,80,85}, 1), "20-24", "25-29", "30-34", "35-39", "40-44", "45-49", "50-54", "55-59", "60-64", "65-69", "70-74", "75-79", "80-84", "85+")</f>
        <v>80-84</v>
      </c>
      <c r="D5163" t="s">
        <v>8</v>
      </c>
    </row>
    <row r="5164" spans="1:4">
      <c r="A5164" t="s">
        <v>6</v>
      </c>
      <c r="B5164">
        <v>45</v>
      </c>
      <c r="C5164" t="str">
        <f>CHOOSE(MATCH(B5164, {20,25,30,35,40,45,50,55,60,65,70,75,80,85}, 1), "20-24", "25-29", "30-34", "35-39", "40-44", "45-49", "50-54", "55-59", "60-64", "65-69", "70-74", "75-79", "80-84", "85+")</f>
        <v>45-49</v>
      </c>
      <c r="D5164" t="s">
        <v>7</v>
      </c>
    </row>
    <row r="5165" spans="1:4">
      <c r="A5165" t="s">
        <v>6</v>
      </c>
      <c r="B5165">
        <v>51</v>
      </c>
      <c r="C5165" t="str">
        <f>CHOOSE(MATCH(B5165, {20,25,30,35,40,45,50,55,60,65,70,75,80,85}, 1), "20-24", "25-29", "30-34", "35-39", "40-44", "45-49", "50-54", "55-59", "60-64", "65-69", "70-74", "75-79", "80-84", "85+")</f>
        <v>50-54</v>
      </c>
      <c r="D5165" t="s">
        <v>7</v>
      </c>
    </row>
    <row r="5166" spans="1:4">
      <c r="A5166" t="s">
        <v>6</v>
      </c>
      <c r="B5166">
        <v>26</v>
      </c>
      <c r="C5166" t="str">
        <f>CHOOSE(MATCH(B5166, {20,25,30,35,40,45,50,55,60,65,70,75,80,85}, 1), "20-24", "25-29", "30-34", "35-39", "40-44", "45-49", "50-54", "55-59", "60-64", "65-69", "70-74", "75-79", "80-84", "85+")</f>
        <v>25-29</v>
      </c>
      <c r="D5166" t="s">
        <v>8</v>
      </c>
    </row>
    <row r="5167" spans="1:4">
      <c r="A5167" t="s">
        <v>6</v>
      </c>
      <c r="B5167">
        <v>63</v>
      </c>
      <c r="C5167" t="str">
        <f>CHOOSE(MATCH(B5167, {20,25,30,35,40,45,50,55,60,65,70,75,80,85}, 1), "20-24", "25-29", "30-34", "35-39", "40-44", "45-49", "50-54", "55-59", "60-64", "65-69", "70-74", "75-79", "80-84", "85+")</f>
        <v>60-64</v>
      </c>
      <c r="D5167" t="s">
        <v>8</v>
      </c>
    </row>
    <row r="5168" spans="1:4">
      <c r="A5168" t="s">
        <v>6</v>
      </c>
      <c r="B5168">
        <v>56</v>
      </c>
      <c r="C5168" t="str">
        <f>CHOOSE(MATCH(B5168, {20,25,30,35,40,45,50,55,60,65,70,75,80,85}, 1), "20-24", "25-29", "30-34", "35-39", "40-44", "45-49", "50-54", "55-59", "60-64", "65-69", "70-74", "75-79", "80-84", "85+")</f>
        <v>55-59</v>
      </c>
      <c r="D5168" t="s">
        <v>7</v>
      </c>
    </row>
    <row r="5169" spans="1:4">
      <c r="A5169" t="s">
        <v>6</v>
      </c>
      <c r="B5169">
        <v>27</v>
      </c>
      <c r="C5169" t="str">
        <f>CHOOSE(MATCH(B5169, {20,25,30,35,40,45,50,55,60,65,70,75,80,85}, 1), "20-24", "25-29", "30-34", "35-39", "40-44", "45-49", "50-54", "55-59", "60-64", "65-69", "70-74", "75-79", "80-84", "85+")</f>
        <v>25-29</v>
      </c>
      <c r="D5169" t="s">
        <v>7</v>
      </c>
    </row>
    <row r="5170" spans="1:4">
      <c r="A5170" t="s">
        <v>6</v>
      </c>
      <c r="B5170">
        <v>61</v>
      </c>
      <c r="C5170" t="str">
        <f>CHOOSE(MATCH(B5170, {20,25,30,35,40,45,50,55,60,65,70,75,80,85}, 1), "20-24", "25-29", "30-34", "35-39", "40-44", "45-49", "50-54", "55-59", "60-64", "65-69", "70-74", "75-79", "80-84", "85+")</f>
        <v>60-64</v>
      </c>
      <c r="D5170" t="s">
        <v>8</v>
      </c>
    </row>
    <row r="5171" spans="1:4">
      <c r="A5171" t="s">
        <v>6</v>
      </c>
      <c r="B5171">
        <v>38</v>
      </c>
      <c r="C5171" t="str">
        <f>CHOOSE(MATCH(B5171, {20,25,30,35,40,45,50,55,60,65,70,75,80,85}, 1), "20-24", "25-29", "30-34", "35-39", "40-44", "45-49", "50-54", "55-59", "60-64", "65-69", "70-74", "75-79", "80-84", "85+")</f>
        <v>35-39</v>
      </c>
      <c r="D5171" t="s">
        <v>7</v>
      </c>
    </row>
    <row r="5172" spans="1:4">
      <c r="A5172" t="s">
        <v>6</v>
      </c>
      <c r="B5172">
        <v>44</v>
      </c>
      <c r="C5172" t="str">
        <f>CHOOSE(MATCH(B5172, {20,25,30,35,40,45,50,55,60,65,70,75,80,85}, 1), "20-24", "25-29", "30-34", "35-39", "40-44", "45-49", "50-54", "55-59", "60-64", "65-69", "70-74", "75-79", "80-84", "85+")</f>
        <v>40-44</v>
      </c>
      <c r="D5172" t="s">
        <v>8</v>
      </c>
    </row>
    <row r="5173" spans="1:4">
      <c r="A5173" t="s">
        <v>6</v>
      </c>
      <c r="B5173">
        <v>41</v>
      </c>
      <c r="C5173" t="str">
        <f>CHOOSE(MATCH(B5173, {20,25,30,35,40,45,50,55,60,65,70,75,80,85}, 1), "20-24", "25-29", "30-34", "35-39", "40-44", "45-49", "50-54", "55-59", "60-64", "65-69", "70-74", "75-79", "80-84", "85+")</f>
        <v>40-44</v>
      </c>
      <c r="D5173" t="s">
        <v>7</v>
      </c>
    </row>
    <row r="5174" spans="1:4">
      <c r="A5174" t="s">
        <v>6</v>
      </c>
      <c r="B5174">
        <v>51</v>
      </c>
      <c r="C5174" t="str">
        <f>CHOOSE(MATCH(B5174, {20,25,30,35,40,45,50,55,60,65,70,75,80,85}, 1), "20-24", "25-29", "30-34", "35-39", "40-44", "45-49", "50-54", "55-59", "60-64", "65-69", "70-74", "75-79", "80-84", "85+")</f>
        <v>50-54</v>
      </c>
      <c r="D5174" t="s">
        <v>7</v>
      </c>
    </row>
    <row r="5175" spans="1:4">
      <c r="A5175" t="s">
        <v>6</v>
      </c>
      <c r="B5175">
        <v>39</v>
      </c>
      <c r="C5175" t="str">
        <f>CHOOSE(MATCH(B5175, {20,25,30,35,40,45,50,55,60,65,70,75,80,85}, 1), "20-24", "25-29", "30-34", "35-39", "40-44", "45-49", "50-54", "55-59", "60-64", "65-69", "70-74", "75-79", "80-84", "85+")</f>
        <v>35-39</v>
      </c>
      <c r="D5175" t="s">
        <v>8</v>
      </c>
    </row>
    <row r="5176" spans="1:4">
      <c r="A5176" t="s">
        <v>6</v>
      </c>
      <c r="B5176">
        <v>44</v>
      </c>
      <c r="C5176" t="str">
        <f>CHOOSE(MATCH(B5176, {20,25,30,35,40,45,50,55,60,65,70,75,80,85}, 1), "20-24", "25-29", "30-34", "35-39", "40-44", "45-49", "50-54", "55-59", "60-64", "65-69", "70-74", "75-79", "80-84", "85+")</f>
        <v>40-44</v>
      </c>
      <c r="D5176" t="s">
        <v>7</v>
      </c>
    </row>
    <row r="5177" spans="1:4">
      <c r="A5177" t="s">
        <v>6</v>
      </c>
      <c r="B5177">
        <v>28</v>
      </c>
      <c r="C5177" t="str">
        <f>CHOOSE(MATCH(B5177, {20,25,30,35,40,45,50,55,60,65,70,75,80,85}, 1), "20-24", "25-29", "30-34", "35-39", "40-44", "45-49", "50-54", "55-59", "60-64", "65-69", "70-74", "75-79", "80-84", "85+")</f>
        <v>25-29</v>
      </c>
      <c r="D5177" t="s">
        <v>8</v>
      </c>
    </row>
    <row r="5178" spans="1:4">
      <c r="A5178" t="s">
        <v>6</v>
      </c>
      <c r="B5178">
        <v>24</v>
      </c>
      <c r="C5178" t="str">
        <f>CHOOSE(MATCH(B5178, {20,25,30,35,40,45,50,55,60,65,70,75,80,85}, 1), "20-24", "25-29", "30-34", "35-39", "40-44", "45-49", "50-54", "55-59", "60-64", "65-69", "70-74", "75-79", "80-84", "85+")</f>
        <v>20-24</v>
      </c>
      <c r="D5178" t="s">
        <v>7</v>
      </c>
    </row>
    <row r="5179" spans="1:4">
      <c r="A5179" t="s">
        <v>6</v>
      </c>
      <c r="B5179">
        <v>34</v>
      </c>
      <c r="C5179" t="str">
        <f>CHOOSE(MATCH(B5179, {20,25,30,35,40,45,50,55,60,65,70,75,80,85}, 1), "20-24", "25-29", "30-34", "35-39", "40-44", "45-49", "50-54", "55-59", "60-64", "65-69", "70-74", "75-79", "80-84", "85+")</f>
        <v>30-34</v>
      </c>
      <c r="D5179" t="s">
        <v>7</v>
      </c>
    </row>
    <row r="5180" spans="1:4">
      <c r="A5180" t="s">
        <v>6</v>
      </c>
      <c r="B5180">
        <v>47</v>
      </c>
      <c r="C5180" t="str">
        <f>CHOOSE(MATCH(B5180, {20,25,30,35,40,45,50,55,60,65,70,75,80,85}, 1), "20-24", "25-29", "30-34", "35-39", "40-44", "45-49", "50-54", "55-59", "60-64", "65-69", "70-74", "75-79", "80-84", "85+")</f>
        <v>45-49</v>
      </c>
      <c r="D5180" t="s">
        <v>8</v>
      </c>
    </row>
    <row r="5181" spans="1:4">
      <c r="A5181" t="s">
        <v>6</v>
      </c>
      <c r="B5181">
        <v>51</v>
      </c>
      <c r="C5181" t="str">
        <f>CHOOSE(MATCH(B5181, {20,25,30,35,40,45,50,55,60,65,70,75,80,85}, 1), "20-24", "25-29", "30-34", "35-39", "40-44", "45-49", "50-54", "55-59", "60-64", "65-69", "70-74", "75-79", "80-84", "85+")</f>
        <v>50-54</v>
      </c>
      <c r="D5181" t="s">
        <v>7</v>
      </c>
    </row>
    <row r="5182" spans="1:4">
      <c r="A5182" t="s">
        <v>6</v>
      </c>
      <c r="B5182">
        <v>28</v>
      </c>
      <c r="C5182" t="str">
        <f>CHOOSE(MATCH(B5182, {20,25,30,35,40,45,50,55,60,65,70,75,80,85}, 1), "20-24", "25-29", "30-34", "35-39", "40-44", "45-49", "50-54", "55-59", "60-64", "65-69", "70-74", "75-79", "80-84", "85+")</f>
        <v>25-29</v>
      </c>
      <c r="D5182" t="s">
        <v>7</v>
      </c>
    </row>
    <row r="5183" spans="1:4">
      <c r="A5183" t="s">
        <v>6</v>
      </c>
      <c r="B5183">
        <v>47</v>
      </c>
      <c r="C5183" t="str">
        <f>CHOOSE(MATCH(B5183, {20,25,30,35,40,45,50,55,60,65,70,75,80,85}, 1), "20-24", "25-29", "30-34", "35-39", "40-44", "45-49", "50-54", "55-59", "60-64", "65-69", "70-74", "75-79", "80-84", "85+")</f>
        <v>45-49</v>
      </c>
      <c r="D5183" t="s">
        <v>8</v>
      </c>
    </row>
    <row r="5184" spans="1:4">
      <c r="A5184" t="s">
        <v>6</v>
      </c>
      <c r="B5184">
        <v>34</v>
      </c>
      <c r="C5184" t="str">
        <f>CHOOSE(MATCH(B5184, {20,25,30,35,40,45,50,55,60,65,70,75,80,85}, 1), "20-24", "25-29", "30-34", "35-39", "40-44", "45-49", "50-54", "55-59", "60-64", "65-69", "70-74", "75-79", "80-84", "85+")</f>
        <v>30-34</v>
      </c>
      <c r="D5184" t="s">
        <v>7</v>
      </c>
    </row>
    <row r="5185" spans="1:4">
      <c r="A5185" t="s">
        <v>6</v>
      </c>
      <c r="B5185">
        <v>49</v>
      </c>
      <c r="C5185" t="str">
        <f>CHOOSE(MATCH(B5185, {20,25,30,35,40,45,50,55,60,65,70,75,80,85}, 1), "20-24", "25-29", "30-34", "35-39", "40-44", "45-49", "50-54", "55-59", "60-64", "65-69", "70-74", "75-79", "80-84", "85+")</f>
        <v>45-49</v>
      </c>
      <c r="D5185" t="s">
        <v>8</v>
      </c>
    </row>
    <row r="5186" spans="1:4">
      <c r="A5186" t="s">
        <v>6</v>
      </c>
      <c r="B5186">
        <v>76</v>
      </c>
      <c r="C5186" t="str">
        <f>CHOOSE(MATCH(B5186, {20,25,30,35,40,45,50,55,60,65,70,75,80,85}, 1), "20-24", "25-29", "30-34", "35-39", "40-44", "45-49", "50-54", "55-59", "60-64", "65-69", "70-74", "75-79", "80-84", "85+")</f>
        <v>75-79</v>
      </c>
      <c r="D5186" t="s">
        <v>7</v>
      </c>
    </row>
    <row r="5187" spans="1:4">
      <c r="A5187" t="s">
        <v>6</v>
      </c>
      <c r="B5187">
        <v>34</v>
      </c>
      <c r="C5187" t="str">
        <f>CHOOSE(MATCH(B5187, {20,25,30,35,40,45,50,55,60,65,70,75,80,85}, 1), "20-24", "25-29", "30-34", "35-39", "40-44", "45-49", "50-54", "55-59", "60-64", "65-69", "70-74", "75-79", "80-84", "85+")</f>
        <v>30-34</v>
      </c>
      <c r="D5187" t="s">
        <v>7</v>
      </c>
    </row>
    <row r="5188" spans="1:4">
      <c r="A5188" t="s">
        <v>6</v>
      </c>
      <c r="B5188">
        <v>71</v>
      </c>
      <c r="C5188" t="str">
        <f>CHOOSE(MATCH(B5188, {20,25,30,35,40,45,50,55,60,65,70,75,80,85}, 1), "20-24", "25-29", "30-34", "35-39", "40-44", "45-49", "50-54", "55-59", "60-64", "65-69", "70-74", "75-79", "80-84", "85+")</f>
        <v>70-74</v>
      </c>
      <c r="D5188" t="s">
        <v>7</v>
      </c>
    </row>
    <row r="5189" spans="1:4">
      <c r="A5189" t="s">
        <v>6</v>
      </c>
      <c r="B5189">
        <v>63</v>
      </c>
      <c r="C5189" t="str">
        <f>CHOOSE(MATCH(B5189, {20,25,30,35,40,45,50,55,60,65,70,75,80,85}, 1), "20-24", "25-29", "30-34", "35-39", "40-44", "45-49", "50-54", "55-59", "60-64", "65-69", "70-74", "75-79", "80-84", "85+")</f>
        <v>60-64</v>
      </c>
      <c r="D5189" t="s">
        <v>7</v>
      </c>
    </row>
    <row r="5190" spans="1:4">
      <c r="A5190" t="s">
        <v>6</v>
      </c>
      <c r="B5190">
        <v>63</v>
      </c>
      <c r="C5190" t="str">
        <f>CHOOSE(MATCH(B5190, {20,25,30,35,40,45,50,55,60,65,70,75,80,85}, 1), "20-24", "25-29", "30-34", "35-39", "40-44", "45-49", "50-54", "55-59", "60-64", "65-69", "70-74", "75-79", "80-84", "85+")</f>
        <v>60-64</v>
      </c>
      <c r="D5190" t="s">
        <v>8</v>
      </c>
    </row>
    <row r="5191" spans="1:4">
      <c r="A5191" t="s">
        <v>6</v>
      </c>
      <c r="B5191">
        <v>30</v>
      </c>
      <c r="C5191" t="str">
        <f>CHOOSE(MATCH(B5191, {20,25,30,35,40,45,50,55,60,65,70,75,80,85}, 1), "20-24", "25-29", "30-34", "35-39", "40-44", "45-49", "50-54", "55-59", "60-64", "65-69", "70-74", "75-79", "80-84", "85+")</f>
        <v>30-34</v>
      </c>
      <c r="D5191" t="s">
        <v>7</v>
      </c>
    </row>
    <row r="5192" spans="1:4">
      <c r="A5192" t="s">
        <v>6</v>
      </c>
      <c r="B5192">
        <v>46</v>
      </c>
      <c r="C5192" t="str">
        <f>CHOOSE(MATCH(B5192, {20,25,30,35,40,45,50,55,60,65,70,75,80,85}, 1), "20-24", "25-29", "30-34", "35-39", "40-44", "45-49", "50-54", "55-59", "60-64", "65-69", "70-74", "75-79", "80-84", "85+")</f>
        <v>45-49</v>
      </c>
      <c r="D5192" t="s">
        <v>7</v>
      </c>
    </row>
    <row r="5193" spans="1:4">
      <c r="A5193" t="s">
        <v>6</v>
      </c>
      <c r="B5193">
        <v>50</v>
      </c>
      <c r="C5193" t="str">
        <f>CHOOSE(MATCH(B5193, {20,25,30,35,40,45,50,55,60,65,70,75,80,85}, 1), "20-24", "25-29", "30-34", "35-39", "40-44", "45-49", "50-54", "55-59", "60-64", "65-69", "70-74", "75-79", "80-84", "85+")</f>
        <v>50-54</v>
      </c>
      <c r="D5193" t="s">
        <v>8</v>
      </c>
    </row>
    <row r="5194" spans="1:4">
      <c r="A5194" t="s">
        <v>6</v>
      </c>
      <c r="B5194">
        <v>35</v>
      </c>
      <c r="C5194" t="str">
        <f>CHOOSE(MATCH(B5194, {20,25,30,35,40,45,50,55,60,65,70,75,80,85}, 1), "20-24", "25-29", "30-34", "35-39", "40-44", "45-49", "50-54", "55-59", "60-64", "65-69", "70-74", "75-79", "80-84", "85+")</f>
        <v>35-39</v>
      </c>
      <c r="D5194" t="s">
        <v>8</v>
      </c>
    </row>
    <row r="5195" spans="1:4">
      <c r="A5195" t="s">
        <v>6</v>
      </c>
      <c r="B5195">
        <v>33</v>
      </c>
      <c r="C5195" t="str">
        <f>CHOOSE(MATCH(B5195, {20,25,30,35,40,45,50,55,60,65,70,75,80,85}, 1), "20-24", "25-29", "30-34", "35-39", "40-44", "45-49", "50-54", "55-59", "60-64", "65-69", "70-74", "75-79", "80-84", "85+")</f>
        <v>30-34</v>
      </c>
      <c r="D5195" t="s">
        <v>8</v>
      </c>
    </row>
    <row r="5196" spans="1:4">
      <c r="A5196" t="s">
        <v>6</v>
      </c>
      <c r="B5196">
        <v>48</v>
      </c>
      <c r="C5196" t="str">
        <f>CHOOSE(MATCH(B5196, {20,25,30,35,40,45,50,55,60,65,70,75,80,85}, 1), "20-24", "25-29", "30-34", "35-39", "40-44", "45-49", "50-54", "55-59", "60-64", "65-69", "70-74", "75-79", "80-84", "85+")</f>
        <v>45-49</v>
      </c>
      <c r="D5196" t="s">
        <v>8</v>
      </c>
    </row>
    <row r="5197" spans="1:4">
      <c r="A5197" t="s">
        <v>6</v>
      </c>
      <c r="B5197">
        <v>57</v>
      </c>
      <c r="C5197" t="str">
        <f>CHOOSE(MATCH(B5197, {20,25,30,35,40,45,50,55,60,65,70,75,80,85}, 1), "20-24", "25-29", "30-34", "35-39", "40-44", "45-49", "50-54", "55-59", "60-64", "65-69", "70-74", "75-79", "80-84", "85+")</f>
        <v>55-59</v>
      </c>
      <c r="D5197" t="s">
        <v>7</v>
      </c>
    </row>
    <row r="5198" spans="1:4">
      <c r="A5198" t="s">
        <v>6</v>
      </c>
      <c r="B5198">
        <v>29</v>
      </c>
      <c r="C5198" t="str">
        <f>CHOOSE(MATCH(B5198, {20,25,30,35,40,45,50,55,60,65,70,75,80,85}, 1), "20-24", "25-29", "30-34", "35-39", "40-44", "45-49", "50-54", "55-59", "60-64", "65-69", "70-74", "75-79", "80-84", "85+")</f>
        <v>25-29</v>
      </c>
      <c r="D5198" t="s">
        <v>7</v>
      </c>
    </row>
    <row r="5199" spans="1:4">
      <c r="A5199" t="s">
        <v>6</v>
      </c>
      <c r="B5199">
        <v>20</v>
      </c>
      <c r="C5199" t="str">
        <f>CHOOSE(MATCH(B5199, {20,25,30,35,40,45,50,55,60,65,70,75,80,85}, 1), "20-24", "25-29", "30-34", "35-39", "40-44", "45-49", "50-54", "55-59", "60-64", "65-69", "70-74", "75-79", "80-84", "85+")</f>
        <v>20-24</v>
      </c>
      <c r="D5199" t="s">
        <v>7</v>
      </c>
    </row>
    <row r="5200" spans="1:4">
      <c r="A5200" t="s">
        <v>6</v>
      </c>
      <c r="B5200">
        <v>24</v>
      </c>
      <c r="C5200" t="str">
        <f>CHOOSE(MATCH(B5200, {20,25,30,35,40,45,50,55,60,65,70,75,80,85}, 1), "20-24", "25-29", "30-34", "35-39", "40-44", "45-49", "50-54", "55-59", "60-64", "65-69", "70-74", "75-79", "80-84", "85+")</f>
        <v>20-24</v>
      </c>
      <c r="D5200" t="s">
        <v>7</v>
      </c>
    </row>
    <row r="5201" spans="1:4">
      <c r="A5201" t="s">
        <v>6</v>
      </c>
      <c r="B5201">
        <v>32</v>
      </c>
      <c r="C5201" t="str">
        <f>CHOOSE(MATCH(B5201, {20,25,30,35,40,45,50,55,60,65,70,75,80,85}, 1), "20-24", "25-29", "30-34", "35-39", "40-44", "45-49", "50-54", "55-59", "60-64", "65-69", "70-74", "75-79", "80-84", "85+")</f>
        <v>30-34</v>
      </c>
      <c r="D5201" t="s">
        <v>8</v>
      </c>
    </row>
    <row r="5202" spans="1:4">
      <c r="A5202" t="s">
        <v>6</v>
      </c>
      <c r="B5202">
        <v>53</v>
      </c>
      <c r="C5202" t="str">
        <f>CHOOSE(MATCH(B5202, {20,25,30,35,40,45,50,55,60,65,70,75,80,85}, 1), "20-24", "25-29", "30-34", "35-39", "40-44", "45-49", "50-54", "55-59", "60-64", "65-69", "70-74", "75-79", "80-84", "85+")</f>
        <v>50-54</v>
      </c>
      <c r="D5202" t="s">
        <v>8</v>
      </c>
    </row>
    <row r="5203" spans="1:4">
      <c r="A5203" t="s">
        <v>6</v>
      </c>
      <c r="B5203">
        <v>61</v>
      </c>
      <c r="C5203" t="str">
        <f>CHOOSE(MATCH(B5203, {20,25,30,35,40,45,50,55,60,65,70,75,80,85}, 1), "20-24", "25-29", "30-34", "35-39", "40-44", "45-49", "50-54", "55-59", "60-64", "65-69", "70-74", "75-79", "80-84", "85+")</f>
        <v>60-64</v>
      </c>
      <c r="D5203" t="s">
        <v>8</v>
      </c>
    </row>
    <row r="5204" spans="1:4">
      <c r="A5204" t="s">
        <v>6</v>
      </c>
      <c r="B5204">
        <v>22</v>
      </c>
      <c r="C5204" t="str">
        <f>CHOOSE(MATCH(B5204, {20,25,30,35,40,45,50,55,60,65,70,75,80,85}, 1), "20-24", "25-29", "30-34", "35-39", "40-44", "45-49", "50-54", "55-59", "60-64", "65-69", "70-74", "75-79", "80-84", "85+")</f>
        <v>20-24</v>
      </c>
      <c r="D5204" t="s">
        <v>7</v>
      </c>
    </row>
    <row r="5205" spans="1:4">
      <c r="A5205" t="s">
        <v>6</v>
      </c>
      <c r="B5205">
        <v>37</v>
      </c>
      <c r="C5205" t="str">
        <f>CHOOSE(MATCH(B5205, {20,25,30,35,40,45,50,55,60,65,70,75,80,85}, 1), "20-24", "25-29", "30-34", "35-39", "40-44", "45-49", "50-54", "55-59", "60-64", "65-69", "70-74", "75-79", "80-84", "85+")</f>
        <v>35-39</v>
      </c>
      <c r="D5205" t="s">
        <v>8</v>
      </c>
    </row>
    <row r="5206" spans="1:4">
      <c r="A5206" t="s">
        <v>6</v>
      </c>
      <c r="B5206">
        <v>27</v>
      </c>
      <c r="C5206" t="str">
        <f>CHOOSE(MATCH(B5206, {20,25,30,35,40,45,50,55,60,65,70,75,80,85}, 1), "20-24", "25-29", "30-34", "35-39", "40-44", "45-49", "50-54", "55-59", "60-64", "65-69", "70-74", "75-79", "80-84", "85+")</f>
        <v>25-29</v>
      </c>
      <c r="D5206" t="s">
        <v>7</v>
      </c>
    </row>
    <row r="5207" spans="1:4">
      <c r="A5207" t="s">
        <v>6</v>
      </c>
      <c r="B5207">
        <v>69</v>
      </c>
      <c r="C5207" t="str">
        <f>CHOOSE(MATCH(B5207, {20,25,30,35,40,45,50,55,60,65,70,75,80,85}, 1), "20-24", "25-29", "30-34", "35-39", "40-44", "45-49", "50-54", "55-59", "60-64", "65-69", "70-74", "75-79", "80-84", "85+")</f>
        <v>65-69</v>
      </c>
      <c r="D5207" t="s">
        <v>8</v>
      </c>
    </row>
    <row r="5208" spans="1:4">
      <c r="A5208" t="s">
        <v>6</v>
      </c>
      <c r="B5208">
        <v>33</v>
      </c>
      <c r="C5208" t="str">
        <f>CHOOSE(MATCH(B5208, {20,25,30,35,40,45,50,55,60,65,70,75,80,85}, 1), "20-24", "25-29", "30-34", "35-39", "40-44", "45-49", "50-54", "55-59", "60-64", "65-69", "70-74", "75-79", "80-84", "85+")</f>
        <v>30-34</v>
      </c>
      <c r="D5208" t="s">
        <v>7</v>
      </c>
    </row>
    <row r="5209" spans="1:4">
      <c r="A5209" t="s">
        <v>6</v>
      </c>
      <c r="B5209">
        <v>32</v>
      </c>
      <c r="C5209" t="str">
        <f>CHOOSE(MATCH(B5209, {20,25,30,35,40,45,50,55,60,65,70,75,80,85}, 1), "20-24", "25-29", "30-34", "35-39", "40-44", "45-49", "50-54", "55-59", "60-64", "65-69", "70-74", "75-79", "80-84", "85+")</f>
        <v>30-34</v>
      </c>
      <c r="D5209" t="s">
        <v>7</v>
      </c>
    </row>
    <row r="5210" spans="1:4">
      <c r="A5210" t="s">
        <v>6</v>
      </c>
      <c r="B5210">
        <v>78</v>
      </c>
      <c r="C5210" t="str">
        <f>CHOOSE(MATCH(B5210, {20,25,30,35,40,45,50,55,60,65,70,75,80,85}, 1), "20-24", "25-29", "30-34", "35-39", "40-44", "45-49", "50-54", "55-59", "60-64", "65-69", "70-74", "75-79", "80-84", "85+")</f>
        <v>75-79</v>
      </c>
      <c r="D5210" t="s">
        <v>7</v>
      </c>
    </row>
    <row r="5211" spans="1:4">
      <c r="A5211" t="s">
        <v>6</v>
      </c>
      <c r="B5211">
        <v>53</v>
      </c>
      <c r="C5211" t="str">
        <f>CHOOSE(MATCH(B5211, {20,25,30,35,40,45,50,55,60,65,70,75,80,85}, 1), "20-24", "25-29", "30-34", "35-39", "40-44", "45-49", "50-54", "55-59", "60-64", "65-69", "70-74", "75-79", "80-84", "85+")</f>
        <v>50-54</v>
      </c>
      <c r="D5211" t="s">
        <v>8</v>
      </c>
    </row>
    <row r="5212" spans="1:4">
      <c r="A5212" t="s">
        <v>6</v>
      </c>
      <c r="B5212">
        <v>44</v>
      </c>
      <c r="C5212" t="str">
        <f>CHOOSE(MATCH(B5212, {20,25,30,35,40,45,50,55,60,65,70,75,80,85}, 1), "20-24", "25-29", "30-34", "35-39", "40-44", "45-49", "50-54", "55-59", "60-64", "65-69", "70-74", "75-79", "80-84", "85+")</f>
        <v>40-44</v>
      </c>
      <c r="D5212" t="s">
        <v>7</v>
      </c>
    </row>
    <row r="5213" spans="1:4">
      <c r="A5213" t="s">
        <v>6</v>
      </c>
      <c r="B5213">
        <v>79</v>
      </c>
      <c r="C5213" t="str">
        <f>CHOOSE(MATCH(B5213, {20,25,30,35,40,45,50,55,60,65,70,75,80,85}, 1), "20-24", "25-29", "30-34", "35-39", "40-44", "45-49", "50-54", "55-59", "60-64", "65-69", "70-74", "75-79", "80-84", "85+")</f>
        <v>75-79</v>
      </c>
      <c r="D5213" t="s">
        <v>7</v>
      </c>
    </row>
    <row r="5214" spans="1:4">
      <c r="A5214" t="s">
        <v>6</v>
      </c>
      <c r="B5214">
        <v>58</v>
      </c>
      <c r="C5214" t="str">
        <f>CHOOSE(MATCH(B5214, {20,25,30,35,40,45,50,55,60,65,70,75,80,85}, 1), "20-24", "25-29", "30-34", "35-39", "40-44", "45-49", "50-54", "55-59", "60-64", "65-69", "70-74", "75-79", "80-84", "85+")</f>
        <v>55-59</v>
      </c>
      <c r="D5214" t="s">
        <v>7</v>
      </c>
    </row>
    <row r="5215" spans="1:4">
      <c r="A5215" t="s">
        <v>6</v>
      </c>
      <c r="B5215">
        <v>32</v>
      </c>
      <c r="C5215" t="str">
        <f>CHOOSE(MATCH(B5215, {20,25,30,35,40,45,50,55,60,65,70,75,80,85}, 1), "20-24", "25-29", "30-34", "35-39", "40-44", "45-49", "50-54", "55-59", "60-64", "65-69", "70-74", "75-79", "80-84", "85+")</f>
        <v>30-34</v>
      </c>
      <c r="D5215" t="s">
        <v>8</v>
      </c>
    </row>
    <row r="5216" spans="1:4">
      <c r="A5216" t="s">
        <v>6</v>
      </c>
      <c r="B5216">
        <v>50</v>
      </c>
      <c r="C5216" t="str">
        <f>CHOOSE(MATCH(B5216, {20,25,30,35,40,45,50,55,60,65,70,75,80,85}, 1), "20-24", "25-29", "30-34", "35-39", "40-44", "45-49", "50-54", "55-59", "60-64", "65-69", "70-74", "75-79", "80-84", "85+")</f>
        <v>50-54</v>
      </c>
      <c r="D5216" t="s">
        <v>7</v>
      </c>
    </row>
    <row r="5217" spans="1:4">
      <c r="A5217" t="s">
        <v>6</v>
      </c>
      <c r="B5217">
        <v>36</v>
      </c>
      <c r="C5217" t="str">
        <f>CHOOSE(MATCH(B5217, {20,25,30,35,40,45,50,55,60,65,70,75,80,85}, 1), "20-24", "25-29", "30-34", "35-39", "40-44", "45-49", "50-54", "55-59", "60-64", "65-69", "70-74", "75-79", "80-84", "85+")</f>
        <v>35-39</v>
      </c>
      <c r="D5217" t="s">
        <v>7</v>
      </c>
    </row>
    <row r="5218" spans="1:4">
      <c r="A5218" t="s">
        <v>6</v>
      </c>
      <c r="B5218">
        <v>53</v>
      </c>
      <c r="C5218" t="str">
        <f>CHOOSE(MATCH(B5218, {20,25,30,35,40,45,50,55,60,65,70,75,80,85}, 1), "20-24", "25-29", "30-34", "35-39", "40-44", "45-49", "50-54", "55-59", "60-64", "65-69", "70-74", "75-79", "80-84", "85+")</f>
        <v>50-54</v>
      </c>
      <c r="D5218" t="s">
        <v>8</v>
      </c>
    </row>
    <row r="5219" spans="1:4">
      <c r="A5219" t="s">
        <v>6</v>
      </c>
      <c r="B5219">
        <v>35</v>
      </c>
      <c r="C5219" t="str">
        <f>CHOOSE(MATCH(B5219, {20,25,30,35,40,45,50,55,60,65,70,75,80,85}, 1), "20-24", "25-29", "30-34", "35-39", "40-44", "45-49", "50-54", "55-59", "60-64", "65-69", "70-74", "75-79", "80-84", "85+")</f>
        <v>35-39</v>
      </c>
      <c r="D5219" t="s">
        <v>8</v>
      </c>
    </row>
    <row r="5220" spans="1:4">
      <c r="A5220" t="s">
        <v>6</v>
      </c>
      <c r="B5220">
        <v>28</v>
      </c>
      <c r="C5220" t="str">
        <f>CHOOSE(MATCH(B5220, {20,25,30,35,40,45,50,55,60,65,70,75,80,85}, 1), "20-24", "25-29", "30-34", "35-39", "40-44", "45-49", "50-54", "55-59", "60-64", "65-69", "70-74", "75-79", "80-84", "85+")</f>
        <v>25-29</v>
      </c>
      <c r="D5220" t="s">
        <v>7</v>
      </c>
    </row>
    <row r="5221" spans="1:4">
      <c r="A5221" t="s">
        <v>6</v>
      </c>
      <c r="B5221">
        <v>27</v>
      </c>
      <c r="C5221" t="str">
        <f>CHOOSE(MATCH(B5221, {20,25,30,35,40,45,50,55,60,65,70,75,80,85}, 1), "20-24", "25-29", "30-34", "35-39", "40-44", "45-49", "50-54", "55-59", "60-64", "65-69", "70-74", "75-79", "80-84", "85+")</f>
        <v>25-29</v>
      </c>
      <c r="D5221" t="s">
        <v>7</v>
      </c>
    </row>
    <row r="5222" spans="1:4">
      <c r="A5222" t="s">
        <v>6</v>
      </c>
      <c r="B5222">
        <v>30</v>
      </c>
      <c r="C5222" t="str">
        <f>CHOOSE(MATCH(B5222, {20,25,30,35,40,45,50,55,60,65,70,75,80,85}, 1), "20-24", "25-29", "30-34", "35-39", "40-44", "45-49", "50-54", "55-59", "60-64", "65-69", "70-74", "75-79", "80-84", "85+")</f>
        <v>30-34</v>
      </c>
      <c r="D5222" t="s">
        <v>8</v>
      </c>
    </row>
    <row r="5223" spans="1:4">
      <c r="A5223" t="s">
        <v>6</v>
      </c>
      <c r="B5223">
        <v>41</v>
      </c>
      <c r="C5223" t="str">
        <f>CHOOSE(MATCH(B5223, {20,25,30,35,40,45,50,55,60,65,70,75,80,85}, 1), "20-24", "25-29", "30-34", "35-39", "40-44", "45-49", "50-54", "55-59", "60-64", "65-69", "70-74", "75-79", "80-84", "85+")</f>
        <v>40-44</v>
      </c>
      <c r="D5223" t="s">
        <v>7</v>
      </c>
    </row>
    <row r="5224" spans="1:4">
      <c r="A5224" t="s">
        <v>6</v>
      </c>
      <c r="B5224">
        <v>28</v>
      </c>
      <c r="C5224" t="str">
        <f>CHOOSE(MATCH(B5224, {20,25,30,35,40,45,50,55,60,65,70,75,80,85}, 1), "20-24", "25-29", "30-34", "35-39", "40-44", "45-49", "50-54", "55-59", "60-64", "65-69", "70-74", "75-79", "80-84", "85+")</f>
        <v>25-29</v>
      </c>
      <c r="D5224" t="s">
        <v>8</v>
      </c>
    </row>
    <row r="5225" spans="1:4">
      <c r="A5225" t="s">
        <v>6</v>
      </c>
      <c r="B5225">
        <v>27</v>
      </c>
      <c r="C5225" t="str">
        <f>CHOOSE(MATCH(B5225, {20,25,30,35,40,45,50,55,60,65,70,75,80,85}, 1), "20-24", "25-29", "30-34", "35-39", "40-44", "45-49", "50-54", "55-59", "60-64", "65-69", "70-74", "75-79", "80-84", "85+")</f>
        <v>25-29</v>
      </c>
      <c r="D5225" t="s">
        <v>8</v>
      </c>
    </row>
    <row r="5226" spans="1:4">
      <c r="A5226" t="s">
        <v>6</v>
      </c>
      <c r="B5226">
        <v>28</v>
      </c>
      <c r="C5226" t="str">
        <f>CHOOSE(MATCH(B5226, {20,25,30,35,40,45,50,55,60,65,70,75,80,85}, 1), "20-24", "25-29", "30-34", "35-39", "40-44", "45-49", "50-54", "55-59", "60-64", "65-69", "70-74", "75-79", "80-84", "85+")</f>
        <v>25-29</v>
      </c>
      <c r="D5226" t="s">
        <v>8</v>
      </c>
    </row>
    <row r="5227" spans="1:4">
      <c r="A5227" t="s">
        <v>6</v>
      </c>
      <c r="B5227">
        <v>39</v>
      </c>
      <c r="C5227" t="str">
        <f>CHOOSE(MATCH(B5227, {20,25,30,35,40,45,50,55,60,65,70,75,80,85}, 1), "20-24", "25-29", "30-34", "35-39", "40-44", "45-49", "50-54", "55-59", "60-64", "65-69", "70-74", "75-79", "80-84", "85+")</f>
        <v>35-39</v>
      </c>
      <c r="D5227" t="s">
        <v>8</v>
      </c>
    </row>
    <row r="5228" spans="1:4">
      <c r="A5228" t="s">
        <v>6</v>
      </c>
      <c r="B5228">
        <v>69</v>
      </c>
      <c r="C5228" t="str">
        <f>CHOOSE(MATCH(B5228, {20,25,30,35,40,45,50,55,60,65,70,75,80,85}, 1), "20-24", "25-29", "30-34", "35-39", "40-44", "45-49", "50-54", "55-59", "60-64", "65-69", "70-74", "75-79", "80-84", "85+")</f>
        <v>65-69</v>
      </c>
      <c r="D5228" t="s">
        <v>7</v>
      </c>
    </row>
    <row r="5229" spans="1:4">
      <c r="A5229" t="s">
        <v>6</v>
      </c>
      <c r="B5229">
        <v>28</v>
      </c>
      <c r="C5229" t="str">
        <f>CHOOSE(MATCH(B5229, {20,25,30,35,40,45,50,55,60,65,70,75,80,85}, 1), "20-24", "25-29", "30-34", "35-39", "40-44", "45-49", "50-54", "55-59", "60-64", "65-69", "70-74", "75-79", "80-84", "85+")</f>
        <v>25-29</v>
      </c>
      <c r="D5229" t="s">
        <v>7</v>
      </c>
    </row>
    <row r="5230" spans="1:4">
      <c r="A5230" t="s">
        <v>6</v>
      </c>
      <c r="B5230">
        <v>27</v>
      </c>
      <c r="C5230" t="str">
        <f>CHOOSE(MATCH(B5230, {20,25,30,35,40,45,50,55,60,65,70,75,80,85}, 1), "20-24", "25-29", "30-34", "35-39", "40-44", "45-49", "50-54", "55-59", "60-64", "65-69", "70-74", "75-79", "80-84", "85+")</f>
        <v>25-29</v>
      </c>
      <c r="D5230" t="s">
        <v>7</v>
      </c>
    </row>
    <row r="5231" spans="1:4">
      <c r="A5231" t="s">
        <v>6</v>
      </c>
      <c r="B5231">
        <v>68</v>
      </c>
      <c r="C5231" t="str">
        <f>CHOOSE(MATCH(B5231, {20,25,30,35,40,45,50,55,60,65,70,75,80,85}, 1), "20-24", "25-29", "30-34", "35-39", "40-44", "45-49", "50-54", "55-59", "60-64", "65-69", "70-74", "75-79", "80-84", "85+")</f>
        <v>65-69</v>
      </c>
      <c r="D5231" t="s">
        <v>8</v>
      </c>
    </row>
    <row r="5232" spans="1:4">
      <c r="A5232" t="s">
        <v>6</v>
      </c>
      <c r="B5232">
        <v>35</v>
      </c>
      <c r="C5232" t="str">
        <f>CHOOSE(MATCH(B5232, {20,25,30,35,40,45,50,55,60,65,70,75,80,85}, 1), "20-24", "25-29", "30-34", "35-39", "40-44", "45-49", "50-54", "55-59", "60-64", "65-69", "70-74", "75-79", "80-84", "85+")</f>
        <v>35-39</v>
      </c>
      <c r="D5232" t="s">
        <v>7</v>
      </c>
    </row>
    <row r="5233" spans="1:4">
      <c r="A5233" t="s">
        <v>6</v>
      </c>
      <c r="B5233">
        <v>67</v>
      </c>
      <c r="C5233" t="str">
        <f>CHOOSE(MATCH(B5233, {20,25,30,35,40,45,50,55,60,65,70,75,80,85}, 1), "20-24", "25-29", "30-34", "35-39", "40-44", "45-49", "50-54", "55-59", "60-64", "65-69", "70-74", "75-79", "80-84", "85+")</f>
        <v>65-69</v>
      </c>
      <c r="D5233" t="s">
        <v>7</v>
      </c>
    </row>
    <row r="5234" spans="1:4">
      <c r="A5234" t="s">
        <v>6</v>
      </c>
      <c r="B5234">
        <v>22</v>
      </c>
      <c r="C5234" t="str">
        <f>CHOOSE(MATCH(B5234, {20,25,30,35,40,45,50,55,60,65,70,75,80,85}, 1), "20-24", "25-29", "30-34", "35-39", "40-44", "45-49", "50-54", "55-59", "60-64", "65-69", "70-74", "75-79", "80-84", "85+")</f>
        <v>20-24</v>
      </c>
      <c r="D5234" t="s">
        <v>7</v>
      </c>
    </row>
    <row r="5235" spans="1:4">
      <c r="A5235" t="s">
        <v>6</v>
      </c>
      <c r="B5235">
        <v>62</v>
      </c>
      <c r="C5235" t="str">
        <f>CHOOSE(MATCH(B5235, {20,25,30,35,40,45,50,55,60,65,70,75,80,85}, 1), "20-24", "25-29", "30-34", "35-39", "40-44", "45-49", "50-54", "55-59", "60-64", "65-69", "70-74", "75-79", "80-84", "85+")</f>
        <v>60-64</v>
      </c>
      <c r="D5235" t="s">
        <v>7</v>
      </c>
    </row>
    <row r="5236" spans="1:4">
      <c r="A5236" t="s">
        <v>6</v>
      </c>
      <c r="B5236">
        <v>43</v>
      </c>
      <c r="C5236" t="str">
        <f>CHOOSE(MATCH(B5236, {20,25,30,35,40,45,50,55,60,65,70,75,80,85}, 1), "20-24", "25-29", "30-34", "35-39", "40-44", "45-49", "50-54", "55-59", "60-64", "65-69", "70-74", "75-79", "80-84", "85+")</f>
        <v>40-44</v>
      </c>
      <c r="D5236" t="s">
        <v>8</v>
      </c>
    </row>
    <row r="5237" spans="1:4">
      <c r="A5237" t="s">
        <v>6</v>
      </c>
      <c r="B5237">
        <v>29</v>
      </c>
      <c r="C5237" t="str">
        <f>CHOOSE(MATCH(B5237, {20,25,30,35,40,45,50,55,60,65,70,75,80,85}, 1), "20-24", "25-29", "30-34", "35-39", "40-44", "45-49", "50-54", "55-59", "60-64", "65-69", "70-74", "75-79", "80-84", "85+")</f>
        <v>25-29</v>
      </c>
      <c r="D5237" t="s">
        <v>7</v>
      </c>
    </row>
    <row r="5238" spans="1:4">
      <c r="A5238" t="s">
        <v>6</v>
      </c>
      <c r="B5238">
        <v>23</v>
      </c>
      <c r="C5238" t="str">
        <f>CHOOSE(MATCH(B5238, {20,25,30,35,40,45,50,55,60,65,70,75,80,85}, 1), "20-24", "25-29", "30-34", "35-39", "40-44", "45-49", "50-54", "55-59", "60-64", "65-69", "70-74", "75-79", "80-84", "85+")</f>
        <v>20-24</v>
      </c>
      <c r="D5238" t="s">
        <v>8</v>
      </c>
    </row>
    <row r="5239" spans="1:4">
      <c r="A5239" t="s">
        <v>6</v>
      </c>
      <c r="B5239">
        <v>23</v>
      </c>
      <c r="C5239" t="str">
        <f>CHOOSE(MATCH(B5239, {20,25,30,35,40,45,50,55,60,65,70,75,80,85}, 1), "20-24", "25-29", "30-34", "35-39", "40-44", "45-49", "50-54", "55-59", "60-64", "65-69", "70-74", "75-79", "80-84", "85+")</f>
        <v>20-24</v>
      </c>
      <c r="D5239" t="s">
        <v>7</v>
      </c>
    </row>
    <row r="5240" spans="1:4">
      <c r="A5240" t="s">
        <v>6</v>
      </c>
      <c r="B5240">
        <v>31</v>
      </c>
      <c r="C5240" t="str">
        <f>CHOOSE(MATCH(B5240, {20,25,30,35,40,45,50,55,60,65,70,75,80,85}, 1), "20-24", "25-29", "30-34", "35-39", "40-44", "45-49", "50-54", "55-59", "60-64", "65-69", "70-74", "75-79", "80-84", "85+")</f>
        <v>30-34</v>
      </c>
      <c r="D5240" t="s">
        <v>7</v>
      </c>
    </row>
    <row r="5241" spans="1:4">
      <c r="A5241" t="s">
        <v>6</v>
      </c>
      <c r="B5241">
        <v>37</v>
      </c>
      <c r="C5241" t="str">
        <f>CHOOSE(MATCH(B5241, {20,25,30,35,40,45,50,55,60,65,70,75,80,85}, 1), "20-24", "25-29", "30-34", "35-39", "40-44", "45-49", "50-54", "55-59", "60-64", "65-69", "70-74", "75-79", "80-84", "85+")</f>
        <v>35-39</v>
      </c>
      <c r="D5241" t="s">
        <v>8</v>
      </c>
    </row>
    <row r="5242" spans="1:4">
      <c r="A5242" t="s">
        <v>6</v>
      </c>
      <c r="B5242">
        <v>36</v>
      </c>
      <c r="C5242" t="str">
        <f>CHOOSE(MATCH(B5242, {20,25,30,35,40,45,50,55,60,65,70,75,80,85}, 1), "20-24", "25-29", "30-34", "35-39", "40-44", "45-49", "50-54", "55-59", "60-64", "65-69", "70-74", "75-79", "80-84", "85+")</f>
        <v>35-39</v>
      </c>
      <c r="D5242" t="s">
        <v>7</v>
      </c>
    </row>
    <row r="5243" spans="1:4">
      <c r="A5243" t="s">
        <v>6</v>
      </c>
      <c r="B5243">
        <v>32</v>
      </c>
      <c r="C5243" t="str">
        <f>CHOOSE(MATCH(B5243, {20,25,30,35,40,45,50,55,60,65,70,75,80,85}, 1), "20-24", "25-29", "30-34", "35-39", "40-44", "45-49", "50-54", "55-59", "60-64", "65-69", "70-74", "75-79", "80-84", "85+")</f>
        <v>30-34</v>
      </c>
      <c r="D5243" t="s">
        <v>8</v>
      </c>
    </row>
    <row r="5244" spans="1:4">
      <c r="A5244" t="s">
        <v>6</v>
      </c>
      <c r="B5244">
        <v>32</v>
      </c>
      <c r="C5244" t="str">
        <f>CHOOSE(MATCH(B5244, {20,25,30,35,40,45,50,55,60,65,70,75,80,85}, 1), "20-24", "25-29", "30-34", "35-39", "40-44", "45-49", "50-54", "55-59", "60-64", "65-69", "70-74", "75-79", "80-84", "85+")</f>
        <v>30-34</v>
      </c>
      <c r="D5244" t="s">
        <v>8</v>
      </c>
    </row>
    <row r="5245" spans="1:4">
      <c r="A5245" t="s">
        <v>6</v>
      </c>
      <c r="B5245">
        <v>32</v>
      </c>
      <c r="C5245" t="str">
        <f>CHOOSE(MATCH(B5245, {20,25,30,35,40,45,50,55,60,65,70,75,80,85}, 1), "20-24", "25-29", "30-34", "35-39", "40-44", "45-49", "50-54", "55-59", "60-64", "65-69", "70-74", "75-79", "80-84", "85+")</f>
        <v>30-34</v>
      </c>
      <c r="D5245" t="s">
        <v>8</v>
      </c>
    </row>
    <row r="5246" spans="1:4">
      <c r="A5246" t="s">
        <v>6</v>
      </c>
      <c r="B5246">
        <v>36</v>
      </c>
      <c r="C5246" t="str">
        <f>CHOOSE(MATCH(B5246, {20,25,30,35,40,45,50,55,60,65,70,75,80,85}, 1), "20-24", "25-29", "30-34", "35-39", "40-44", "45-49", "50-54", "55-59", "60-64", "65-69", "70-74", "75-79", "80-84", "85+")</f>
        <v>35-39</v>
      </c>
      <c r="D5246" t="s">
        <v>7</v>
      </c>
    </row>
    <row r="5247" spans="1:4">
      <c r="A5247" t="s">
        <v>6</v>
      </c>
      <c r="B5247">
        <v>24</v>
      </c>
      <c r="C5247" t="str">
        <f>CHOOSE(MATCH(B5247, {20,25,30,35,40,45,50,55,60,65,70,75,80,85}, 1), "20-24", "25-29", "30-34", "35-39", "40-44", "45-49", "50-54", "55-59", "60-64", "65-69", "70-74", "75-79", "80-84", "85+")</f>
        <v>20-24</v>
      </c>
      <c r="D5247" t="s">
        <v>7</v>
      </c>
    </row>
    <row r="5248" spans="1:4">
      <c r="A5248" t="s">
        <v>6</v>
      </c>
      <c r="B5248">
        <v>38</v>
      </c>
      <c r="C5248" t="str">
        <f>CHOOSE(MATCH(B5248, {20,25,30,35,40,45,50,55,60,65,70,75,80,85}, 1), "20-24", "25-29", "30-34", "35-39", "40-44", "45-49", "50-54", "55-59", "60-64", "65-69", "70-74", "75-79", "80-84", "85+")</f>
        <v>35-39</v>
      </c>
      <c r="D5248" t="s">
        <v>7</v>
      </c>
    </row>
    <row r="5249" spans="1:4">
      <c r="A5249" t="s">
        <v>6</v>
      </c>
      <c r="B5249">
        <v>32</v>
      </c>
      <c r="C5249" t="str">
        <f>CHOOSE(MATCH(B5249, {20,25,30,35,40,45,50,55,60,65,70,75,80,85}, 1), "20-24", "25-29", "30-34", "35-39", "40-44", "45-49", "50-54", "55-59", "60-64", "65-69", "70-74", "75-79", "80-84", "85+")</f>
        <v>30-34</v>
      </c>
      <c r="D5249" t="s">
        <v>7</v>
      </c>
    </row>
    <row r="5250" spans="1:4">
      <c r="A5250" t="s">
        <v>6</v>
      </c>
      <c r="B5250">
        <v>57</v>
      </c>
      <c r="C5250" t="str">
        <f>CHOOSE(MATCH(B5250, {20,25,30,35,40,45,50,55,60,65,70,75,80,85}, 1), "20-24", "25-29", "30-34", "35-39", "40-44", "45-49", "50-54", "55-59", "60-64", "65-69", "70-74", "75-79", "80-84", "85+")</f>
        <v>55-59</v>
      </c>
      <c r="D5250" t="s">
        <v>8</v>
      </c>
    </row>
    <row r="5251" spans="1:4">
      <c r="A5251" t="s">
        <v>6</v>
      </c>
      <c r="B5251">
        <v>38</v>
      </c>
      <c r="C5251" t="str">
        <f>CHOOSE(MATCH(B5251, {20,25,30,35,40,45,50,55,60,65,70,75,80,85}, 1), "20-24", "25-29", "30-34", "35-39", "40-44", "45-49", "50-54", "55-59", "60-64", "65-69", "70-74", "75-79", "80-84", "85+")</f>
        <v>35-39</v>
      </c>
      <c r="D5251" t="s">
        <v>7</v>
      </c>
    </row>
    <row r="5252" spans="1:4">
      <c r="A5252" t="s">
        <v>6</v>
      </c>
      <c r="B5252">
        <v>25</v>
      </c>
      <c r="C5252" t="str">
        <f>CHOOSE(MATCH(B5252, {20,25,30,35,40,45,50,55,60,65,70,75,80,85}, 1), "20-24", "25-29", "30-34", "35-39", "40-44", "45-49", "50-54", "55-59", "60-64", "65-69", "70-74", "75-79", "80-84", "85+")</f>
        <v>25-29</v>
      </c>
      <c r="D5252" t="s">
        <v>7</v>
      </c>
    </row>
    <row r="5253" spans="1:4">
      <c r="A5253" t="s">
        <v>6</v>
      </c>
      <c r="B5253">
        <v>26</v>
      </c>
      <c r="C5253" t="str">
        <f>CHOOSE(MATCH(B5253, {20,25,30,35,40,45,50,55,60,65,70,75,80,85}, 1), "20-24", "25-29", "30-34", "35-39", "40-44", "45-49", "50-54", "55-59", "60-64", "65-69", "70-74", "75-79", "80-84", "85+")</f>
        <v>25-29</v>
      </c>
      <c r="D5253" t="s">
        <v>7</v>
      </c>
    </row>
    <row r="5254" spans="1:4">
      <c r="A5254" t="s">
        <v>6</v>
      </c>
      <c r="B5254">
        <v>68</v>
      </c>
      <c r="C5254" t="str">
        <f>CHOOSE(MATCH(B5254, {20,25,30,35,40,45,50,55,60,65,70,75,80,85}, 1), "20-24", "25-29", "30-34", "35-39", "40-44", "45-49", "50-54", "55-59", "60-64", "65-69", "70-74", "75-79", "80-84", "85+")</f>
        <v>65-69</v>
      </c>
      <c r="D5254" t="s">
        <v>8</v>
      </c>
    </row>
    <row r="5255" spans="1:4">
      <c r="A5255" t="s">
        <v>6</v>
      </c>
      <c r="B5255">
        <v>35</v>
      </c>
      <c r="C5255" t="str">
        <f>CHOOSE(MATCH(B5255, {20,25,30,35,40,45,50,55,60,65,70,75,80,85}, 1), "20-24", "25-29", "30-34", "35-39", "40-44", "45-49", "50-54", "55-59", "60-64", "65-69", "70-74", "75-79", "80-84", "85+")</f>
        <v>35-39</v>
      </c>
      <c r="D5255" t="s">
        <v>7</v>
      </c>
    </row>
    <row r="5256" spans="1:4">
      <c r="A5256" t="s">
        <v>6</v>
      </c>
      <c r="B5256">
        <v>31</v>
      </c>
      <c r="C5256" t="str">
        <f>CHOOSE(MATCH(B5256, {20,25,30,35,40,45,50,55,60,65,70,75,80,85}, 1), "20-24", "25-29", "30-34", "35-39", "40-44", "45-49", "50-54", "55-59", "60-64", "65-69", "70-74", "75-79", "80-84", "85+")</f>
        <v>30-34</v>
      </c>
      <c r="D5256" t="s">
        <v>7</v>
      </c>
    </row>
    <row r="5257" spans="1:4">
      <c r="A5257" t="s">
        <v>6</v>
      </c>
      <c r="B5257">
        <v>55</v>
      </c>
      <c r="C5257" t="str">
        <f>CHOOSE(MATCH(B5257, {20,25,30,35,40,45,50,55,60,65,70,75,80,85}, 1), "20-24", "25-29", "30-34", "35-39", "40-44", "45-49", "50-54", "55-59", "60-64", "65-69", "70-74", "75-79", "80-84", "85+")</f>
        <v>55-59</v>
      </c>
      <c r="D5257" t="s">
        <v>7</v>
      </c>
    </row>
    <row r="5258" spans="1:4">
      <c r="A5258" t="s">
        <v>6</v>
      </c>
      <c r="B5258">
        <v>35</v>
      </c>
      <c r="C5258" t="str">
        <f>CHOOSE(MATCH(B5258, {20,25,30,35,40,45,50,55,60,65,70,75,80,85}, 1), "20-24", "25-29", "30-34", "35-39", "40-44", "45-49", "50-54", "55-59", "60-64", "65-69", "70-74", "75-79", "80-84", "85+")</f>
        <v>35-39</v>
      </c>
      <c r="D5258" t="s">
        <v>8</v>
      </c>
    </row>
    <row r="5259" spans="1:4">
      <c r="A5259" t="s">
        <v>6</v>
      </c>
      <c r="B5259">
        <v>35</v>
      </c>
      <c r="C5259" t="str">
        <f>CHOOSE(MATCH(B5259, {20,25,30,35,40,45,50,55,60,65,70,75,80,85}, 1), "20-24", "25-29", "30-34", "35-39", "40-44", "45-49", "50-54", "55-59", "60-64", "65-69", "70-74", "75-79", "80-84", "85+")</f>
        <v>35-39</v>
      </c>
      <c r="D5259" t="s">
        <v>7</v>
      </c>
    </row>
    <row r="5260" spans="1:4">
      <c r="A5260" t="s">
        <v>6</v>
      </c>
      <c r="B5260">
        <v>88</v>
      </c>
      <c r="C5260" t="str">
        <f>CHOOSE(MATCH(B5260, {20,25,30,35,40,45,50,55,60,65,70,75,80,85}, 1), "20-24", "25-29", "30-34", "35-39", "40-44", "45-49", "50-54", "55-59", "60-64", "65-69", "70-74", "75-79", "80-84", "85+")</f>
        <v>85+</v>
      </c>
      <c r="D5260" t="s">
        <v>8</v>
      </c>
    </row>
    <row r="5261" spans="1:4">
      <c r="A5261" t="s">
        <v>6</v>
      </c>
      <c r="B5261">
        <v>32</v>
      </c>
      <c r="C5261" t="str">
        <f>CHOOSE(MATCH(B5261, {20,25,30,35,40,45,50,55,60,65,70,75,80,85}, 1), "20-24", "25-29", "30-34", "35-39", "40-44", "45-49", "50-54", "55-59", "60-64", "65-69", "70-74", "75-79", "80-84", "85+")</f>
        <v>30-34</v>
      </c>
      <c r="D5261" t="s">
        <v>7</v>
      </c>
    </row>
    <row r="5262" spans="1:4">
      <c r="A5262" t="s">
        <v>6</v>
      </c>
      <c r="B5262">
        <v>39</v>
      </c>
      <c r="C5262" t="str">
        <f>CHOOSE(MATCH(B5262, {20,25,30,35,40,45,50,55,60,65,70,75,80,85}, 1), "20-24", "25-29", "30-34", "35-39", "40-44", "45-49", "50-54", "55-59", "60-64", "65-69", "70-74", "75-79", "80-84", "85+")</f>
        <v>35-39</v>
      </c>
      <c r="D5262" t="s">
        <v>7</v>
      </c>
    </row>
    <row r="5263" spans="1:4">
      <c r="A5263" t="s">
        <v>6</v>
      </c>
      <c r="B5263">
        <v>21</v>
      </c>
      <c r="C5263" t="str">
        <f>CHOOSE(MATCH(B5263, {20,25,30,35,40,45,50,55,60,65,70,75,80,85}, 1), "20-24", "25-29", "30-34", "35-39", "40-44", "45-49", "50-54", "55-59", "60-64", "65-69", "70-74", "75-79", "80-84", "85+")</f>
        <v>20-24</v>
      </c>
      <c r="D5263" t="s">
        <v>7</v>
      </c>
    </row>
    <row r="5264" spans="1:4">
      <c r="A5264" t="s">
        <v>6</v>
      </c>
      <c r="B5264">
        <v>87</v>
      </c>
      <c r="C5264" t="str">
        <f>CHOOSE(MATCH(B5264, {20,25,30,35,40,45,50,55,60,65,70,75,80,85}, 1), "20-24", "25-29", "30-34", "35-39", "40-44", "45-49", "50-54", "55-59", "60-64", "65-69", "70-74", "75-79", "80-84", "85+")</f>
        <v>85+</v>
      </c>
      <c r="D5264" t="s">
        <v>7</v>
      </c>
    </row>
    <row r="5265" spans="1:4">
      <c r="A5265" t="s">
        <v>6</v>
      </c>
      <c r="B5265">
        <v>56</v>
      </c>
      <c r="C5265" t="str">
        <f>CHOOSE(MATCH(B5265, {20,25,30,35,40,45,50,55,60,65,70,75,80,85}, 1), "20-24", "25-29", "30-34", "35-39", "40-44", "45-49", "50-54", "55-59", "60-64", "65-69", "70-74", "75-79", "80-84", "85+")</f>
        <v>55-59</v>
      </c>
      <c r="D5265" t="s">
        <v>8</v>
      </c>
    </row>
    <row r="5266" spans="1:4">
      <c r="A5266" t="s">
        <v>6</v>
      </c>
      <c r="B5266">
        <v>37</v>
      </c>
      <c r="C5266" t="str">
        <f>CHOOSE(MATCH(B5266, {20,25,30,35,40,45,50,55,60,65,70,75,80,85}, 1), "20-24", "25-29", "30-34", "35-39", "40-44", "45-49", "50-54", "55-59", "60-64", "65-69", "70-74", "75-79", "80-84", "85+")</f>
        <v>35-39</v>
      </c>
      <c r="D5266" t="s">
        <v>8</v>
      </c>
    </row>
    <row r="5267" spans="1:4">
      <c r="A5267" t="s">
        <v>6</v>
      </c>
      <c r="B5267">
        <v>52</v>
      </c>
      <c r="C5267" t="str">
        <f>CHOOSE(MATCH(B5267, {20,25,30,35,40,45,50,55,60,65,70,75,80,85}, 1), "20-24", "25-29", "30-34", "35-39", "40-44", "45-49", "50-54", "55-59", "60-64", "65-69", "70-74", "75-79", "80-84", "85+")</f>
        <v>50-54</v>
      </c>
      <c r="D5267" t="s">
        <v>7</v>
      </c>
    </row>
    <row r="5268" spans="1:4">
      <c r="A5268" t="s">
        <v>6</v>
      </c>
      <c r="B5268">
        <v>28</v>
      </c>
      <c r="C5268" t="str">
        <f>CHOOSE(MATCH(B5268, {20,25,30,35,40,45,50,55,60,65,70,75,80,85}, 1), "20-24", "25-29", "30-34", "35-39", "40-44", "45-49", "50-54", "55-59", "60-64", "65-69", "70-74", "75-79", "80-84", "85+")</f>
        <v>25-29</v>
      </c>
      <c r="D5268" t="s">
        <v>8</v>
      </c>
    </row>
    <row r="5269" spans="1:4">
      <c r="A5269" t="s">
        <v>6</v>
      </c>
      <c r="B5269">
        <v>36</v>
      </c>
      <c r="C5269" t="str">
        <f>CHOOSE(MATCH(B5269, {20,25,30,35,40,45,50,55,60,65,70,75,80,85}, 1), "20-24", "25-29", "30-34", "35-39", "40-44", "45-49", "50-54", "55-59", "60-64", "65-69", "70-74", "75-79", "80-84", "85+")</f>
        <v>35-39</v>
      </c>
      <c r="D5269" t="s">
        <v>8</v>
      </c>
    </row>
    <row r="5270" spans="1:4">
      <c r="A5270" t="s">
        <v>6</v>
      </c>
      <c r="B5270">
        <v>57</v>
      </c>
      <c r="C5270" t="str">
        <f>CHOOSE(MATCH(B5270, {20,25,30,35,40,45,50,55,60,65,70,75,80,85}, 1), "20-24", "25-29", "30-34", "35-39", "40-44", "45-49", "50-54", "55-59", "60-64", "65-69", "70-74", "75-79", "80-84", "85+")</f>
        <v>55-59</v>
      </c>
      <c r="D5270" t="s">
        <v>7</v>
      </c>
    </row>
    <row r="5271" spans="1:4">
      <c r="A5271" t="s">
        <v>6</v>
      </c>
      <c r="B5271">
        <v>54</v>
      </c>
      <c r="C5271" t="str">
        <f>CHOOSE(MATCH(B5271, {20,25,30,35,40,45,50,55,60,65,70,75,80,85}, 1), "20-24", "25-29", "30-34", "35-39", "40-44", "45-49", "50-54", "55-59", "60-64", "65-69", "70-74", "75-79", "80-84", "85+")</f>
        <v>50-54</v>
      </c>
      <c r="D5271" t="s">
        <v>7</v>
      </c>
    </row>
    <row r="5272" spans="1:4">
      <c r="A5272" t="s">
        <v>6</v>
      </c>
      <c r="B5272">
        <v>33</v>
      </c>
      <c r="C5272" t="str">
        <f>CHOOSE(MATCH(B5272, {20,25,30,35,40,45,50,55,60,65,70,75,80,85}, 1), "20-24", "25-29", "30-34", "35-39", "40-44", "45-49", "50-54", "55-59", "60-64", "65-69", "70-74", "75-79", "80-84", "85+")</f>
        <v>30-34</v>
      </c>
      <c r="D5272" t="s">
        <v>7</v>
      </c>
    </row>
    <row r="5273" spans="1:4">
      <c r="A5273" t="s">
        <v>6</v>
      </c>
      <c r="B5273">
        <v>95</v>
      </c>
      <c r="C5273" t="str">
        <f>CHOOSE(MATCH(B5273, {20,25,30,35,40,45,50,55,60,65,70,75,80,85}, 1), "20-24", "25-29", "30-34", "35-39", "40-44", "45-49", "50-54", "55-59", "60-64", "65-69", "70-74", "75-79", "80-84", "85+")</f>
        <v>85+</v>
      </c>
      <c r="D5273" t="s">
        <v>8</v>
      </c>
    </row>
    <row r="5274" spans="1:4">
      <c r="A5274" t="s">
        <v>6</v>
      </c>
      <c r="B5274">
        <v>51</v>
      </c>
      <c r="C5274" t="str">
        <f>CHOOSE(MATCH(B5274, {20,25,30,35,40,45,50,55,60,65,70,75,80,85}, 1), "20-24", "25-29", "30-34", "35-39", "40-44", "45-49", "50-54", "55-59", "60-64", "65-69", "70-74", "75-79", "80-84", "85+")</f>
        <v>50-54</v>
      </c>
      <c r="D5274" t="s">
        <v>8</v>
      </c>
    </row>
    <row r="5275" spans="1:4">
      <c r="A5275" t="s">
        <v>6</v>
      </c>
      <c r="B5275">
        <v>48</v>
      </c>
      <c r="C5275" t="str">
        <f>CHOOSE(MATCH(B5275, {20,25,30,35,40,45,50,55,60,65,70,75,80,85}, 1), "20-24", "25-29", "30-34", "35-39", "40-44", "45-49", "50-54", "55-59", "60-64", "65-69", "70-74", "75-79", "80-84", "85+")</f>
        <v>45-49</v>
      </c>
      <c r="D5275" t="s">
        <v>8</v>
      </c>
    </row>
    <row r="5276" spans="1:4">
      <c r="A5276" t="s">
        <v>6</v>
      </c>
      <c r="B5276">
        <v>63</v>
      </c>
      <c r="C5276" t="str">
        <f>CHOOSE(MATCH(B5276, {20,25,30,35,40,45,50,55,60,65,70,75,80,85}, 1), "20-24", "25-29", "30-34", "35-39", "40-44", "45-49", "50-54", "55-59", "60-64", "65-69", "70-74", "75-79", "80-84", "85+")</f>
        <v>60-64</v>
      </c>
      <c r="D5276" t="s">
        <v>8</v>
      </c>
    </row>
    <row r="5277" spans="1:4">
      <c r="A5277" t="s">
        <v>6</v>
      </c>
      <c r="B5277">
        <v>45</v>
      </c>
      <c r="C5277" t="str">
        <f>CHOOSE(MATCH(B5277, {20,25,30,35,40,45,50,55,60,65,70,75,80,85}, 1), "20-24", "25-29", "30-34", "35-39", "40-44", "45-49", "50-54", "55-59", "60-64", "65-69", "70-74", "75-79", "80-84", "85+")</f>
        <v>45-49</v>
      </c>
      <c r="D5277" t="s">
        <v>8</v>
      </c>
    </row>
    <row r="5278" spans="1:4">
      <c r="A5278" t="s">
        <v>6</v>
      </c>
      <c r="B5278">
        <v>26</v>
      </c>
      <c r="C5278" t="str">
        <f>CHOOSE(MATCH(B5278, {20,25,30,35,40,45,50,55,60,65,70,75,80,85}, 1), "20-24", "25-29", "30-34", "35-39", "40-44", "45-49", "50-54", "55-59", "60-64", "65-69", "70-74", "75-79", "80-84", "85+")</f>
        <v>25-29</v>
      </c>
      <c r="D5278" t="s">
        <v>8</v>
      </c>
    </row>
    <row r="5279" spans="1:4">
      <c r="A5279" t="s">
        <v>6</v>
      </c>
      <c r="B5279">
        <v>44</v>
      </c>
      <c r="C5279" t="str">
        <f>CHOOSE(MATCH(B5279, {20,25,30,35,40,45,50,55,60,65,70,75,80,85}, 1), "20-24", "25-29", "30-34", "35-39", "40-44", "45-49", "50-54", "55-59", "60-64", "65-69", "70-74", "75-79", "80-84", "85+")</f>
        <v>40-44</v>
      </c>
      <c r="D5279" t="s">
        <v>8</v>
      </c>
    </row>
    <row r="5280" spans="1:4">
      <c r="A5280" t="s">
        <v>6</v>
      </c>
      <c r="B5280">
        <v>51</v>
      </c>
      <c r="C5280" t="str">
        <f>CHOOSE(MATCH(B5280, {20,25,30,35,40,45,50,55,60,65,70,75,80,85}, 1), "20-24", "25-29", "30-34", "35-39", "40-44", "45-49", "50-54", "55-59", "60-64", "65-69", "70-74", "75-79", "80-84", "85+")</f>
        <v>50-54</v>
      </c>
      <c r="D5280" t="s">
        <v>7</v>
      </c>
    </row>
    <row r="5281" spans="1:4">
      <c r="A5281" t="s">
        <v>6</v>
      </c>
      <c r="B5281">
        <v>35</v>
      </c>
      <c r="C5281" t="str">
        <f>CHOOSE(MATCH(B5281, {20,25,30,35,40,45,50,55,60,65,70,75,80,85}, 1), "20-24", "25-29", "30-34", "35-39", "40-44", "45-49", "50-54", "55-59", "60-64", "65-69", "70-74", "75-79", "80-84", "85+")</f>
        <v>35-39</v>
      </c>
      <c r="D5281" t="s">
        <v>7</v>
      </c>
    </row>
    <row r="5282" spans="1:4">
      <c r="A5282" t="s">
        <v>6</v>
      </c>
      <c r="B5282">
        <v>33</v>
      </c>
      <c r="C5282" t="str">
        <f>CHOOSE(MATCH(B5282, {20,25,30,35,40,45,50,55,60,65,70,75,80,85}, 1), "20-24", "25-29", "30-34", "35-39", "40-44", "45-49", "50-54", "55-59", "60-64", "65-69", "70-74", "75-79", "80-84", "85+")</f>
        <v>30-34</v>
      </c>
      <c r="D5282" t="s">
        <v>8</v>
      </c>
    </row>
    <row r="5283" spans="1:4">
      <c r="A5283" t="s">
        <v>6</v>
      </c>
      <c r="B5283">
        <v>48</v>
      </c>
      <c r="C5283" t="str">
        <f>CHOOSE(MATCH(B5283, {20,25,30,35,40,45,50,55,60,65,70,75,80,85}, 1), "20-24", "25-29", "30-34", "35-39", "40-44", "45-49", "50-54", "55-59", "60-64", "65-69", "70-74", "75-79", "80-84", "85+")</f>
        <v>45-49</v>
      </c>
      <c r="D5283" t="s">
        <v>7</v>
      </c>
    </row>
    <row r="5284" spans="1:4">
      <c r="A5284" t="s">
        <v>6</v>
      </c>
      <c r="B5284">
        <v>36</v>
      </c>
      <c r="C5284" t="str">
        <f>CHOOSE(MATCH(B5284, {20,25,30,35,40,45,50,55,60,65,70,75,80,85}, 1), "20-24", "25-29", "30-34", "35-39", "40-44", "45-49", "50-54", "55-59", "60-64", "65-69", "70-74", "75-79", "80-84", "85+")</f>
        <v>35-39</v>
      </c>
      <c r="D5284" t="s">
        <v>7</v>
      </c>
    </row>
    <row r="5285" spans="1:4">
      <c r="A5285" t="s">
        <v>6</v>
      </c>
      <c r="B5285">
        <v>31</v>
      </c>
      <c r="C5285" t="str">
        <f>CHOOSE(MATCH(B5285, {20,25,30,35,40,45,50,55,60,65,70,75,80,85}, 1), "20-24", "25-29", "30-34", "35-39", "40-44", "45-49", "50-54", "55-59", "60-64", "65-69", "70-74", "75-79", "80-84", "85+")</f>
        <v>30-34</v>
      </c>
      <c r="D5285" t="s">
        <v>7</v>
      </c>
    </row>
    <row r="5286" spans="1:4">
      <c r="A5286" t="s">
        <v>6</v>
      </c>
      <c r="B5286">
        <v>59</v>
      </c>
      <c r="C5286" t="str">
        <f>CHOOSE(MATCH(B5286, {20,25,30,35,40,45,50,55,60,65,70,75,80,85}, 1), "20-24", "25-29", "30-34", "35-39", "40-44", "45-49", "50-54", "55-59", "60-64", "65-69", "70-74", "75-79", "80-84", "85+")</f>
        <v>55-59</v>
      </c>
      <c r="D5286" t="s">
        <v>7</v>
      </c>
    </row>
    <row r="5287" spans="1:4">
      <c r="A5287" t="s">
        <v>6</v>
      </c>
      <c r="B5287">
        <v>42</v>
      </c>
      <c r="C5287" t="str">
        <f>CHOOSE(MATCH(B5287, {20,25,30,35,40,45,50,55,60,65,70,75,80,85}, 1), "20-24", "25-29", "30-34", "35-39", "40-44", "45-49", "50-54", "55-59", "60-64", "65-69", "70-74", "75-79", "80-84", "85+")</f>
        <v>40-44</v>
      </c>
      <c r="D5287" t="s">
        <v>7</v>
      </c>
    </row>
    <row r="5288" spans="1:4">
      <c r="A5288" t="s">
        <v>6</v>
      </c>
      <c r="B5288">
        <v>23</v>
      </c>
      <c r="C5288" t="str">
        <f>CHOOSE(MATCH(B5288, {20,25,30,35,40,45,50,55,60,65,70,75,80,85}, 1), "20-24", "25-29", "30-34", "35-39", "40-44", "45-49", "50-54", "55-59", "60-64", "65-69", "70-74", "75-79", "80-84", "85+")</f>
        <v>20-24</v>
      </c>
      <c r="D5288" t="s">
        <v>7</v>
      </c>
    </row>
    <row r="5289" spans="1:4">
      <c r="A5289" t="s">
        <v>6</v>
      </c>
      <c r="B5289">
        <v>47</v>
      </c>
      <c r="C5289" t="str">
        <f>CHOOSE(MATCH(B5289, {20,25,30,35,40,45,50,55,60,65,70,75,80,85}, 1), "20-24", "25-29", "30-34", "35-39", "40-44", "45-49", "50-54", "55-59", "60-64", "65-69", "70-74", "75-79", "80-84", "85+")</f>
        <v>45-49</v>
      </c>
      <c r="D5289" t="s">
        <v>7</v>
      </c>
    </row>
    <row r="5290" spans="1:4">
      <c r="A5290" t="s">
        <v>6</v>
      </c>
      <c r="B5290">
        <v>25</v>
      </c>
      <c r="C5290" t="str">
        <f>CHOOSE(MATCH(B5290, {20,25,30,35,40,45,50,55,60,65,70,75,80,85}, 1), "20-24", "25-29", "30-34", "35-39", "40-44", "45-49", "50-54", "55-59", "60-64", "65-69", "70-74", "75-79", "80-84", "85+")</f>
        <v>25-29</v>
      </c>
      <c r="D5290" t="s">
        <v>7</v>
      </c>
    </row>
    <row r="5291" spans="1:4">
      <c r="A5291" t="s">
        <v>6</v>
      </c>
      <c r="B5291">
        <v>36</v>
      </c>
      <c r="C5291" t="str">
        <f>CHOOSE(MATCH(B5291, {20,25,30,35,40,45,50,55,60,65,70,75,80,85}, 1), "20-24", "25-29", "30-34", "35-39", "40-44", "45-49", "50-54", "55-59", "60-64", "65-69", "70-74", "75-79", "80-84", "85+")</f>
        <v>35-39</v>
      </c>
      <c r="D5291" t="s">
        <v>7</v>
      </c>
    </row>
    <row r="5292" spans="1:4">
      <c r="A5292" t="s">
        <v>6</v>
      </c>
      <c r="B5292">
        <v>21</v>
      </c>
      <c r="C5292" t="str">
        <f>CHOOSE(MATCH(B5292, {20,25,30,35,40,45,50,55,60,65,70,75,80,85}, 1), "20-24", "25-29", "30-34", "35-39", "40-44", "45-49", "50-54", "55-59", "60-64", "65-69", "70-74", "75-79", "80-84", "85+")</f>
        <v>20-24</v>
      </c>
      <c r="D5292" t="s">
        <v>7</v>
      </c>
    </row>
    <row r="5293" spans="1:4">
      <c r="A5293" t="s">
        <v>6</v>
      </c>
      <c r="B5293">
        <v>35</v>
      </c>
      <c r="C5293" t="str">
        <f>CHOOSE(MATCH(B5293, {20,25,30,35,40,45,50,55,60,65,70,75,80,85}, 1), "20-24", "25-29", "30-34", "35-39", "40-44", "45-49", "50-54", "55-59", "60-64", "65-69", "70-74", "75-79", "80-84", "85+")</f>
        <v>35-39</v>
      </c>
      <c r="D5293" t="s">
        <v>7</v>
      </c>
    </row>
    <row r="5294" spans="1:4">
      <c r="A5294" t="s">
        <v>6</v>
      </c>
      <c r="B5294">
        <v>47</v>
      </c>
      <c r="C5294" t="str">
        <f>CHOOSE(MATCH(B5294, {20,25,30,35,40,45,50,55,60,65,70,75,80,85}, 1), "20-24", "25-29", "30-34", "35-39", "40-44", "45-49", "50-54", "55-59", "60-64", "65-69", "70-74", "75-79", "80-84", "85+")</f>
        <v>45-49</v>
      </c>
      <c r="D5294" t="s">
        <v>7</v>
      </c>
    </row>
    <row r="5295" spans="1:4">
      <c r="A5295" t="s">
        <v>6</v>
      </c>
      <c r="B5295">
        <v>34</v>
      </c>
      <c r="C5295" t="str">
        <f>CHOOSE(MATCH(B5295, {20,25,30,35,40,45,50,55,60,65,70,75,80,85}, 1), "20-24", "25-29", "30-34", "35-39", "40-44", "45-49", "50-54", "55-59", "60-64", "65-69", "70-74", "75-79", "80-84", "85+")</f>
        <v>30-34</v>
      </c>
      <c r="D5295" t="s">
        <v>7</v>
      </c>
    </row>
    <row r="5296" spans="1:4">
      <c r="A5296" t="s">
        <v>6</v>
      </c>
      <c r="B5296">
        <v>57</v>
      </c>
      <c r="C5296" t="str">
        <f>CHOOSE(MATCH(B5296, {20,25,30,35,40,45,50,55,60,65,70,75,80,85}, 1), "20-24", "25-29", "30-34", "35-39", "40-44", "45-49", "50-54", "55-59", "60-64", "65-69", "70-74", "75-79", "80-84", "85+")</f>
        <v>55-59</v>
      </c>
      <c r="D5296" t="s">
        <v>8</v>
      </c>
    </row>
    <row r="5297" spans="1:4">
      <c r="A5297" t="s">
        <v>6</v>
      </c>
      <c r="B5297">
        <v>29</v>
      </c>
      <c r="C5297" t="str">
        <f>CHOOSE(MATCH(B5297, {20,25,30,35,40,45,50,55,60,65,70,75,80,85}, 1), "20-24", "25-29", "30-34", "35-39", "40-44", "45-49", "50-54", "55-59", "60-64", "65-69", "70-74", "75-79", "80-84", "85+")</f>
        <v>25-29</v>
      </c>
      <c r="D5297" t="s">
        <v>7</v>
      </c>
    </row>
    <row r="5298" spans="1:4">
      <c r="A5298" t="s">
        <v>6</v>
      </c>
      <c r="B5298">
        <v>55</v>
      </c>
      <c r="C5298" t="str">
        <f>CHOOSE(MATCH(B5298, {20,25,30,35,40,45,50,55,60,65,70,75,80,85}, 1), "20-24", "25-29", "30-34", "35-39", "40-44", "45-49", "50-54", "55-59", "60-64", "65-69", "70-74", "75-79", "80-84", "85+")</f>
        <v>55-59</v>
      </c>
      <c r="D5298" t="s">
        <v>7</v>
      </c>
    </row>
    <row r="5299" spans="1:4">
      <c r="A5299" t="s">
        <v>6</v>
      </c>
      <c r="B5299">
        <v>47</v>
      </c>
      <c r="C5299" t="str">
        <f>CHOOSE(MATCH(B5299, {20,25,30,35,40,45,50,55,60,65,70,75,80,85}, 1), "20-24", "25-29", "30-34", "35-39", "40-44", "45-49", "50-54", "55-59", "60-64", "65-69", "70-74", "75-79", "80-84", "85+")</f>
        <v>45-49</v>
      </c>
      <c r="D5299" t="s">
        <v>8</v>
      </c>
    </row>
    <row r="5300" spans="1:4">
      <c r="A5300" t="s">
        <v>6</v>
      </c>
      <c r="B5300">
        <v>28</v>
      </c>
      <c r="C5300" t="str">
        <f>CHOOSE(MATCH(B5300, {20,25,30,35,40,45,50,55,60,65,70,75,80,85}, 1), "20-24", "25-29", "30-34", "35-39", "40-44", "45-49", "50-54", "55-59", "60-64", "65-69", "70-74", "75-79", "80-84", "85+")</f>
        <v>25-29</v>
      </c>
      <c r="D5300" t="s">
        <v>8</v>
      </c>
    </row>
    <row r="5301" spans="1:4">
      <c r="A5301" t="s">
        <v>6</v>
      </c>
      <c r="B5301">
        <v>40</v>
      </c>
      <c r="C5301" t="str">
        <f>CHOOSE(MATCH(B5301, {20,25,30,35,40,45,50,55,60,65,70,75,80,85}, 1), "20-24", "25-29", "30-34", "35-39", "40-44", "45-49", "50-54", "55-59", "60-64", "65-69", "70-74", "75-79", "80-84", "85+")</f>
        <v>40-44</v>
      </c>
      <c r="D5301" t="s">
        <v>8</v>
      </c>
    </row>
    <row r="5302" spans="1:4">
      <c r="A5302" t="s">
        <v>6</v>
      </c>
      <c r="B5302">
        <v>46</v>
      </c>
      <c r="C5302" t="str">
        <f>CHOOSE(MATCH(B5302, {20,25,30,35,40,45,50,55,60,65,70,75,80,85}, 1), "20-24", "25-29", "30-34", "35-39", "40-44", "45-49", "50-54", "55-59", "60-64", "65-69", "70-74", "75-79", "80-84", "85+")</f>
        <v>45-49</v>
      </c>
      <c r="D5302" t="s">
        <v>7</v>
      </c>
    </row>
    <row r="5303" spans="1:4">
      <c r="A5303" t="s">
        <v>6</v>
      </c>
      <c r="B5303">
        <v>38</v>
      </c>
      <c r="C5303" t="str">
        <f>CHOOSE(MATCH(B5303, {20,25,30,35,40,45,50,55,60,65,70,75,80,85}, 1), "20-24", "25-29", "30-34", "35-39", "40-44", "45-49", "50-54", "55-59", "60-64", "65-69", "70-74", "75-79", "80-84", "85+")</f>
        <v>35-39</v>
      </c>
      <c r="D5303" t="s">
        <v>7</v>
      </c>
    </row>
    <row r="5304" spans="1:4">
      <c r="A5304" t="s">
        <v>6</v>
      </c>
      <c r="B5304">
        <v>71</v>
      </c>
      <c r="C5304" t="str">
        <f>CHOOSE(MATCH(B5304, {20,25,30,35,40,45,50,55,60,65,70,75,80,85}, 1), "20-24", "25-29", "30-34", "35-39", "40-44", "45-49", "50-54", "55-59", "60-64", "65-69", "70-74", "75-79", "80-84", "85+")</f>
        <v>70-74</v>
      </c>
      <c r="D5304" t="s">
        <v>8</v>
      </c>
    </row>
    <row r="5305" spans="1:4">
      <c r="A5305" t="s">
        <v>6</v>
      </c>
      <c r="B5305">
        <v>42</v>
      </c>
      <c r="C5305" t="str">
        <f>CHOOSE(MATCH(B5305, {20,25,30,35,40,45,50,55,60,65,70,75,80,85}, 1), "20-24", "25-29", "30-34", "35-39", "40-44", "45-49", "50-54", "55-59", "60-64", "65-69", "70-74", "75-79", "80-84", "85+")</f>
        <v>40-44</v>
      </c>
      <c r="D5305" t="s">
        <v>8</v>
      </c>
    </row>
    <row r="5306" spans="1:4">
      <c r="A5306" t="s">
        <v>6</v>
      </c>
      <c r="B5306">
        <v>28</v>
      </c>
      <c r="C5306" t="str">
        <f>CHOOSE(MATCH(B5306, {20,25,30,35,40,45,50,55,60,65,70,75,80,85}, 1), "20-24", "25-29", "30-34", "35-39", "40-44", "45-49", "50-54", "55-59", "60-64", "65-69", "70-74", "75-79", "80-84", "85+")</f>
        <v>25-29</v>
      </c>
      <c r="D5306" t="s">
        <v>7</v>
      </c>
    </row>
    <row r="5307" spans="1:4">
      <c r="A5307" t="s">
        <v>6</v>
      </c>
      <c r="B5307">
        <v>35</v>
      </c>
      <c r="C5307" t="str">
        <f>CHOOSE(MATCH(B5307, {20,25,30,35,40,45,50,55,60,65,70,75,80,85}, 1), "20-24", "25-29", "30-34", "35-39", "40-44", "45-49", "50-54", "55-59", "60-64", "65-69", "70-74", "75-79", "80-84", "85+")</f>
        <v>35-39</v>
      </c>
      <c r="D5307" t="s">
        <v>7</v>
      </c>
    </row>
    <row r="5308" spans="1:4">
      <c r="A5308" t="s">
        <v>6</v>
      </c>
      <c r="B5308">
        <v>47</v>
      </c>
      <c r="C5308" t="str">
        <f>CHOOSE(MATCH(B5308, {20,25,30,35,40,45,50,55,60,65,70,75,80,85}, 1), "20-24", "25-29", "30-34", "35-39", "40-44", "45-49", "50-54", "55-59", "60-64", "65-69", "70-74", "75-79", "80-84", "85+")</f>
        <v>45-49</v>
      </c>
      <c r="D5308" t="s">
        <v>7</v>
      </c>
    </row>
    <row r="5309" spans="1:4">
      <c r="A5309" t="s">
        <v>6</v>
      </c>
      <c r="B5309">
        <v>80</v>
      </c>
      <c r="C5309" t="str">
        <f>CHOOSE(MATCH(B5309, {20,25,30,35,40,45,50,55,60,65,70,75,80,85}, 1), "20-24", "25-29", "30-34", "35-39", "40-44", "45-49", "50-54", "55-59", "60-64", "65-69", "70-74", "75-79", "80-84", "85+")</f>
        <v>80-84</v>
      </c>
      <c r="D5309" t="s">
        <v>8</v>
      </c>
    </row>
    <row r="5310" spans="1:4">
      <c r="A5310" t="s">
        <v>6</v>
      </c>
      <c r="B5310">
        <v>28</v>
      </c>
      <c r="C5310" t="str">
        <f>CHOOSE(MATCH(B5310, {20,25,30,35,40,45,50,55,60,65,70,75,80,85}, 1), "20-24", "25-29", "30-34", "35-39", "40-44", "45-49", "50-54", "55-59", "60-64", "65-69", "70-74", "75-79", "80-84", "85+")</f>
        <v>25-29</v>
      </c>
      <c r="D5310" t="s">
        <v>8</v>
      </c>
    </row>
    <row r="5311" spans="1:4">
      <c r="A5311" t="s">
        <v>6</v>
      </c>
      <c r="B5311">
        <v>22</v>
      </c>
      <c r="C5311" t="str">
        <f>CHOOSE(MATCH(B5311, {20,25,30,35,40,45,50,55,60,65,70,75,80,85}, 1), "20-24", "25-29", "30-34", "35-39", "40-44", "45-49", "50-54", "55-59", "60-64", "65-69", "70-74", "75-79", "80-84", "85+")</f>
        <v>20-24</v>
      </c>
      <c r="D5311" t="s">
        <v>8</v>
      </c>
    </row>
    <row r="5312" spans="1:4">
      <c r="A5312" t="s">
        <v>6</v>
      </c>
      <c r="B5312">
        <v>50</v>
      </c>
      <c r="C5312" t="str">
        <f>CHOOSE(MATCH(B5312, {20,25,30,35,40,45,50,55,60,65,70,75,80,85}, 1), "20-24", "25-29", "30-34", "35-39", "40-44", "45-49", "50-54", "55-59", "60-64", "65-69", "70-74", "75-79", "80-84", "85+")</f>
        <v>50-54</v>
      </c>
      <c r="D5312" t="s">
        <v>8</v>
      </c>
    </row>
    <row r="5313" spans="1:4">
      <c r="A5313" t="s">
        <v>6</v>
      </c>
      <c r="B5313">
        <v>33</v>
      </c>
      <c r="C5313" t="str">
        <f>CHOOSE(MATCH(B5313, {20,25,30,35,40,45,50,55,60,65,70,75,80,85}, 1), "20-24", "25-29", "30-34", "35-39", "40-44", "45-49", "50-54", "55-59", "60-64", "65-69", "70-74", "75-79", "80-84", "85+")</f>
        <v>30-34</v>
      </c>
      <c r="D5313" t="s">
        <v>8</v>
      </c>
    </row>
    <row r="5314" spans="1:4">
      <c r="A5314" t="s">
        <v>6</v>
      </c>
      <c r="B5314">
        <v>37</v>
      </c>
      <c r="C5314" t="str">
        <f>CHOOSE(MATCH(B5314, {20,25,30,35,40,45,50,55,60,65,70,75,80,85}, 1), "20-24", "25-29", "30-34", "35-39", "40-44", "45-49", "50-54", "55-59", "60-64", "65-69", "70-74", "75-79", "80-84", "85+")</f>
        <v>35-39</v>
      </c>
      <c r="D5314" t="s">
        <v>7</v>
      </c>
    </row>
    <row r="5315" spans="1:4">
      <c r="A5315" t="s">
        <v>6</v>
      </c>
      <c r="B5315">
        <v>59</v>
      </c>
      <c r="C5315" t="str">
        <f>CHOOSE(MATCH(B5315, {20,25,30,35,40,45,50,55,60,65,70,75,80,85}, 1), "20-24", "25-29", "30-34", "35-39", "40-44", "45-49", "50-54", "55-59", "60-64", "65-69", "70-74", "75-79", "80-84", "85+")</f>
        <v>55-59</v>
      </c>
      <c r="D5315" t="s">
        <v>8</v>
      </c>
    </row>
    <row r="5316" spans="1:4">
      <c r="A5316" t="s">
        <v>6</v>
      </c>
      <c r="B5316">
        <v>74</v>
      </c>
      <c r="C5316" t="str">
        <f>CHOOSE(MATCH(B5316, {20,25,30,35,40,45,50,55,60,65,70,75,80,85}, 1), "20-24", "25-29", "30-34", "35-39", "40-44", "45-49", "50-54", "55-59", "60-64", "65-69", "70-74", "75-79", "80-84", "85+")</f>
        <v>70-74</v>
      </c>
      <c r="D5316" t="s">
        <v>8</v>
      </c>
    </row>
    <row r="5317" spans="1:4">
      <c r="A5317" t="s">
        <v>6</v>
      </c>
      <c r="B5317">
        <v>39</v>
      </c>
      <c r="C5317" t="str">
        <f>CHOOSE(MATCH(B5317, {20,25,30,35,40,45,50,55,60,65,70,75,80,85}, 1), "20-24", "25-29", "30-34", "35-39", "40-44", "45-49", "50-54", "55-59", "60-64", "65-69", "70-74", "75-79", "80-84", "85+")</f>
        <v>35-39</v>
      </c>
      <c r="D5317" t="s">
        <v>8</v>
      </c>
    </row>
    <row r="5318" spans="1:4">
      <c r="A5318" t="s">
        <v>6</v>
      </c>
      <c r="B5318">
        <v>38</v>
      </c>
      <c r="C5318" t="str">
        <f>CHOOSE(MATCH(B5318, {20,25,30,35,40,45,50,55,60,65,70,75,80,85}, 1), "20-24", "25-29", "30-34", "35-39", "40-44", "45-49", "50-54", "55-59", "60-64", "65-69", "70-74", "75-79", "80-84", "85+")</f>
        <v>35-39</v>
      </c>
      <c r="D5318" t="s">
        <v>7</v>
      </c>
    </row>
    <row r="5319" spans="1:4">
      <c r="A5319" t="s">
        <v>6</v>
      </c>
      <c r="B5319">
        <v>35</v>
      </c>
      <c r="C5319" t="str">
        <f>CHOOSE(MATCH(B5319, {20,25,30,35,40,45,50,55,60,65,70,75,80,85}, 1), "20-24", "25-29", "30-34", "35-39", "40-44", "45-49", "50-54", "55-59", "60-64", "65-69", "70-74", "75-79", "80-84", "85+")</f>
        <v>35-39</v>
      </c>
      <c r="D5319" t="s">
        <v>8</v>
      </c>
    </row>
    <row r="5320" spans="1:4">
      <c r="A5320" t="s">
        <v>6</v>
      </c>
      <c r="B5320">
        <v>36</v>
      </c>
      <c r="C5320" t="str">
        <f>CHOOSE(MATCH(B5320, {20,25,30,35,40,45,50,55,60,65,70,75,80,85}, 1), "20-24", "25-29", "30-34", "35-39", "40-44", "45-49", "50-54", "55-59", "60-64", "65-69", "70-74", "75-79", "80-84", "85+")</f>
        <v>35-39</v>
      </c>
      <c r="D5320" t="s">
        <v>7</v>
      </c>
    </row>
    <row r="5321" spans="1:4">
      <c r="A5321" t="s">
        <v>6</v>
      </c>
      <c r="B5321">
        <v>79</v>
      </c>
      <c r="C5321" t="str">
        <f>CHOOSE(MATCH(B5321, {20,25,30,35,40,45,50,55,60,65,70,75,80,85}, 1), "20-24", "25-29", "30-34", "35-39", "40-44", "45-49", "50-54", "55-59", "60-64", "65-69", "70-74", "75-79", "80-84", "85+")</f>
        <v>75-79</v>
      </c>
      <c r="D5321" t="s">
        <v>7</v>
      </c>
    </row>
    <row r="5322" spans="1:4">
      <c r="A5322" t="s">
        <v>6</v>
      </c>
      <c r="B5322">
        <v>55</v>
      </c>
      <c r="C5322" t="str">
        <f>CHOOSE(MATCH(B5322, {20,25,30,35,40,45,50,55,60,65,70,75,80,85}, 1), "20-24", "25-29", "30-34", "35-39", "40-44", "45-49", "50-54", "55-59", "60-64", "65-69", "70-74", "75-79", "80-84", "85+")</f>
        <v>55-59</v>
      </c>
      <c r="D5322" t="s">
        <v>7</v>
      </c>
    </row>
    <row r="5323" spans="1:4">
      <c r="A5323" t="s">
        <v>6</v>
      </c>
      <c r="B5323">
        <v>23</v>
      </c>
      <c r="C5323" t="str">
        <f>CHOOSE(MATCH(B5323, {20,25,30,35,40,45,50,55,60,65,70,75,80,85}, 1), "20-24", "25-29", "30-34", "35-39", "40-44", "45-49", "50-54", "55-59", "60-64", "65-69", "70-74", "75-79", "80-84", "85+")</f>
        <v>20-24</v>
      </c>
      <c r="D5323" t="s">
        <v>7</v>
      </c>
    </row>
    <row r="5324" spans="1:4">
      <c r="A5324" t="s">
        <v>6</v>
      </c>
      <c r="B5324">
        <v>22</v>
      </c>
      <c r="C5324" t="str">
        <f>CHOOSE(MATCH(B5324, {20,25,30,35,40,45,50,55,60,65,70,75,80,85}, 1), "20-24", "25-29", "30-34", "35-39", "40-44", "45-49", "50-54", "55-59", "60-64", "65-69", "70-74", "75-79", "80-84", "85+")</f>
        <v>20-24</v>
      </c>
      <c r="D5324" t="s">
        <v>7</v>
      </c>
    </row>
    <row r="5325" spans="1:4">
      <c r="A5325" t="s">
        <v>6</v>
      </c>
      <c r="B5325">
        <v>30</v>
      </c>
      <c r="C5325" t="str">
        <f>CHOOSE(MATCH(B5325, {20,25,30,35,40,45,50,55,60,65,70,75,80,85}, 1), "20-24", "25-29", "30-34", "35-39", "40-44", "45-49", "50-54", "55-59", "60-64", "65-69", "70-74", "75-79", "80-84", "85+")</f>
        <v>30-34</v>
      </c>
      <c r="D5325" t="s">
        <v>7</v>
      </c>
    </row>
    <row r="5326" spans="1:4">
      <c r="A5326" t="s">
        <v>6</v>
      </c>
      <c r="B5326">
        <v>55</v>
      </c>
      <c r="C5326" t="str">
        <f>CHOOSE(MATCH(B5326, {20,25,30,35,40,45,50,55,60,65,70,75,80,85}, 1), "20-24", "25-29", "30-34", "35-39", "40-44", "45-49", "50-54", "55-59", "60-64", "65-69", "70-74", "75-79", "80-84", "85+")</f>
        <v>55-59</v>
      </c>
      <c r="D5326" t="s">
        <v>7</v>
      </c>
    </row>
    <row r="5327" spans="1:4">
      <c r="A5327" t="s">
        <v>6</v>
      </c>
      <c r="B5327">
        <v>49</v>
      </c>
      <c r="C5327" t="str">
        <f>CHOOSE(MATCH(B5327, {20,25,30,35,40,45,50,55,60,65,70,75,80,85}, 1), "20-24", "25-29", "30-34", "35-39", "40-44", "45-49", "50-54", "55-59", "60-64", "65-69", "70-74", "75-79", "80-84", "85+")</f>
        <v>45-49</v>
      </c>
      <c r="D5327" t="s">
        <v>7</v>
      </c>
    </row>
    <row r="5328" spans="1:4">
      <c r="A5328" t="s">
        <v>6</v>
      </c>
      <c r="B5328">
        <v>35</v>
      </c>
      <c r="C5328" t="str">
        <f>CHOOSE(MATCH(B5328, {20,25,30,35,40,45,50,55,60,65,70,75,80,85}, 1), "20-24", "25-29", "30-34", "35-39", "40-44", "45-49", "50-54", "55-59", "60-64", "65-69", "70-74", "75-79", "80-84", "85+")</f>
        <v>35-39</v>
      </c>
      <c r="D5328" t="s">
        <v>8</v>
      </c>
    </row>
    <row r="5329" spans="1:4">
      <c r="A5329" t="s">
        <v>6</v>
      </c>
      <c r="B5329">
        <v>67</v>
      </c>
      <c r="C5329" t="str">
        <f>CHOOSE(MATCH(B5329, {20,25,30,35,40,45,50,55,60,65,70,75,80,85}, 1), "20-24", "25-29", "30-34", "35-39", "40-44", "45-49", "50-54", "55-59", "60-64", "65-69", "70-74", "75-79", "80-84", "85+")</f>
        <v>65-69</v>
      </c>
      <c r="D5329" t="s">
        <v>7</v>
      </c>
    </row>
    <row r="5330" spans="1:4">
      <c r="A5330" t="s">
        <v>6</v>
      </c>
      <c r="B5330">
        <v>20</v>
      </c>
      <c r="C5330" t="str">
        <f>CHOOSE(MATCH(B5330, {20,25,30,35,40,45,50,55,60,65,70,75,80,85}, 1), "20-24", "25-29", "30-34", "35-39", "40-44", "45-49", "50-54", "55-59", "60-64", "65-69", "70-74", "75-79", "80-84", "85+")</f>
        <v>20-24</v>
      </c>
      <c r="D5330" t="s">
        <v>8</v>
      </c>
    </row>
    <row r="5331" spans="1:4">
      <c r="A5331" t="s">
        <v>6</v>
      </c>
      <c r="B5331">
        <v>52</v>
      </c>
      <c r="C5331" t="str">
        <f>CHOOSE(MATCH(B5331, {20,25,30,35,40,45,50,55,60,65,70,75,80,85}, 1), "20-24", "25-29", "30-34", "35-39", "40-44", "45-49", "50-54", "55-59", "60-64", "65-69", "70-74", "75-79", "80-84", "85+")</f>
        <v>50-54</v>
      </c>
      <c r="D5331" t="s">
        <v>7</v>
      </c>
    </row>
    <row r="5332" spans="1:4">
      <c r="A5332" t="s">
        <v>6</v>
      </c>
      <c r="B5332">
        <v>42</v>
      </c>
      <c r="C5332" t="str">
        <f>CHOOSE(MATCH(B5332, {20,25,30,35,40,45,50,55,60,65,70,75,80,85}, 1), "20-24", "25-29", "30-34", "35-39", "40-44", "45-49", "50-54", "55-59", "60-64", "65-69", "70-74", "75-79", "80-84", "85+")</f>
        <v>40-44</v>
      </c>
      <c r="D5332" t="s">
        <v>7</v>
      </c>
    </row>
    <row r="5333" spans="1:4">
      <c r="A5333" t="s">
        <v>6</v>
      </c>
      <c r="B5333">
        <v>46</v>
      </c>
      <c r="C5333" t="str">
        <f>CHOOSE(MATCH(B5333, {20,25,30,35,40,45,50,55,60,65,70,75,80,85}, 1), "20-24", "25-29", "30-34", "35-39", "40-44", "45-49", "50-54", "55-59", "60-64", "65-69", "70-74", "75-79", "80-84", "85+")</f>
        <v>45-49</v>
      </c>
      <c r="D5333" t="s">
        <v>8</v>
      </c>
    </row>
    <row r="5334" spans="1:4">
      <c r="A5334" t="s">
        <v>6</v>
      </c>
      <c r="B5334">
        <v>29</v>
      </c>
      <c r="C5334" t="str">
        <f>CHOOSE(MATCH(B5334, {20,25,30,35,40,45,50,55,60,65,70,75,80,85}, 1), "20-24", "25-29", "30-34", "35-39", "40-44", "45-49", "50-54", "55-59", "60-64", "65-69", "70-74", "75-79", "80-84", "85+")</f>
        <v>25-29</v>
      </c>
      <c r="D5334" t="s">
        <v>7</v>
      </c>
    </row>
    <row r="5335" spans="1:4">
      <c r="A5335" t="s">
        <v>6</v>
      </c>
      <c r="B5335">
        <v>37</v>
      </c>
      <c r="C5335" t="str">
        <f>CHOOSE(MATCH(B5335, {20,25,30,35,40,45,50,55,60,65,70,75,80,85}, 1), "20-24", "25-29", "30-34", "35-39", "40-44", "45-49", "50-54", "55-59", "60-64", "65-69", "70-74", "75-79", "80-84", "85+")</f>
        <v>35-39</v>
      </c>
      <c r="D5335" t="s">
        <v>7</v>
      </c>
    </row>
    <row r="5336" spans="1:4">
      <c r="A5336" t="s">
        <v>6</v>
      </c>
      <c r="B5336">
        <v>58</v>
      </c>
      <c r="C5336" t="str">
        <f>CHOOSE(MATCH(B5336, {20,25,30,35,40,45,50,55,60,65,70,75,80,85}, 1), "20-24", "25-29", "30-34", "35-39", "40-44", "45-49", "50-54", "55-59", "60-64", "65-69", "70-74", "75-79", "80-84", "85+")</f>
        <v>55-59</v>
      </c>
      <c r="D5336" t="s">
        <v>7</v>
      </c>
    </row>
    <row r="5337" spans="1:4">
      <c r="A5337" t="s">
        <v>6</v>
      </c>
      <c r="B5337">
        <v>30</v>
      </c>
      <c r="C5337" t="str">
        <f>CHOOSE(MATCH(B5337, {20,25,30,35,40,45,50,55,60,65,70,75,80,85}, 1), "20-24", "25-29", "30-34", "35-39", "40-44", "45-49", "50-54", "55-59", "60-64", "65-69", "70-74", "75-79", "80-84", "85+")</f>
        <v>30-34</v>
      </c>
      <c r="D5337" t="s">
        <v>8</v>
      </c>
    </row>
    <row r="5338" spans="1:4">
      <c r="A5338" t="s">
        <v>6</v>
      </c>
      <c r="B5338">
        <v>21</v>
      </c>
      <c r="C5338" t="str">
        <f>CHOOSE(MATCH(B5338, {20,25,30,35,40,45,50,55,60,65,70,75,80,85}, 1), "20-24", "25-29", "30-34", "35-39", "40-44", "45-49", "50-54", "55-59", "60-64", "65-69", "70-74", "75-79", "80-84", "85+")</f>
        <v>20-24</v>
      </c>
      <c r="D5338" t="s">
        <v>7</v>
      </c>
    </row>
    <row r="5339" spans="1:4">
      <c r="A5339" t="s">
        <v>6</v>
      </c>
      <c r="B5339">
        <v>64</v>
      </c>
      <c r="C5339" t="str">
        <f>CHOOSE(MATCH(B5339, {20,25,30,35,40,45,50,55,60,65,70,75,80,85}, 1), "20-24", "25-29", "30-34", "35-39", "40-44", "45-49", "50-54", "55-59", "60-64", "65-69", "70-74", "75-79", "80-84", "85+")</f>
        <v>60-64</v>
      </c>
      <c r="D5339" t="s">
        <v>7</v>
      </c>
    </row>
    <row r="5340" spans="1:4">
      <c r="A5340" t="s">
        <v>6</v>
      </c>
      <c r="B5340">
        <v>35</v>
      </c>
      <c r="C5340" t="str">
        <f>CHOOSE(MATCH(B5340, {20,25,30,35,40,45,50,55,60,65,70,75,80,85}, 1), "20-24", "25-29", "30-34", "35-39", "40-44", "45-49", "50-54", "55-59", "60-64", "65-69", "70-74", "75-79", "80-84", "85+")</f>
        <v>35-39</v>
      </c>
      <c r="D5340" t="s">
        <v>7</v>
      </c>
    </row>
    <row r="5341" spans="1:4">
      <c r="A5341" t="s">
        <v>6</v>
      </c>
      <c r="B5341">
        <v>35</v>
      </c>
      <c r="C5341" t="str">
        <f>CHOOSE(MATCH(B5341, {20,25,30,35,40,45,50,55,60,65,70,75,80,85}, 1), "20-24", "25-29", "30-34", "35-39", "40-44", "45-49", "50-54", "55-59", "60-64", "65-69", "70-74", "75-79", "80-84", "85+")</f>
        <v>35-39</v>
      </c>
      <c r="D5341" t="s">
        <v>8</v>
      </c>
    </row>
    <row r="5342" spans="1:4">
      <c r="A5342" t="s">
        <v>6</v>
      </c>
      <c r="B5342">
        <v>31</v>
      </c>
      <c r="C5342" t="str">
        <f>CHOOSE(MATCH(B5342, {20,25,30,35,40,45,50,55,60,65,70,75,80,85}, 1), "20-24", "25-29", "30-34", "35-39", "40-44", "45-49", "50-54", "55-59", "60-64", "65-69", "70-74", "75-79", "80-84", "85+")</f>
        <v>30-34</v>
      </c>
      <c r="D5342" t="s">
        <v>7</v>
      </c>
    </row>
    <row r="5343" spans="1:4">
      <c r="A5343" t="s">
        <v>6</v>
      </c>
      <c r="B5343">
        <v>30</v>
      </c>
      <c r="C5343" t="str">
        <f>CHOOSE(MATCH(B5343, {20,25,30,35,40,45,50,55,60,65,70,75,80,85}, 1), "20-24", "25-29", "30-34", "35-39", "40-44", "45-49", "50-54", "55-59", "60-64", "65-69", "70-74", "75-79", "80-84", "85+")</f>
        <v>30-34</v>
      </c>
      <c r="D5343" t="s">
        <v>7</v>
      </c>
    </row>
    <row r="5344" spans="1:4">
      <c r="A5344" t="s">
        <v>6</v>
      </c>
      <c r="B5344">
        <v>37</v>
      </c>
      <c r="C5344" t="str">
        <f>CHOOSE(MATCH(B5344, {20,25,30,35,40,45,50,55,60,65,70,75,80,85}, 1), "20-24", "25-29", "30-34", "35-39", "40-44", "45-49", "50-54", "55-59", "60-64", "65-69", "70-74", "75-79", "80-84", "85+")</f>
        <v>35-39</v>
      </c>
      <c r="D5344" t="s">
        <v>8</v>
      </c>
    </row>
    <row r="5345" spans="1:4">
      <c r="A5345" t="s">
        <v>6</v>
      </c>
      <c r="B5345">
        <v>34</v>
      </c>
      <c r="C5345" t="str">
        <f>CHOOSE(MATCH(B5345, {20,25,30,35,40,45,50,55,60,65,70,75,80,85}, 1), "20-24", "25-29", "30-34", "35-39", "40-44", "45-49", "50-54", "55-59", "60-64", "65-69", "70-74", "75-79", "80-84", "85+")</f>
        <v>30-34</v>
      </c>
      <c r="D5345" t="s">
        <v>7</v>
      </c>
    </row>
    <row r="5346" spans="1:4">
      <c r="A5346" t="s">
        <v>6</v>
      </c>
      <c r="B5346">
        <v>44</v>
      </c>
      <c r="C5346" t="str">
        <f>CHOOSE(MATCH(B5346, {20,25,30,35,40,45,50,55,60,65,70,75,80,85}, 1), "20-24", "25-29", "30-34", "35-39", "40-44", "45-49", "50-54", "55-59", "60-64", "65-69", "70-74", "75-79", "80-84", "85+")</f>
        <v>40-44</v>
      </c>
      <c r="D5346" t="s">
        <v>8</v>
      </c>
    </row>
    <row r="5347" spans="1:4">
      <c r="A5347" t="s">
        <v>6</v>
      </c>
      <c r="B5347">
        <v>26</v>
      </c>
      <c r="C5347" t="str">
        <f>CHOOSE(MATCH(B5347, {20,25,30,35,40,45,50,55,60,65,70,75,80,85}, 1), "20-24", "25-29", "30-34", "35-39", "40-44", "45-49", "50-54", "55-59", "60-64", "65-69", "70-74", "75-79", "80-84", "85+")</f>
        <v>25-29</v>
      </c>
      <c r="D5347" t="s">
        <v>8</v>
      </c>
    </row>
    <row r="5348" spans="1:4">
      <c r="A5348" t="s">
        <v>6</v>
      </c>
      <c r="B5348">
        <v>39</v>
      </c>
      <c r="C5348" t="str">
        <f>CHOOSE(MATCH(B5348, {20,25,30,35,40,45,50,55,60,65,70,75,80,85}, 1), "20-24", "25-29", "30-34", "35-39", "40-44", "45-49", "50-54", "55-59", "60-64", "65-69", "70-74", "75-79", "80-84", "85+")</f>
        <v>35-39</v>
      </c>
      <c r="D5348" t="s">
        <v>8</v>
      </c>
    </row>
    <row r="5349" spans="1:4">
      <c r="A5349" t="s">
        <v>6</v>
      </c>
      <c r="B5349">
        <v>36</v>
      </c>
      <c r="C5349" t="str">
        <f>CHOOSE(MATCH(B5349, {20,25,30,35,40,45,50,55,60,65,70,75,80,85}, 1), "20-24", "25-29", "30-34", "35-39", "40-44", "45-49", "50-54", "55-59", "60-64", "65-69", "70-74", "75-79", "80-84", "85+")</f>
        <v>35-39</v>
      </c>
      <c r="D5349" t="s">
        <v>7</v>
      </c>
    </row>
    <row r="5350" spans="1:4">
      <c r="A5350" t="s">
        <v>6</v>
      </c>
      <c r="B5350">
        <v>24</v>
      </c>
      <c r="C5350" t="str">
        <f>CHOOSE(MATCH(B5350, {20,25,30,35,40,45,50,55,60,65,70,75,80,85}, 1), "20-24", "25-29", "30-34", "35-39", "40-44", "45-49", "50-54", "55-59", "60-64", "65-69", "70-74", "75-79", "80-84", "85+")</f>
        <v>20-24</v>
      </c>
      <c r="D5350" t="s">
        <v>7</v>
      </c>
    </row>
    <row r="5351" spans="1:4">
      <c r="A5351" t="s">
        <v>6</v>
      </c>
      <c r="B5351">
        <v>55</v>
      </c>
      <c r="C5351" t="str">
        <f>CHOOSE(MATCH(B5351, {20,25,30,35,40,45,50,55,60,65,70,75,80,85}, 1), "20-24", "25-29", "30-34", "35-39", "40-44", "45-49", "50-54", "55-59", "60-64", "65-69", "70-74", "75-79", "80-84", "85+")</f>
        <v>55-59</v>
      </c>
      <c r="D5351" t="s">
        <v>7</v>
      </c>
    </row>
    <row r="5352" spans="1:4">
      <c r="A5352" t="s">
        <v>6</v>
      </c>
      <c r="B5352">
        <v>23</v>
      </c>
      <c r="C5352" t="str">
        <f>CHOOSE(MATCH(B5352, {20,25,30,35,40,45,50,55,60,65,70,75,80,85}, 1), "20-24", "25-29", "30-34", "35-39", "40-44", "45-49", "50-54", "55-59", "60-64", "65-69", "70-74", "75-79", "80-84", "85+")</f>
        <v>20-24</v>
      </c>
      <c r="D5352" t="s">
        <v>7</v>
      </c>
    </row>
    <row r="5353" spans="1:4">
      <c r="A5353" t="s">
        <v>6</v>
      </c>
      <c r="B5353">
        <v>35</v>
      </c>
      <c r="C5353" t="str">
        <f>CHOOSE(MATCH(B5353, {20,25,30,35,40,45,50,55,60,65,70,75,80,85}, 1), "20-24", "25-29", "30-34", "35-39", "40-44", "45-49", "50-54", "55-59", "60-64", "65-69", "70-74", "75-79", "80-84", "85+")</f>
        <v>35-39</v>
      </c>
      <c r="D5353" t="s">
        <v>7</v>
      </c>
    </row>
    <row r="5354" spans="1:4">
      <c r="A5354" t="s">
        <v>6</v>
      </c>
      <c r="B5354">
        <v>36</v>
      </c>
      <c r="C5354" t="str">
        <f>CHOOSE(MATCH(B5354, {20,25,30,35,40,45,50,55,60,65,70,75,80,85}, 1), "20-24", "25-29", "30-34", "35-39", "40-44", "45-49", "50-54", "55-59", "60-64", "65-69", "70-74", "75-79", "80-84", "85+")</f>
        <v>35-39</v>
      </c>
      <c r="D5354" t="s">
        <v>7</v>
      </c>
    </row>
    <row r="5355" spans="1:4">
      <c r="A5355" t="s">
        <v>6</v>
      </c>
      <c r="B5355">
        <v>46</v>
      </c>
      <c r="C5355" t="str">
        <f>CHOOSE(MATCH(B5355, {20,25,30,35,40,45,50,55,60,65,70,75,80,85}, 1), "20-24", "25-29", "30-34", "35-39", "40-44", "45-49", "50-54", "55-59", "60-64", "65-69", "70-74", "75-79", "80-84", "85+")</f>
        <v>45-49</v>
      </c>
      <c r="D5355" t="s">
        <v>8</v>
      </c>
    </row>
    <row r="5356" spans="1:4">
      <c r="A5356" t="s">
        <v>6</v>
      </c>
      <c r="B5356">
        <v>27</v>
      </c>
      <c r="C5356" t="str">
        <f>CHOOSE(MATCH(B5356, {20,25,30,35,40,45,50,55,60,65,70,75,80,85}, 1), "20-24", "25-29", "30-34", "35-39", "40-44", "45-49", "50-54", "55-59", "60-64", "65-69", "70-74", "75-79", "80-84", "85+")</f>
        <v>25-29</v>
      </c>
      <c r="D5356" t="s">
        <v>8</v>
      </c>
    </row>
    <row r="5357" spans="1:4">
      <c r="A5357" t="s">
        <v>6</v>
      </c>
      <c r="B5357">
        <v>30</v>
      </c>
      <c r="C5357" t="str">
        <f>CHOOSE(MATCH(B5357, {20,25,30,35,40,45,50,55,60,65,70,75,80,85}, 1), "20-24", "25-29", "30-34", "35-39", "40-44", "45-49", "50-54", "55-59", "60-64", "65-69", "70-74", "75-79", "80-84", "85+")</f>
        <v>30-34</v>
      </c>
      <c r="D5357" t="s">
        <v>7</v>
      </c>
    </row>
    <row r="5358" spans="1:4">
      <c r="A5358" t="s">
        <v>6</v>
      </c>
      <c r="B5358">
        <v>20</v>
      </c>
      <c r="C5358" t="str">
        <f>CHOOSE(MATCH(B5358, {20,25,30,35,40,45,50,55,60,65,70,75,80,85}, 1), "20-24", "25-29", "30-34", "35-39", "40-44", "45-49", "50-54", "55-59", "60-64", "65-69", "70-74", "75-79", "80-84", "85+")</f>
        <v>20-24</v>
      </c>
      <c r="D5358" t="s">
        <v>8</v>
      </c>
    </row>
    <row r="5359" spans="1:4">
      <c r="A5359" t="s">
        <v>6</v>
      </c>
      <c r="B5359">
        <v>60</v>
      </c>
      <c r="C5359" t="str">
        <f>CHOOSE(MATCH(B5359, {20,25,30,35,40,45,50,55,60,65,70,75,80,85}, 1), "20-24", "25-29", "30-34", "35-39", "40-44", "45-49", "50-54", "55-59", "60-64", "65-69", "70-74", "75-79", "80-84", "85+")</f>
        <v>60-64</v>
      </c>
      <c r="D5359" t="s">
        <v>8</v>
      </c>
    </row>
    <row r="5360" spans="1:4">
      <c r="A5360" t="s">
        <v>6</v>
      </c>
      <c r="B5360">
        <v>46</v>
      </c>
      <c r="C5360" t="str">
        <f>CHOOSE(MATCH(B5360, {20,25,30,35,40,45,50,55,60,65,70,75,80,85}, 1), "20-24", "25-29", "30-34", "35-39", "40-44", "45-49", "50-54", "55-59", "60-64", "65-69", "70-74", "75-79", "80-84", "85+")</f>
        <v>45-49</v>
      </c>
      <c r="D5360" t="s">
        <v>7</v>
      </c>
    </row>
    <row r="5361" spans="1:4">
      <c r="A5361" t="s">
        <v>6</v>
      </c>
      <c r="B5361">
        <v>49</v>
      </c>
      <c r="C5361" t="str">
        <f>CHOOSE(MATCH(B5361, {20,25,30,35,40,45,50,55,60,65,70,75,80,85}, 1), "20-24", "25-29", "30-34", "35-39", "40-44", "45-49", "50-54", "55-59", "60-64", "65-69", "70-74", "75-79", "80-84", "85+")</f>
        <v>45-49</v>
      </c>
      <c r="D5361" t="s">
        <v>7</v>
      </c>
    </row>
    <row r="5362" spans="1:4">
      <c r="A5362" t="s">
        <v>6</v>
      </c>
      <c r="B5362">
        <v>30</v>
      </c>
      <c r="C5362" t="str">
        <f>CHOOSE(MATCH(B5362, {20,25,30,35,40,45,50,55,60,65,70,75,80,85}, 1), "20-24", "25-29", "30-34", "35-39", "40-44", "45-49", "50-54", "55-59", "60-64", "65-69", "70-74", "75-79", "80-84", "85+")</f>
        <v>30-34</v>
      </c>
      <c r="D5362" t="s">
        <v>7</v>
      </c>
    </row>
    <row r="5363" spans="1:4">
      <c r="A5363" t="s">
        <v>6</v>
      </c>
      <c r="B5363">
        <v>48</v>
      </c>
      <c r="C5363" t="str">
        <f>CHOOSE(MATCH(B5363, {20,25,30,35,40,45,50,55,60,65,70,75,80,85}, 1), "20-24", "25-29", "30-34", "35-39", "40-44", "45-49", "50-54", "55-59", "60-64", "65-69", "70-74", "75-79", "80-84", "85+")</f>
        <v>45-49</v>
      </c>
      <c r="D5363" t="s">
        <v>7</v>
      </c>
    </row>
    <row r="5364" spans="1:4">
      <c r="A5364" t="s">
        <v>6</v>
      </c>
      <c r="B5364">
        <v>45</v>
      </c>
      <c r="C5364" t="str">
        <f>CHOOSE(MATCH(B5364, {20,25,30,35,40,45,50,55,60,65,70,75,80,85}, 1), "20-24", "25-29", "30-34", "35-39", "40-44", "45-49", "50-54", "55-59", "60-64", "65-69", "70-74", "75-79", "80-84", "85+")</f>
        <v>45-49</v>
      </c>
      <c r="D5364" t="s">
        <v>7</v>
      </c>
    </row>
    <row r="5365" spans="1:4">
      <c r="A5365" t="s">
        <v>6</v>
      </c>
      <c r="B5365">
        <v>70</v>
      </c>
      <c r="C5365" t="str">
        <f>CHOOSE(MATCH(B5365, {20,25,30,35,40,45,50,55,60,65,70,75,80,85}, 1), "20-24", "25-29", "30-34", "35-39", "40-44", "45-49", "50-54", "55-59", "60-64", "65-69", "70-74", "75-79", "80-84", "85+")</f>
        <v>70-74</v>
      </c>
      <c r="D5365" t="s">
        <v>7</v>
      </c>
    </row>
    <row r="5366" spans="1:4">
      <c r="A5366" t="s">
        <v>6</v>
      </c>
      <c r="B5366">
        <v>55</v>
      </c>
      <c r="C5366" t="str">
        <f>CHOOSE(MATCH(B5366, {20,25,30,35,40,45,50,55,60,65,70,75,80,85}, 1), "20-24", "25-29", "30-34", "35-39", "40-44", "45-49", "50-54", "55-59", "60-64", "65-69", "70-74", "75-79", "80-84", "85+")</f>
        <v>55-59</v>
      </c>
      <c r="D5366" t="s">
        <v>8</v>
      </c>
    </row>
    <row r="5367" spans="1:4">
      <c r="A5367" t="s">
        <v>6</v>
      </c>
      <c r="B5367">
        <v>52</v>
      </c>
      <c r="C5367" t="str">
        <f>CHOOSE(MATCH(B5367, {20,25,30,35,40,45,50,55,60,65,70,75,80,85}, 1), "20-24", "25-29", "30-34", "35-39", "40-44", "45-49", "50-54", "55-59", "60-64", "65-69", "70-74", "75-79", "80-84", "85+")</f>
        <v>50-54</v>
      </c>
      <c r="D5367" t="s">
        <v>8</v>
      </c>
    </row>
    <row r="5368" spans="1:4">
      <c r="A5368" t="s">
        <v>6</v>
      </c>
      <c r="B5368">
        <v>47</v>
      </c>
      <c r="C5368" t="str">
        <f>CHOOSE(MATCH(B5368, {20,25,30,35,40,45,50,55,60,65,70,75,80,85}, 1), "20-24", "25-29", "30-34", "35-39", "40-44", "45-49", "50-54", "55-59", "60-64", "65-69", "70-74", "75-79", "80-84", "85+")</f>
        <v>45-49</v>
      </c>
      <c r="D5368" t="s">
        <v>7</v>
      </c>
    </row>
    <row r="5369" spans="1:4">
      <c r="A5369" t="s">
        <v>6</v>
      </c>
      <c r="B5369">
        <v>38</v>
      </c>
      <c r="C5369" t="str">
        <f>CHOOSE(MATCH(B5369, {20,25,30,35,40,45,50,55,60,65,70,75,80,85}, 1), "20-24", "25-29", "30-34", "35-39", "40-44", "45-49", "50-54", "55-59", "60-64", "65-69", "70-74", "75-79", "80-84", "85+")</f>
        <v>35-39</v>
      </c>
      <c r="D5369" t="s">
        <v>7</v>
      </c>
    </row>
    <row r="5370" spans="1:4">
      <c r="A5370" t="s">
        <v>6</v>
      </c>
      <c r="B5370">
        <v>59</v>
      </c>
      <c r="C5370" t="str">
        <f>CHOOSE(MATCH(B5370, {20,25,30,35,40,45,50,55,60,65,70,75,80,85}, 1), "20-24", "25-29", "30-34", "35-39", "40-44", "45-49", "50-54", "55-59", "60-64", "65-69", "70-74", "75-79", "80-84", "85+")</f>
        <v>55-59</v>
      </c>
      <c r="D5370" t="s">
        <v>8</v>
      </c>
    </row>
    <row r="5371" spans="1:4">
      <c r="A5371" t="s">
        <v>6</v>
      </c>
      <c r="B5371">
        <v>46</v>
      </c>
      <c r="C5371" t="str">
        <f>CHOOSE(MATCH(B5371, {20,25,30,35,40,45,50,55,60,65,70,75,80,85}, 1), "20-24", "25-29", "30-34", "35-39", "40-44", "45-49", "50-54", "55-59", "60-64", "65-69", "70-74", "75-79", "80-84", "85+")</f>
        <v>45-49</v>
      </c>
      <c r="D5371" t="s">
        <v>7</v>
      </c>
    </row>
    <row r="5372" spans="1:4">
      <c r="A5372" t="s">
        <v>6</v>
      </c>
      <c r="B5372">
        <v>66</v>
      </c>
      <c r="C5372" t="str">
        <f>CHOOSE(MATCH(B5372, {20,25,30,35,40,45,50,55,60,65,70,75,80,85}, 1), "20-24", "25-29", "30-34", "35-39", "40-44", "45-49", "50-54", "55-59", "60-64", "65-69", "70-74", "75-79", "80-84", "85+")</f>
        <v>65-69</v>
      </c>
      <c r="D5372" t="s">
        <v>8</v>
      </c>
    </row>
    <row r="5373" spans="1:4">
      <c r="A5373" t="s">
        <v>6</v>
      </c>
      <c r="B5373">
        <v>41</v>
      </c>
      <c r="C5373" t="str">
        <f>CHOOSE(MATCH(B5373, {20,25,30,35,40,45,50,55,60,65,70,75,80,85}, 1), "20-24", "25-29", "30-34", "35-39", "40-44", "45-49", "50-54", "55-59", "60-64", "65-69", "70-74", "75-79", "80-84", "85+")</f>
        <v>40-44</v>
      </c>
      <c r="D5373" t="s">
        <v>8</v>
      </c>
    </row>
    <row r="5374" spans="1:4">
      <c r="A5374" t="s">
        <v>6</v>
      </c>
      <c r="B5374">
        <v>34</v>
      </c>
      <c r="C5374" t="str">
        <f>CHOOSE(MATCH(B5374, {20,25,30,35,40,45,50,55,60,65,70,75,80,85}, 1), "20-24", "25-29", "30-34", "35-39", "40-44", "45-49", "50-54", "55-59", "60-64", "65-69", "70-74", "75-79", "80-84", "85+")</f>
        <v>30-34</v>
      </c>
      <c r="D5374" t="s">
        <v>8</v>
      </c>
    </row>
    <row r="5375" spans="1:4">
      <c r="A5375" t="s">
        <v>6</v>
      </c>
      <c r="B5375">
        <v>24</v>
      </c>
      <c r="C5375" t="str">
        <f>CHOOSE(MATCH(B5375, {20,25,30,35,40,45,50,55,60,65,70,75,80,85}, 1), "20-24", "25-29", "30-34", "35-39", "40-44", "45-49", "50-54", "55-59", "60-64", "65-69", "70-74", "75-79", "80-84", "85+")</f>
        <v>20-24</v>
      </c>
      <c r="D5375" t="s">
        <v>8</v>
      </c>
    </row>
    <row r="5376" spans="1:4">
      <c r="A5376" t="s">
        <v>6</v>
      </c>
      <c r="B5376">
        <v>28</v>
      </c>
      <c r="C5376" t="str">
        <f>CHOOSE(MATCH(B5376, {20,25,30,35,40,45,50,55,60,65,70,75,80,85}, 1), "20-24", "25-29", "30-34", "35-39", "40-44", "45-49", "50-54", "55-59", "60-64", "65-69", "70-74", "75-79", "80-84", "85+")</f>
        <v>25-29</v>
      </c>
      <c r="D5376" t="s">
        <v>7</v>
      </c>
    </row>
    <row r="5377" spans="1:4">
      <c r="A5377" t="s">
        <v>6</v>
      </c>
      <c r="B5377">
        <v>30</v>
      </c>
      <c r="C5377" t="str">
        <f>CHOOSE(MATCH(B5377, {20,25,30,35,40,45,50,55,60,65,70,75,80,85}, 1), "20-24", "25-29", "30-34", "35-39", "40-44", "45-49", "50-54", "55-59", "60-64", "65-69", "70-74", "75-79", "80-84", "85+")</f>
        <v>30-34</v>
      </c>
      <c r="D5377" t="s">
        <v>8</v>
      </c>
    </row>
    <row r="5378" spans="1:4">
      <c r="A5378" t="s">
        <v>6</v>
      </c>
      <c r="B5378">
        <v>54</v>
      </c>
      <c r="C5378" t="str">
        <f>CHOOSE(MATCH(B5378, {20,25,30,35,40,45,50,55,60,65,70,75,80,85}, 1), "20-24", "25-29", "30-34", "35-39", "40-44", "45-49", "50-54", "55-59", "60-64", "65-69", "70-74", "75-79", "80-84", "85+")</f>
        <v>50-54</v>
      </c>
      <c r="D5378" t="s">
        <v>7</v>
      </c>
    </row>
    <row r="5379" spans="1:4">
      <c r="A5379" t="s">
        <v>6</v>
      </c>
      <c r="B5379">
        <v>25</v>
      </c>
      <c r="C5379" t="str">
        <f>CHOOSE(MATCH(B5379, {20,25,30,35,40,45,50,55,60,65,70,75,80,85}, 1), "20-24", "25-29", "30-34", "35-39", "40-44", "45-49", "50-54", "55-59", "60-64", "65-69", "70-74", "75-79", "80-84", "85+")</f>
        <v>25-29</v>
      </c>
      <c r="D5379" t="s">
        <v>7</v>
      </c>
    </row>
    <row r="5380" spans="1:4">
      <c r="A5380" t="s">
        <v>6</v>
      </c>
      <c r="B5380">
        <v>22</v>
      </c>
      <c r="C5380" t="str">
        <f>CHOOSE(MATCH(B5380, {20,25,30,35,40,45,50,55,60,65,70,75,80,85}, 1), "20-24", "25-29", "30-34", "35-39", "40-44", "45-49", "50-54", "55-59", "60-64", "65-69", "70-74", "75-79", "80-84", "85+")</f>
        <v>20-24</v>
      </c>
      <c r="D5380" t="s">
        <v>8</v>
      </c>
    </row>
    <row r="5381" spans="1:4">
      <c r="A5381" t="s">
        <v>6</v>
      </c>
      <c r="B5381">
        <v>20</v>
      </c>
      <c r="C5381" t="str">
        <f>CHOOSE(MATCH(B5381, {20,25,30,35,40,45,50,55,60,65,70,75,80,85}, 1), "20-24", "25-29", "30-34", "35-39", "40-44", "45-49", "50-54", "55-59", "60-64", "65-69", "70-74", "75-79", "80-84", "85+")</f>
        <v>20-24</v>
      </c>
      <c r="D5381" t="s">
        <v>7</v>
      </c>
    </row>
    <row r="5382" spans="1:4">
      <c r="A5382" t="s">
        <v>6</v>
      </c>
      <c r="B5382">
        <v>31</v>
      </c>
      <c r="C5382" t="str">
        <f>CHOOSE(MATCH(B5382, {20,25,30,35,40,45,50,55,60,65,70,75,80,85}, 1), "20-24", "25-29", "30-34", "35-39", "40-44", "45-49", "50-54", "55-59", "60-64", "65-69", "70-74", "75-79", "80-84", "85+")</f>
        <v>30-34</v>
      </c>
      <c r="D5382" t="s">
        <v>7</v>
      </c>
    </row>
    <row r="5383" spans="1:4">
      <c r="A5383" t="s">
        <v>6</v>
      </c>
      <c r="B5383">
        <v>58</v>
      </c>
      <c r="C5383" t="str">
        <f>CHOOSE(MATCH(B5383, {20,25,30,35,40,45,50,55,60,65,70,75,80,85}, 1), "20-24", "25-29", "30-34", "35-39", "40-44", "45-49", "50-54", "55-59", "60-64", "65-69", "70-74", "75-79", "80-84", "85+")</f>
        <v>55-59</v>
      </c>
      <c r="D5383" t="s">
        <v>8</v>
      </c>
    </row>
    <row r="5384" spans="1:4">
      <c r="A5384" t="s">
        <v>6</v>
      </c>
      <c r="B5384">
        <v>54</v>
      </c>
      <c r="C5384" t="str">
        <f>CHOOSE(MATCH(B5384, {20,25,30,35,40,45,50,55,60,65,70,75,80,85}, 1), "20-24", "25-29", "30-34", "35-39", "40-44", "45-49", "50-54", "55-59", "60-64", "65-69", "70-74", "75-79", "80-84", "85+")</f>
        <v>50-54</v>
      </c>
      <c r="D5384" t="s">
        <v>8</v>
      </c>
    </row>
    <row r="5385" spans="1:4">
      <c r="A5385" t="s">
        <v>6</v>
      </c>
      <c r="B5385">
        <v>61</v>
      </c>
      <c r="C5385" t="str">
        <f>CHOOSE(MATCH(B5385, {20,25,30,35,40,45,50,55,60,65,70,75,80,85}, 1), "20-24", "25-29", "30-34", "35-39", "40-44", "45-49", "50-54", "55-59", "60-64", "65-69", "70-74", "75-79", "80-84", "85+")</f>
        <v>60-64</v>
      </c>
      <c r="D5385" t="s">
        <v>7</v>
      </c>
    </row>
    <row r="5386" spans="1:4">
      <c r="A5386" t="s">
        <v>6</v>
      </c>
      <c r="B5386">
        <v>24</v>
      </c>
      <c r="C5386" t="str">
        <f>CHOOSE(MATCH(B5386, {20,25,30,35,40,45,50,55,60,65,70,75,80,85}, 1), "20-24", "25-29", "30-34", "35-39", "40-44", "45-49", "50-54", "55-59", "60-64", "65-69", "70-74", "75-79", "80-84", "85+")</f>
        <v>20-24</v>
      </c>
      <c r="D5386" t="s">
        <v>7</v>
      </c>
    </row>
    <row r="5387" spans="1:4">
      <c r="A5387" t="s">
        <v>6</v>
      </c>
      <c r="B5387">
        <v>44</v>
      </c>
      <c r="C5387" t="str">
        <f>CHOOSE(MATCH(B5387, {20,25,30,35,40,45,50,55,60,65,70,75,80,85}, 1), "20-24", "25-29", "30-34", "35-39", "40-44", "45-49", "50-54", "55-59", "60-64", "65-69", "70-74", "75-79", "80-84", "85+")</f>
        <v>40-44</v>
      </c>
      <c r="D5387" t="s">
        <v>7</v>
      </c>
    </row>
    <row r="5388" spans="1:4">
      <c r="A5388" t="s">
        <v>6</v>
      </c>
      <c r="B5388">
        <v>30</v>
      </c>
      <c r="C5388" t="str">
        <f>CHOOSE(MATCH(B5388, {20,25,30,35,40,45,50,55,60,65,70,75,80,85}, 1), "20-24", "25-29", "30-34", "35-39", "40-44", "45-49", "50-54", "55-59", "60-64", "65-69", "70-74", "75-79", "80-84", "85+")</f>
        <v>30-34</v>
      </c>
      <c r="D5388" t="s">
        <v>7</v>
      </c>
    </row>
    <row r="5389" spans="1:4">
      <c r="A5389" t="s">
        <v>6</v>
      </c>
      <c r="B5389">
        <v>26</v>
      </c>
      <c r="C5389" t="str">
        <f>CHOOSE(MATCH(B5389, {20,25,30,35,40,45,50,55,60,65,70,75,80,85}, 1), "20-24", "25-29", "30-34", "35-39", "40-44", "45-49", "50-54", "55-59", "60-64", "65-69", "70-74", "75-79", "80-84", "85+")</f>
        <v>25-29</v>
      </c>
      <c r="D5389" t="s">
        <v>7</v>
      </c>
    </row>
    <row r="5390" spans="1:4">
      <c r="A5390" t="s">
        <v>6</v>
      </c>
      <c r="B5390">
        <v>43</v>
      </c>
      <c r="C5390" t="str">
        <f>CHOOSE(MATCH(B5390, {20,25,30,35,40,45,50,55,60,65,70,75,80,85}, 1), "20-24", "25-29", "30-34", "35-39", "40-44", "45-49", "50-54", "55-59", "60-64", "65-69", "70-74", "75-79", "80-84", "85+")</f>
        <v>40-44</v>
      </c>
      <c r="D5390" t="s">
        <v>8</v>
      </c>
    </row>
    <row r="5391" spans="1:4">
      <c r="A5391" t="s">
        <v>6</v>
      </c>
      <c r="B5391">
        <v>27</v>
      </c>
      <c r="C5391" t="str">
        <f>CHOOSE(MATCH(B5391, {20,25,30,35,40,45,50,55,60,65,70,75,80,85}, 1), "20-24", "25-29", "30-34", "35-39", "40-44", "45-49", "50-54", "55-59", "60-64", "65-69", "70-74", "75-79", "80-84", "85+")</f>
        <v>25-29</v>
      </c>
      <c r="D5391" t="s">
        <v>7</v>
      </c>
    </row>
    <row r="5392" spans="1:4">
      <c r="A5392" t="s">
        <v>6</v>
      </c>
      <c r="B5392">
        <v>49</v>
      </c>
      <c r="C5392" t="str">
        <f>CHOOSE(MATCH(B5392, {20,25,30,35,40,45,50,55,60,65,70,75,80,85}, 1), "20-24", "25-29", "30-34", "35-39", "40-44", "45-49", "50-54", "55-59", "60-64", "65-69", "70-74", "75-79", "80-84", "85+")</f>
        <v>45-49</v>
      </c>
      <c r="D5392" t="s">
        <v>8</v>
      </c>
    </row>
    <row r="5393" spans="1:4">
      <c r="A5393" t="s">
        <v>6</v>
      </c>
      <c r="B5393">
        <v>43</v>
      </c>
      <c r="C5393" t="str">
        <f>CHOOSE(MATCH(B5393, {20,25,30,35,40,45,50,55,60,65,70,75,80,85}, 1), "20-24", "25-29", "30-34", "35-39", "40-44", "45-49", "50-54", "55-59", "60-64", "65-69", "70-74", "75-79", "80-84", "85+")</f>
        <v>40-44</v>
      </c>
      <c r="D5393" t="s">
        <v>7</v>
      </c>
    </row>
    <row r="5394" spans="1:4">
      <c r="A5394" t="s">
        <v>6</v>
      </c>
      <c r="B5394">
        <v>32</v>
      </c>
      <c r="C5394" t="str">
        <f>CHOOSE(MATCH(B5394, {20,25,30,35,40,45,50,55,60,65,70,75,80,85}, 1), "20-24", "25-29", "30-34", "35-39", "40-44", "45-49", "50-54", "55-59", "60-64", "65-69", "70-74", "75-79", "80-84", "85+")</f>
        <v>30-34</v>
      </c>
      <c r="D5394" t="s">
        <v>7</v>
      </c>
    </row>
    <row r="5395" spans="1:4">
      <c r="A5395" t="s">
        <v>6</v>
      </c>
      <c r="B5395">
        <v>79</v>
      </c>
      <c r="C5395" t="str">
        <f>CHOOSE(MATCH(B5395, {20,25,30,35,40,45,50,55,60,65,70,75,80,85}, 1), "20-24", "25-29", "30-34", "35-39", "40-44", "45-49", "50-54", "55-59", "60-64", "65-69", "70-74", "75-79", "80-84", "85+")</f>
        <v>75-79</v>
      </c>
      <c r="D5395" t="s">
        <v>8</v>
      </c>
    </row>
    <row r="5396" spans="1:4">
      <c r="A5396" t="s">
        <v>6</v>
      </c>
      <c r="B5396">
        <v>27</v>
      </c>
      <c r="C5396" t="str">
        <f>CHOOSE(MATCH(B5396, {20,25,30,35,40,45,50,55,60,65,70,75,80,85}, 1), "20-24", "25-29", "30-34", "35-39", "40-44", "45-49", "50-54", "55-59", "60-64", "65-69", "70-74", "75-79", "80-84", "85+")</f>
        <v>25-29</v>
      </c>
      <c r="D5396" t="s">
        <v>7</v>
      </c>
    </row>
    <row r="5397" spans="1:4">
      <c r="A5397" t="s">
        <v>6</v>
      </c>
      <c r="B5397">
        <v>45</v>
      </c>
      <c r="C5397" t="str">
        <f>CHOOSE(MATCH(B5397, {20,25,30,35,40,45,50,55,60,65,70,75,80,85}, 1), "20-24", "25-29", "30-34", "35-39", "40-44", "45-49", "50-54", "55-59", "60-64", "65-69", "70-74", "75-79", "80-84", "85+")</f>
        <v>45-49</v>
      </c>
      <c r="D5397" t="s">
        <v>7</v>
      </c>
    </row>
    <row r="5398" spans="1:4">
      <c r="A5398" t="s">
        <v>6</v>
      </c>
      <c r="B5398">
        <v>22</v>
      </c>
      <c r="C5398" t="str">
        <f>CHOOSE(MATCH(B5398, {20,25,30,35,40,45,50,55,60,65,70,75,80,85}, 1), "20-24", "25-29", "30-34", "35-39", "40-44", "45-49", "50-54", "55-59", "60-64", "65-69", "70-74", "75-79", "80-84", "85+")</f>
        <v>20-24</v>
      </c>
      <c r="D5398" t="s">
        <v>8</v>
      </c>
    </row>
    <row r="5399" spans="1:4">
      <c r="A5399" t="s">
        <v>6</v>
      </c>
      <c r="B5399">
        <v>50</v>
      </c>
      <c r="C5399" t="str">
        <f>CHOOSE(MATCH(B5399, {20,25,30,35,40,45,50,55,60,65,70,75,80,85}, 1), "20-24", "25-29", "30-34", "35-39", "40-44", "45-49", "50-54", "55-59", "60-64", "65-69", "70-74", "75-79", "80-84", "85+")</f>
        <v>50-54</v>
      </c>
      <c r="D5399" t="s">
        <v>7</v>
      </c>
    </row>
    <row r="5400" spans="1:4">
      <c r="A5400" t="s">
        <v>6</v>
      </c>
      <c r="B5400">
        <v>34</v>
      </c>
      <c r="C5400" t="str">
        <f>CHOOSE(MATCH(B5400, {20,25,30,35,40,45,50,55,60,65,70,75,80,85}, 1), "20-24", "25-29", "30-34", "35-39", "40-44", "45-49", "50-54", "55-59", "60-64", "65-69", "70-74", "75-79", "80-84", "85+")</f>
        <v>30-34</v>
      </c>
      <c r="D5400" t="s">
        <v>8</v>
      </c>
    </row>
    <row r="5401" spans="1:4">
      <c r="A5401" t="s">
        <v>6</v>
      </c>
      <c r="B5401">
        <v>42</v>
      </c>
      <c r="C5401" t="str">
        <f>CHOOSE(MATCH(B5401, {20,25,30,35,40,45,50,55,60,65,70,75,80,85}, 1), "20-24", "25-29", "30-34", "35-39", "40-44", "45-49", "50-54", "55-59", "60-64", "65-69", "70-74", "75-79", "80-84", "85+")</f>
        <v>40-44</v>
      </c>
      <c r="D5401" t="s">
        <v>8</v>
      </c>
    </row>
    <row r="5402" spans="1:4">
      <c r="A5402" t="s">
        <v>6</v>
      </c>
      <c r="B5402">
        <v>22</v>
      </c>
      <c r="C5402" t="str">
        <f>CHOOSE(MATCH(B5402, {20,25,30,35,40,45,50,55,60,65,70,75,80,85}, 1), "20-24", "25-29", "30-34", "35-39", "40-44", "45-49", "50-54", "55-59", "60-64", "65-69", "70-74", "75-79", "80-84", "85+")</f>
        <v>20-24</v>
      </c>
      <c r="D5402" t="s">
        <v>7</v>
      </c>
    </row>
    <row r="5403" spans="1:4">
      <c r="A5403" t="s">
        <v>6</v>
      </c>
      <c r="B5403">
        <v>33</v>
      </c>
      <c r="C5403" t="str">
        <f>CHOOSE(MATCH(B5403, {20,25,30,35,40,45,50,55,60,65,70,75,80,85}, 1), "20-24", "25-29", "30-34", "35-39", "40-44", "45-49", "50-54", "55-59", "60-64", "65-69", "70-74", "75-79", "80-84", "85+")</f>
        <v>30-34</v>
      </c>
      <c r="D5403" t="s">
        <v>7</v>
      </c>
    </row>
    <row r="5404" spans="1:4">
      <c r="A5404" t="s">
        <v>6</v>
      </c>
      <c r="B5404">
        <v>53</v>
      </c>
      <c r="C5404" t="str">
        <f>CHOOSE(MATCH(B5404, {20,25,30,35,40,45,50,55,60,65,70,75,80,85}, 1), "20-24", "25-29", "30-34", "35-39", "40-44", "45-49", "50-54", "55-59", "60-64", "65-69", "70-74", "75-79", "80-84", "85+")</f>
        <v>50-54</v>
      </c>
      <c r="D5404" t="s">
        <v>7</v>
      </c>
    </row>
    <row r="5405" spans="1:4">
      <c r="A5405" t="s">
        <v>6</v>
      </c>
      <c r="B5405">
        <v>29</v>
      </c>
      <c r="C5405" t="str">
        <f>CHOOSE(MATCH(B5405, {20,25,30,35,40,45,50,55,60,65,70,75,80,85}, 1), "20-24", "25-29", "30-34", "35-39", "40-44", "45-49", "50-54", "55-59", "60-64", "65-69", "70-74", "75-79", "80-84", "85+")</f>
        <v>25-29</v>
      </c>
      <c r="D5405" t="s">
        <v>8</v>
      </c>
    </row>
    <row r="5406" spans="1:4">
      <c r="A5406" t="s">
        <v>6</v>
      </c>
      <c r="B5406">
        <v>53</v>
      </c>
      <c r="C5406" t="str">
        <f>CHOOSE(MATCH(B5406, {20,25,30,35,40,45,50,55,60,65,70,75,80,85}, 1), "20-24", "25-29", "30-34", "35-39", "40-44", "45-49", "50-54", "55-59", "60-64", "65-69", "70-74", "75-79", "80-84", "85+")</f>
        <v>50-54</v>
      </c>
      <c r="D5406" t="s">
        <v>8</v>
      </c>
    </row>
    <row r="5407" spans="1:4">
      <c r="A5407" t="s">
        <v>6</v>
      </c>
      <c r="B5407">
        <v>32</v>
      </c>
      <c r="C5407" t="str">
        <f>CHOOSE(MATCH(B5407, {20,25,30,35,40,45,50,55,60,65,70,75,80,85}, 1), "20-24", "25-29", "30-34", "35-39", "40-44", "45-49", "50-54", "55-59", "60-64", "65-69", "70-74", "75-79", "80-84", "85+")</f>
        <v>30-34</v>
      </c>
      <c r="D5407" t="s">
        <v>8</v>
      </c>
    </row>
    <row r="5408" spans="1:4">
      <c r="A5408" t="s">
        <v>6</v>
      </c>
      <c r="B5408">
        <v>47</v>
      </c>
      <c r="C5408" t="str">
        <f>CHOOSE(MATCH(B5408, {20,25,30,35,40,45,50,55,60,65,70,75,80,85}, 1), "20-24", "25-29", "30-34", "35-39", "40-44", "45-49", "50-54", "55-59", "60-64", "65-69", "70-74", "75-79", "80-84", "85+")</f>
        <v>45-49</v>
      </c>
      <c r="D5408" t="s">
        <v>7</v>
      </c>
    </row>
    <row r="5409" spans="1:4">
      <c r="A5409" t="s">
        <v>6</v>
      </c>
      <c r="B5409">
        <v>30</v>
      </c>
      <c r="C5409" t="str">
        <f>CHOOSE(MATCH(B5409, {20,25,30,35,40,45,50,55,60,65,70,75,80,85}, 1), "20-24", "25-29", "30-34", "35-39", "40-44", "45-49", "50-54", "55-59", "60-64", "65-69", "70-74", "75-79", "80-84", "85+")</f>
        <v>30-34</v>
      </c>
      <c r="D5409" t="s">
        <v>7</v>
      </c>
    </row>
    <row r="5410" spans="1:4">
      <c r="A5410" t="s">
        <v>6</v>
      </c>
      <c r="B5410">
        <v>42</v>
      </c>
      <c r="C5410" t="str">
        <f>CHOOSE(MATCH(B5410, {20,25,30,35,40,45,50,55,60,65,70,75,80,85}, 1), "20-24", "25-29", "30-34", "35-39", "40-44", "45-49", "50-54", "55-59", "60-64", "65-69", "70-74", "75-79", "80-84", "85+")</f>
        <v>40-44</v>
      </c>
      <c r="D5410" t="s">
        <v>8</v>
      </c>
    </row>
    <row r="5411" spans="1:4">
      <c r="A5411" t="s">
        <v>6</v>
      </c>
      <c r="B5411">
        <v>55</v>
      </c>
      <c r="C5411" t="str">
        <f>CHOOSE(MATCH(B5411, {20,25,30,35,40,45,50,55,60,65,70,75,80,85}, 1), "20-24", "25-29", "30-34", "35-39", "40-44", "45-49", "50-54", "55-59", "60-64", "65-69", "70-74", "75-79", "80-84", "85+")</f>
        <v>55-59</v>
      </c>
      <c r="D5411" t="s">
        <v>7</v>
      </c>
    </row>
    <row r="5412" spans="1:4">
      <c r="A5412" t="s">
        <v>6</v>
      </c>
      <c r="B5412">
        <v>32</v>
      </c>
      <c r="C5412" t="str">
        <f>CHOOSE(MATCH(B5412, {20,25,30,35,40,45,50,55,60,65,70,75,80,85}, 1), "20-24", "25-29", "30-34", "35-39", "40-44", "45-49", "50-54", "55-59", "60-64", "65-69", "70-74", "75-79", "80-84", "85+")</f>
        <v>30-34</v>
      </c>
      <c r="D5412" t="s">
        <v>7</v>
      </c>
    </row>
    <row r="5413" spans="1:4">
      <c r="A5413" t="s">
        <v>6</v>
      </c>
      <c r="B5413">
        <v>48</v>
      </c>
      <c r="C5413" t="str">
        <f>CHOOSE(MATCH(B5413, {20,25,30,35,40,45,50,55,60,65,70,75,80,85}, 1), "20-24", "25-29", "30-34", "35-39", "40-44", "45-49", "50-54", "55-59", "60-64", "65-69", "70-74", "75-79", "80-84", "85+")</f>
        <v>45-49</v>
      </c>
      <c r="D5413" t="s">
        <v>8</v>
      </c>
    </row>
    <row r="5414" spans="1:4">
      <c r="A5414" t="s">
        <v>6</v>
      </c>
      <c r="B5414">
        <v>57</v>
      </c>
      <c r="C5414" t="str">
        <f>CHOOSE(MATCH(B5414, {20,25,30,35,40,45,50,55,60,65,70,75,80,85}, 1), "20-24", "25-29", "30-34", "35-39", "40-44", "45-49", "50-54", "55-59", "60-64", "65-69", "70-74", "75-79", "80-84", "85+")</f>
        <v>55-59</v>
      </c>
      <c r="D5414" t="s">
        <v>7</v>
      </c>
    </row>
    <row r="5415" spans="1:4">
      <c r="A5415" t="s">
        <v>6</v>
      </c>
      <c r="B5415">
        <v>30</v>
      </c>
      <c r="C5415" t="str">
        <f>CHOOSE(MATCH(B5415, {20,25,30,35,40,45,50,55,60,65,70,75,80,85}, 1), "20-24", "25-29", "30-34", "35-39", "40-44", "45-49", "50-54", "55-59", "60-64", "65-69", "70-74", "75-79", "80-84", "85+")</f>
        <v>30-34</v>
      </c>
      <c r="D5415" t="s">
        <v>7</v>
      </c>
    </row>
    <row r="5416" spans="1:4">
      <c r="A5416" t="s">
        <v>6</v>
      </c>
      <c r="B5416">
        <v>28</v>
      </c>
      <c r="C5416" t="str">
        <f>CHOOSE(MATCH(B5416, {20,25,30,35,40,45,50,55,60,65,70,75,80,85}, 1), "20-24", "25-29", "30-34", "35-39", "40-44", "45-49", "50-54", "55-59", "60-64", "65-69", "70-74", "75-79", "80-84", "85+")</f>
        <v>25-29</v>
      </c>
      <c r="D5416" t="s">
        <v>7</v>
      </c>
    </row>
    <row r="5417" spans="1:4">
      <c r="A5417" t="s">
        <v>6</v>
      </c>
      <c r="B5417">
        <v>33</v>
      </c>
      <c r="C5417" t="str">
        <f>CHOOSE(MATCH(B5417, {20,25,30,35,40,45,50,55,60,65,70,75,80,85}, 1), "20-24", "25-29", "30-34", "35-39", "40-44", "45-49", "50-54", "55-59", "60-64", "65-69", "70-74", "75-79", "80-84", "85+")</f>
        <v>30-34</v>
      </c>
      <c r="D5417" t="s">
        <v>8</v>
      </c>
    </row>
    <row r="5418" spans="1:4">
      <c r="A5418" t="s">
        <v>6</v>
      </c>
      <c r="B5418">
        <v>44</v>
      </c>
      <c r="C5418" t="str">
        <f>CHOOSE(MATCH(B5418, {20,25,30,35,40,45,50,55,60,65,70,75,80,85}, 1), "20-24", "25-29", "30-34", "35-39", "40-44", "45-49", "50-54", "55-59", "60-64", "65-69", "70-74", "75-79", "80-84", "85+")</f>
        <v>40-44</v>
      </c>
      <c r="D5418" t="s">
        <v>8</v>
      </c>
    </row>
    <row r="5419" spans="1:4">
      <c r="A5419" t="s">
        <v>6</v>
      </c>
      <c r="B5419">
        <v>50</v>
      </c>
      <c r="C5419" t="str">
        <f>CHOOSE(MATCH(B5419, {20,25,30,35,40,45,50,55,60,65,70,75,80,85}, 1), "20-24", "25-29", "30-34", "35-39", "40-44", "45-49", "50-54", "55-59", "60-64", "65-69", "70-74", "75-79", "80-84", "85+")</f>
        <v>50-54</v>
      </c>
      <c r="D5419" t="s">
        <v>7</v>
      </c>
    </row>
    <row r="5420" spans="1:4">
      <c r="A5420" t="s">
        <v>6</v>
      </c>
      <c r="B5420">
        <v>21</v>
      </c>
      <c r="C5420" t="str">
        <f>CHOOSE(MATCH(B5420, {20,25,30,35,40,45,50,55,60,65,70,75,80,85}, 1), "20-24", "25-29", "30-34", "35-39", "40-44", "45-49", "50-54", "55-59", "60-64", "65-69", "70-74", "75-79", "80-84", "85+")</f>
        <v>20-24</v>
      </c>
      <c r="D5420" t="s">
        <v>7</v>
      </c>
    </row>
    <row r="5421" spans="1:4">
      <c r="A5421" t="s">
        <v>6</v>
      </c>
      <c r="B5421">
        <v>41</v>
      </c>
      <c r="C5421" t="str">
        <f>CHOOSE(MATCH(B5421, {20,25,30,35,40,45,50,55,60,65,70,75,80,85}, 1), "20-24", "25-29", "30-34", "35-39", "40-44", "45-49", "50-54", "55-59", "60-64", "65-69", "70-74", "75-79", "80-84", "85+")</f>
        <v>40-44</v>
      </c>
      <c r="D5421" t="s">
        <v>7</v>
      </c>
    </row>
    <row r="5422" spans="1:4">
      <c r="A5422" t="s">
        <v>6</v>
      </c>
      <c r="B5422">
        <v>60</v>
      </c>
      <c r="C5422" t="str">
        <f>CHOOSE(MATCH(B5422, {20,25,30,35,40,45,50,55,60,65,70,75,80,85}, 1), "20-24", "25-29", "30-34", "35-39", "40-44", "45-49", "50-54", "55-59", "60-64", "65-69", "70-74", "75-79", "80-84", "85+")</f>
        <v>60-64</v>
      </c>
      <c r="D5422" t="s">
        <v>7</v>
      </c>
    </row>
    <row r="5423" spans="1:4">
      <c r="A5423" t="s">
        <v>6</v>
      </c>
      <c r="B5423">
        <v>38</v>
      </c>
      <c r="C5423" t="str">
        <f>CHOOSE(MATCH(B5423, {20,25,30,35,40,45,50,55,60,65,70,75,80,85}, 1), "20-24", "25-29", "30-34", "35-39", "40-44", "45-49", "50-54", "55-59", "60-64", "65-69", "70-74", "75-79", "80-84", "85+")</f>
        <v>35-39</v>
      </c>
      <c r="D5423" t="s">
        <v>7</v>
      </c>
    </row>
    <row r="5424" spans="1:4">
      <c r="A5424" t="s">
        <v>6</v>
      </c>
      <c r="B5424">
        <v>65</v>
      </c>
      <c r="C5424" t="str">
        <f>CHOOSE(MATCH(B5424, {20,25,30,35,40,45,50,55,60,65,70,75,80,85}, 1), "20-24", "25-29", "30-34", "35-39", "40-44", "45-49", "50-54", "55-59", "60-64", "65-69", "70-74", "75-79", "80-84", "85+")</f>
        <v>65-69</v>
      </c>
      <c r="D5424" t="s">
        <v>7</v>
      </c>
    </row>
    <row r="5425" spans="1:4">
      <c r="A5425" t="s">
        <v>6</v>
      </c>
      <c r="B5425">
        <v>48</v>
      </c>
      <c r="C5425" t="str">
        <f>CHOOSE(MATCH(B5425, {20,25,30,35,40,45,50,55,60,65,70,75,80,85}, 1), "20-24", "25-29", "30-34", "35-39", "40-44", "45-49", "50-54", "55-59", "60-64", "65-69", "70-74", "75-79", "80-84", "85+")</f>
        <v>45-49</v>
      </c>
      <c r="D5425" t="s">
        <v>7</v>
      </c>
    </row>
    <row r="5426" spans="1:4">
      <c r="A5426" t="s">
        <v>6</v>
      </c>
      <c r="B5426">
        <v>25</v>
      </c>
      <c r="C5426" t="str">
        <f>CHOOSE(MATCH(B5426, {20,25,30,35,40,45,50,55,60,65,70,75,80,85}, 1), "20-24", "25-29", "30-34", "35-39", "40-44", "45-49", "50-54", "55-59", "60-64", "65-69", "70-74", "75-79", "80-84", "85+")</f>
        <v>25-29</v>
      </c>
      <c r="D5426" t="s">
        <v>7</v>
      </c>
    </row>
    <row r="5427" spans="1:4">
      <c r="A5427" t="s">
        <v>6</v>
      </c>
      <c r="B5427">
        <v>35</v>
      </c>
      <c r="C5427" t="str">
        <f>CHOOSE(MATCH(B5427, {20,25,30,35,40,45,50,55,60,65,70,75,80,85}, 1), "20-24", "25-29", "30-34", "35-39", "40-44", "45-49", "50-54", "55-59", "60-64", "65-69", "70-74", "75-79", "80-84", "85+")</f>
        <v>35-39</v>
      </c>
      <c r="D5427" t="s">
        <v>8</v>
      </c>
    </row>
    <row r="5428" spans="1:4">
      <c r="A5428" t="s">
        <v>6</v>
      </c>
      <c r="B5428">
        <v>42</v>
      </c>
      <c r="C5428" t="str">
        <f>CHOOSE(MATCH(B5428, {20,25,30,35,40,45,50,55,60,65,70,75,80,85}, 1), "20-24", "25-29", "30-34", "35-39", "40-44", "45-49", "50-54", "55-59", "60-64", "65-69", "70-74", "75-79", "80-84", "85+")</f>
        <v>40-44</v>
      </c>
      <c r="D5428" t="s">
        <v>8</v>
      </c>
    </row>
    <row r="5429" spans="1:4">
      <c r="A5429" t="s">
        <v>6</v>
      </c>
      <c r="B5429">
        <v>74</v>
      </c>
      <c r="C5429" t="str">
        <f>CHOOSE(MATCH(B5429, {20,25,30,35,40,45,50,55,60,65,70,75,80,85}, 1), "20-24", "25-29", "30-34", "35-39", "40-44", "45-49", "50-54", "55-59", "60-64", "65-69", "70-74", "75-79", "80-84", "85+")</f>
        <v>70-74</v>
      </c>
      <c r="D5429" t="s">
        <v>7</v>
      </c>
    </row>
    <row r="5430" spans="1:4">
      <c r="A5430" t="s">
        <v>6</v>
      </c>
      <c r="B5430">
        <v>35</v>
      </c>
      <c r="C5430" t="str">
        <f>CHOOSE(MATCH(B5430, {20,25,30,35,40,45,50,55,60,65,70,75,80,85}, 1), "20-24", "25-29", "30-34", "35-39", "40-44", "45-49", "50-54", "55-59", "60-64", "65-69", "70-74", "75-79", "80-84", "85+")</f>
        <v>35-39</v>
      </c>
      <c r="D5430" t="s">
        <v>7</v>
      </c>
    </row>
    <row r="5431" spans="1:4">
      <c r="A5431" t="s">
        <v>6</v>
      </c>
      <c r="B5431">
        <v>34</v>
      </c>
      <c r="C5431" t="str">
        <f>CHOOSE(MATCH(B5431, {20,25,30,35,40,45,50,55,60,65,70,75,80,85}, 1), "20-24", "25-29", "30-34", "35-39", "40-44", "45-49", "50-54", "55-59", "60-64", "65-69", "70-74", "75-79", "80-84", "85+")</f>
        <v>30-34</v>
      </c>
      <c r="D5431" t="s">
        <v>7</v>
      </c>
    </row>
    <row r="5432" spans="1:4">
      <c r="A5432" t="s">
        <v>6</v>
      </c>
      <c r="B5432">
        <v>42</v>
      </c>
      <c r="C5432" t="str">
        <f>CHOOSE(MATCH(B5432, {20,25,30,35,40,45,50,55,60,65,70,75,80,85}, 1), "20-24", "25-29", "30-34", "35-39", "40-44", "45-49", "50-54", "55-59", "60-64", "65-69", "70-74", "75-79", "80-84", "85+")</f>
        <v>40-44</v>
      </c>
      <c r="D5432" t="s">
        <v>7</v>
      </c>
    </row>
    <row r="5433" spans="1:4">
      <c r="A5433" t="s">
        <v>6</v>
      </c>
      <c r="B5433">
        <v>32</v>
      </c>
      <c r="C5433" t="str">
        <f>CHOOSE(MATCH(B5433, {20,25,30,35,40,45,50,55,60,65,70,75,80,85}, 1), "20-24", "25-29", "30-34", "35-39", "40-44", "45-49", "50-54", "55-59", "60-64", "65-69", "70-74", "75-79", "80-84", "85+")</f>
        <v>30-34</v>
      </c>
      <c r="D5433" t="s">
        <v>8</v>
      </c>
    </row>
    <row r="5434" spans="1:4">
      <c r="A5434" t="s">
        <v>6</v>
      </c>
      <c r="B5434">
        <v>48</v>
      </c>
      <c r="C5434" t="str">
        <f>CHOOSE(MATCH(B5434, {20,25,30,35,40,45,50,55,60,65,70,75,80,85}, 1), "20-24", "25-29", "30-34", "35-39", "40-44", "45-49", "50-54", "55-59", "60-64", "65-69", "70-74", "75-79", "80-84", "85+")</f>
        <v>45-49</v>
      </c>
      <c r="D5434" t="s">
        <v>7</v>
      </c>
    </row>
    <row r="5435" spans="1:4">
      <c r="A5435" t="s">
        <v>6</v>
      </c>
      <c r="B5435">
        <v>37</v>
      </c>
      <c r="C5435" t="str">
        <f>CHOOSE(MATCH(B5435, {20,25,30,35,40,45,50,55,60,65,70,75,80,85}, 1), "20-24", "25-29", "30-34", "35-39", "40-44", "45-49", "50-54", "55-59", "60-64", "65-69", "70-74", "75-79", "80-84", "85+")</f>
        <v>35-39</v>
      </c>
      <c r="D5435" t="s">
        <v>7</v>
      </c>
    </row>
    <row r="5436" spans="1:4">
      <c r="A5436" t="s">
        <v>6</v>
      </c>
      <c r="B5436">
        <v>48</v>
      </c>
      <c r="C5436" t="str">
        <f>CHOOSE(MATCH(B5436, {20,25,30,35,40,45,50,55,60,65,70,75,80,85}, 1), "20-24", "25-29", "30-34", "35-39", "40-44", "45-49", "50-54", "55-59", "60-64", "65-69", "70-74", "75-79", "80-84", "85+")</f>
        <v>45-49</v>
      </c>
      <c r="D5436" t="s">
        <v>7</v>
      </c>
    </row>
    <row r="5437" spans="1:4">
      <c r="A5437" t="s">
        <v>6</v>
      </c>
      <c r="B5437">
        <v>50</v>
      </c>
      <c r="C5437" t="str">
        <f>CHOOSE(MATCH(B5437, {20,25,30,35,40,45,50,55,60,65,70,75,80,85}, 1), "20-24", "25-29", "30-34", "35-39", "40-44", "45-49", "50-54", "55-59", "60-64", "65-69", "70-74", "75-79", "80-84", "85+")</f>
        <v>50-54</v>
      </c>
      <c r="D5437" t="s">
        <v>7</v>
      </c>
    </row>
    <row r="5438" spans="1:4">
      <c r="A5438" t="s">
        <v>6</v>
      </c>
      <c r="B5438">
        <v>64</v>
      </c>
      <c r="C5438" t="str">
        <f>CHOOSE(MATCH(B5438, {20,25,30,35,40,45,50,55,60,65,70,75,80,85}, 1), "20-24", "25-29", "30-34", "35-39", "40-44", "45-49", "50-54", "55-59", "60-64", "65-69", "70-74", "75-79", "80-84", "85+")</f>
        <v>60-64</v>
      </c>
      <c r="D5438" t="s">
        <v>8</v>
      </c>
    </row>
    <row r="5439" spans="1:4">
      <c r="A5439" t="s">
        <v>6</v>
      </c>
      <c r="B5439">
        <v>29</v>
      </c>
      <c r="C5439" t="str">
        <f>CHOOSE(MATCH(B5439, {20,25,30,35,40,45,50,55,60,65,70,75,80,85}, 1), "20-24", "25-29", "30-34", "35-39", "40-44", "45-49", "50-54", "55-59", "60-64", "65-69", "70-74", "75-79", "80-84", "85+")</f>
        <v>25-29</v>
      </c>
      <c r="D5439" t="s">
        <v>8</v>
      </c>
    </row>
    <row r="5440" spans="1:4">
      <c r="A5440" t="s">
        <v>6</v>
      </c>
      <c r="B5440">
        <v>37</v>
      </c>
      <c r="C5440" t="str">
        <f>CHOOSE(MATCH(B5440, {20,25,30,35,40,45,50,55,60,65,70,75,80,85}, 1), "20-24", "25-29", "30-34", "35-39", "40-44", "45-49", "50-54", "55-59", "60-64", "65-69", "70-74", "75-79", "80-84", "85+")</f>
        <v>35-39</v>
      </c>
      <c r="D5440" t="s">
        <v>7</v>
      </c>
    </row>
    <row r="5441" spans="1:4">
      <c r="A5441" t="s">
        <v>6</v>
      </c>
      <c r="B5441">
        <v>37</v>
      </c>
      <c r="C5441" t="str">
        <f>CHOOSE(MATCH(B5441, {20,25,30,35,40,45,50,55,60,65,70,75,80,85}, 1), "20-24", "25-29", "30-34", "35-39", "40-44", "45-49", "50-54", "55-59", "60-64", "65-69", "70-74", "75-79", "80-84", "85+")</f>
        <v>35-39</v>
      </c>
      <c r="D5441" t="s">
        <v>7</v>
      </c>
    </row>
    <row r="5442" spans="1:4">
      <c r="A5442" t="s">
        <v>6</v>
      </c>
      <c r="B5442">
        <v>43</v>
      </c>
      <c r="C5442" t="str">
        <f>CHOOSE(MATCH(B5442, {20,25,30,35,40,45,50,55,60,65,70,75,80,85}, 1), "20-24", "25-29", "30-34", "35-39", "40-44", "45-49", "50-54", "55-59", "60-64", "65-69", "70-74", "75-79", "80-84", "85+")</f>
        <v>40-44</v>
      </c>
      <c r="D5442" t="s">
        <v>8</v>
      </c>
    </row>
    <row r="5443" spans="1:4">
      <c r="A5443" t="s">
        <v>6</v>
      </c>
      <c r="B5443">
        <v>21</v>
      </c>
      <c r="C5443" t="str">
        <f>CHOOSE(MATCH(B5443, {20,25,30,35,40,45,50,55,60,65,70,75,80,85}, 1), "20-24", "25-29", "30-34", "35-39", "40-44", "45-49", "50-54", "55-59", "60-64", "65-69", "70-74", "75-79", "80-84", "85+")</f>
        <v>20-24</v>
      </c>
      <c r="D5443" t="s">
        <v>7</v>
      </c>
    </row>
    <row r="5444" spans="1:4">
      <c r="A5444" t="s">
        <v>6</v>
      </c>
      <c r="B5444">
        <v>37</v>
      </c>
      <c r="C5444" t="str">
        <f>CHOOSE(MATCH(B5444, {20,25,30,35,40,45,50,55,60,65,70,75,80,85}, 1), "20-24", "25-29", "30-34", "35-39", "40-44", "45-49", "50-54", "55-59", "60-64", "65-69", "70-74", "75-79", "80-84", "85+")</f>
        <v>35-39</v>
      </c>
      <c r="D5444" t="s">
        <v>7</v>
      </c>
    </row>
    <row r="5445" spans="1:4">
      <c r="A5445" t="s">
        <v>6</v>
      </c>
      <c r="B5445">
        <v>61</v>
      </c>
      <c r="C5445" t="str">
        <f>CHOOSE(MATCH(B5445, {20,25,30,35,40,45,50,55,60,65,70,75,80,85}, 1), "20-24", "25-29", "30-34", "35-39", "40-44", "45-49", "50-54", "55-59", "60-64", "65-69", "70-74", "75-79", "80-84", "85+")</f>
        <v>60-64</v>
      </c>
      <c r="D5445" t="s">
        <v>8</v>
      </c>
    </row>
    <row r="5446" spans="1:4">
      <c r="A5446" t="s">
        <v>6</v>
      </c>
      <c r="B5446">
        <v>26</v>
      </c>
      <c r="C5446" t="str">
        <f>CHOOSE(MATCH(B5446, {20,25,30,35,40,45,50,55,60,65,70,75,80,85}, 1), "20-24", "25-29", "30-34", "35-39", "40-44", "45-49", "50-54", "55-59", "60-64", "65-69", "70-74", "75-79", "80-84", "85+")</f>
        <v>25-29</v>
      </c>
      <c r="D5446" t="s">
        <v>7</v>
      </c>
    </row>
    <row r="5447" spans="1:4">
      <c r="A5447" t="s">
        <v>6</v>
      </c>
      <c r="B5447">
        <v>62</v>
      </c>
      <c r="C5447" t="str">
        <f>CHOOSE(MATCH(B5447, {20,25,30,35,40,45,50,55,60,65,70,75,80,85}, 1), "20-24", "25-29", "30-34", "35-39", "40-44", "45-49", "50-54", "55-59", "60-64", "65-69", "70-74", "75-79", "80-84", "85+")</f>
        <v>60-64</v>
      </c>
      <c r="D5447" t="s">
        <v>8</v>
      </c>
    </row>
    <row r="5448" spans="1:4">
      <c r="A5448" t="s">
        <v>6</v>
      </c>
      <c r="B5448">
        <v>34</v>
      </c>
      <c r="C5448" t="str">
        <f>CHOOSE(MATCH(B5448, {20,25,30,35,40,45,50,55,60,65,70,75,80,85}, 1), "20-24", "25-29", "30-34", "35-39", "40-44", "45-49", "50-54", "55-59", "60-64", "65-69", "70-74", "75-79", "80-84", "85+")</f>
        <v>30-34</v>
      </c>
      <c r="D5448" t="s">
        <v>8</v>
      </c>
    </row>
    <row r="5449" spans="1:4">
      <c r="A5449" t="s">
        <v>6</v>
      </c>
      <c r="B5449">
        <v>65</v>
      </c>
      <c r="C5449" t="str">
        <f>CHOOSE(MATCH(B5449, {20,25,30,35,40,45,50,55,60,65,70,75,80,85}, 1), "20-24", "25-29", "30-34", "35-39", "40-44", "45-49", "50-54", "55-59", "60-64", "65-69", "70-74", "75-79", "80-84", "85+")</f>
        <v>65-69</v>
      </c>
      <c r="D5449" t="s">
        <v>8</v>
      </c>
    </row>
    <row r="5450" spans="1:4">
      <c r="A5450" t="s">
        <v>6</v>
      </c>
      <c r="B5450">
        <v>20</v>
      </c>
      <c r="C5450" t="str">
        <f>CHOOSE(MATCH(B5450, {20,25,30,35,40,45,50,55,60,65,70,75,80,85}, 1), "20-24", "25-29", "30-34", "35-39", "40-44", "45-49", "50-54", "55-59", "60-64", "65-69", "70-74", "75-79", "80-84", "85+")</f>
        <v>20-24</v>
      </c>
      <c r="D5450" t="s">
        <v>8</v>
      </c>
    </row>
    <row r="5451" spans="1:4">
      <c r="A5451" t="s">
        <v>6</v>
      </c>
      <c r="B5451">
        <v>38</v>
      </c>
      <c r="C5451" t="str">
        <f>CHOOSE(MATCH(B5451, {20,25,30,35,40,45,50,55,60,65,70,75,80,85}, 1), "20-24", "25-29", "30-34", "35-39", "40-44", "45-49", "50-54", "55-59", "60-64", "65-69", "70-74", "75-79", "80-84", "85+")</f>
        <v>35-39</v>
      </c>
      <c r="D5451" t="s">
        <v>7</v>
      </c>
    </row>
    <row r="5452" spans="1:4">
      <c r="A5452" t="s">
        <v>6</v>
      </c>
      <c r="B5452">
        <v>31</v>
      </c>
      <c r="C5452" t="str">
        <f>CHOOSE(MATCH(B5452, {20,25,30,35,40,45,50,55,60,65,70,75,80,85}, 1), "20-24", "25-29", "30-34", "35-39", "40-44", "45-49", "50-54", "55-59", "60-64", "65-69", "70-74", "75-79", "80-84", "85+")</f>
        <v>30-34</v>
      </c>
      <c r="D5452" t="s">
        <v>7</v>
      </c>
    </row>
    <row r="5453" spans="1:4">
      <c r="A5453" t="s">
        <v>6</v>
      </c>
      <c r="B5453">
        <v>40</v>
      </c>
      <c r="C5453" t="str">
        <f>CHOOSE(MATCH(B5453, {20,25,30,35,40,45,50,55,60,65,70,75,80,85}, 1), "20-24", "25-29", "30-34", "35-39", "40-44", "45-49", "50-54", "55-59", "60-64", "65-69", "70-74", "75-79", "80-84", "85+")</f>
        <v>40-44</v>
      </c>
      <c r="D5453" t="s">
        <v>7</v>
      </c>
    </row>
    <row r="5454" spans="1:4">
      <c r="A5454" t="s">
        <v>6</v>
      </c>
      <c r="B5454">
        <v>29</v>
      </c>
      <c r="C5454" t="str">
        <f>CHOOSE(MATCH(B5454, {20,25,30,35,40,45,50,55,60,65,70,75,80,85}, 1), "20-24", "25-29", "30-34", "35-39", "40-44", "45-49", "50-54", "55-59", "60-64", "65-69", "70-74", "75-79", "80-84", "85+")</f>
        <v>25-29</v>
      </c>
      <c r="D5454" t="s">
        <v>8</v>
      </c>
    </row>
    <row r="5455" spans="1:4">
      <c r="A5455" t="s">
        <v>6</v>
      </c>
      <c r="B5455">
        <v>31</v>
      </c>
      <c r="C5455" t="str">
        <f>CHOOSE(MATCH(B5455, {20,25,30,35,40,45,50,55,60,65,70,75,80,85}, 1), "20-24", "25-29", "30-34", "35-39", "40-44", "45-49", "50-54", "55-59", "60-64", "65-69", "70-74", "75-79", "80-84", "85+")</f>
        <v>30-34</v>
      </c>
      <c r="D5455" t="s">
        <v>7</v>
      </c>
    </row>
    <row r="5456" spans="1:4">
      <c r="A5456" t="s">
        <v>6</v>
      </c>
      <c r="B5456">
        <v>35</v>
      </c>
      <c r="C5456" t="str">
        <f>CHOOSE(MATCH(B5456, {20,25,30,35,40,45,50,55,60,65,70,75,80,85}, 1), "20-24", "25-29", "30-34", "35-39", "40-44", "45-49", "50-54", "55-59", "60-64", "65-69", "70-74", "75-79", "80-84", "85+")</f>
        <v>35-39</v>
      </c>
      <c r="D5456" t="s">
        <v>7</v>
      </c>
    </row>
    <row r="5457" spans="1:4">
      <c r="A5457" t="s">
        <v>6</v>
      </c>
      <c r="B5457">
        <v>38</v>
      </c>
      <c r="C5457" t="str">
        <f>CHOOSE(MATCH(B5457, {20,25,30,35,40,45,50,55,60,65,70,75,80,85}, 1), "20-24", "25-29", "30-34", "35-39", "40-44", "45-49", "50-54", "55-59", "60-64", "65-69", "70-74", "75-79", "80-84", "85+")</f>
        <v>35-39</v>
      </c>
      <c r="D5457" t="s">
        <v>7</v>
      </c>
    </row>
    <row r="5458" spans="1:4">
      <c r="A5458" t="s">
        <v>6</v>
      </c>
      <c r="B5458">
        <v>27</v>
      </c>
      <c r="C5458" t="str">
        <f>CHOOSE(MATCH(B5458, {20,25,30,35,40,45,50,55,60,65,70,75,80,85}, 1), "20-24", "25-29", "30-34", "35-39", "40-44", "45-49", "50-54", "55-59", "60-64", "65-69", "70-74", "75-79", "80-84", "85+")</f>
        <v>25-29</v>
      </c>
      <c r="D5458" t="s">
        <v>8</v>
      </c>
    </row>
    <row r="5459" spans="1:4">
      <c r="A5459" t="s">
        <v>6</v>
      </c>
      <c r="B5459">
        <v>32</v>
      </c>
      <c r="C5459" t="str">
        <f>CHOOSE(MATCH(B5459, {20,25,30,35,40,45,50,55,60,65,70,75,80,85}, 1), "20-24", "25-29", "30-34", "35-39", "40-44", "45-49", "50-54", "55-59", "60-64", "65-69", "70-74", "75-79", "80-84", "85+")</f>
        <v>30-34</v>
      </c>
      <c r="D5459" t="s">
        <v>8</v>
      </c>
    </row>
    <row r="5460" spans="1:4">
      <c r="A5460" t="s">
        <v>6</v>
      </c>
      <c r="B5460">
        <v>25</v>
      </c>
      <c r="C5460" t="str">
        <f>CHOOSE(MATCH(B5460, {20,25,30,35,40,45,50,55,60,65,70,75,80,85}, 1), "20-24", "25-29", "30-34", "35-39", "40-44", "45-49", "50-54", "55-59", "60-64", "65-69", "70-74", "75-79", "80-84", "85+")</f>
        <v>25-29</v>
      </c>
      <c r="D5460" t="s">
        <v>8</v>
      </c>
    </row>
    <row r="5461" spans="1:4">
      <c r="A5461" t="s">
        <v>6</v>
      </c>
      <c r="B5461">
        <v>43</v>
      </c>
      <c r="C5461" t="str">
        <f>CHOOSE(MATCH(B5461, {20,25,30,35,40,45,50,55,60,65,70,75,80,85}, 1), "20-24", "25-29", "30-34", "35-39", "40-44", "45-49", "50-54", "55-59", "60-64", "65-69", "70-74", "75-79", "80-84", "85+")</f>
        <v>40-44</v>
      </c>
      <c r="D5461" t="s">
        <v>8</v>
      </c>
    </row>
    <row r="5462" spans="1:4">
      <c r="A5462" t="s">
        <v>6</v>
      </c>
      <c r="B5462">
        <v>44</v>
      </c>
      <c r="C5462" t="str">
        <f>CHOOSE(MATCH(B5462, {20,25,30,35,40,45,50,55,60,65,70,75,80,85}, 1), "20-24", "25-29", "30-34", "35-39", "40-44", "45-49", "50-54", "55-59", "60-64", "65-69", "70-74", "75-79", "80-84", "85+")</f>
        <v>40-44</v>
      </c>
      <c r="D5462" t="s">
        <v>7</v>
      </c>
    </row>
    <row r="5463" spans="1:4">
      <c r="A5463" t="s">
        <v>6</v>
      </c>
      <c r="B5463">
        <v>31</v>
      </c>
      <c r="C5463" t="str">
        <f>CHOOSE(MATCH(B5463, {20,25,30,35,40,45,50,55,60,65,70,75,80,85}, 1), "20-24", "25-29", "30-34", "35-39", "40-44", "45-49", "50-54", "55-59", "60-64", "65-69", "70-74", "75-79", "80-84", "85+")</f>
        <v>30-34</v>
      </c>
      <c r="D5463" t="s">
        <v>7</v>
      </c>
    </row>
    <row r="5464" spans="1:4">
      <c r="A5464" t="s">
        <v>6</v>
      </c>
      <c r="B5464">
        <v>34</v>
      </c>
      <c r="C5464" t="str">
        <f>CHOOSE(MATCH(B5464, {20,25,30,35,40,45,50,55,60,65,70,75,80,85}, 1), "20-24", "25-29", "30-34", "35-39", "40-44", "45-49", "50-54", "55-59", "60-64", "65-69", "70-74", "75-79", "80-84", "85+")</f>
        <v>30-34</v>
      </c>
      <c r="D5464" t="s">
        <v>7</v>
      </c>
    </row>
    <row r="5465" spans="1:4">
      <c r="A5465" t="s">
        <v>6</v>
      </c>
      <c r="B5465">
        <v>66</v>
      </c>
      <c r="C5465" t="str">
        <f>CHOOSE(MATCH(B5465, {20,25,30,35,40,45,50,55,60,65,70,75,80,85}, 1), "20-24", "25-29", "30-34", "35-39", "40-44", "45-49", "50-54", "55-59", "60-64", "65-69", "70-74", "75-79", "80-84", "85+")</f>
        <v>65-69</v>
      </c>
      <c r="D5465" t="s">
        <v>7</v>
      </c>
    </row>
    <row r="5466" spans="1:4">
      <c r="A5466" t="s">
        <v>6</v>
      </c>
      <c r="B5466">
        <v>54</v>
      </c>
      <c r="C5466" t="str">
        <f>CHOOSE(MATCH(B5466, {20,25,30,35,40,45,50,55,60,65,70,75,80,85}, 1), "20-24", "25-29", "30-34", "35-39", "40-44", "45-49", "50-54", "55-59", "60-64", "65-69", "70-74", "75-79", "80-84", "85+")</f>
        <v>50-54</v>
      </c>
      <c r="D5466" t="s">
        <v>8</v>
      </c>
    </row>
    <row r="5467" spans="1:4">
      <c r="A5467" t="s">
        <v>6</v>
      </c>
      <c r="B5467">
        <v>71</v>
      </c>
      <c r="C5467" t="str">
        <f>CHOOSE(MATCH(B5467, {20,25,30,35,40,45,50,55,60,65,70,75,80,85}, 1), "20-24", "25-29", "30-34", "35-39", "40-44", "45-49", "50-54", "55-59", "60-64", "65-69", "70-74", "75-79", "80-84", "85+")</f>
        <v>70-74</v>
      </c>
      <c r="D5467" t="s">
        <v>8</v>
      </c>
    </row>
    <row r="5468" spans="1:4">
      <c r="A5468" t="s">
        <v>6</v>
      </c>
      <c r="B5468">
        <v>34</v>
      </c>
      <c r="C5468" t="str">
        <f>CHOOSE(MATCH(B5468, {20,25,30,35,40,45,50,55,60,65,70,75,80,85}, 1), "20-24", "25-29", "30-34", "35-39", "40-44", "45-49", "50-54", "55-59", "60-64", "65-69", "70-74", "75-79", "80-84", "85+")</f>
        <v>30-34</v>
      </c>
      <c r="D5468" t="s">
        <v>7</v>
      </c>
    </row>
    <row r="5469" spans="1:4">
      <c r="A5469" t="s">
        <v>6</v>
      </c>
      <c r="B5469">
        <v>35</v>
      </c>
      <c r="C5469" t="str">
        <f>CHOOSE(MATCH(B5469, {20,25,30,35,40,45,50,55,60,65,70,75,80,85}, 1), "20-24", "25-29", "30-34", "35-39", "40-44", "45-49", "50-54", "55-59", "60-64", "65-69", "70-74", "75-79", "80-84", "85+")</f>
        <v>35-39</v>
      </c>
      <c r="D5469" t="s">
        <v>8</v>
      </c>
    </row>
    <row r="5470" spans="1:4">
      <c r="A5470" t="s">
        <v>6</v>
      </c>
      <c r="B5470">
        <v>40</v>
      </c>
      <c r="C5470" t="str">
        <f>CHOOSE(MATCH(B5470, {20,25,30,35,40,45,50,55,60,65,70,75,80,85}, 1), "20-24", "25-29", "30-34", "35-39", "40-44", "45-49", "50-54", "55-59", "60-64", "65-69", "70-74", "75-79", "80-84", "85+")</f>
        <v>40-44</v>
      </c>
      <c r="D5470" t="s">
        <v>8</v>
      </c>
    </row>
    <row r="5471" spans="1:4">
      <c r="A5471" t="s">
        <v>6</v>
      </c>
      <c r="B5471">
        <v>59</v>
      </c>
      <c r="C5471" t="str">
        <f>CHOOSE(MATCH(B5471, {20,25,30,35,40,45,50,55,60,65,70,75,80,85}, 1), "20-24", "25-29", "30-34", "35-39", "40-44", "45-49", "50-54", "55-59", "60-64", "65-69", "70-74", "75-79", "80-84", "85+")</f>
        <v>55-59</v>
      </c>
      <c r="D5471" t="s">
        <v>8</v>
      </c>
    </row>
    <row r="5472" spans="1:4">
      <c r="A5472" t="s">
        <v>6</v>
      </c>
      <c r="B5472">
        <v>37</v>
      </c>
      <c r="C5472" t="str">
        <f>CHOOSE(MATCH(B5472, {20,25,30,35,40,45,50,55,60,65,70,75,80,85}, 1), "20-24", "25-29", "30-34", "35-39", "40-44", "45-49", "50-54", "55-59", "60-64", "65-69", "70-74", "75-79", "80-84", "85+")</f>
        <v>35-39</v>
      </c>
      <c r="D5472" t="s">
        <v>8</v>
      </c>
    </row>
    <row r="5473" spans="1:4">
      <c r="A5473" t="s">
        <v>6</v>
      </c>
      <c r="B5473">
        <v>36</v>
      </c>
      <c r="C5473" t="str">
        <f>CHOOSE(MATCH(B5473, {20,25,30,35,40,45,50,55,60,65,70,75,80,85}, 1), "20-24", "25-29", "30-34", "35-39", "40-44", "45-49", "50-54", "55-59", "60-64", "65-69", "70-74", "75-79", "80-84", "85+")</f>
        <v>35-39</v>
      </c>
      <c r="D5473" t="s">
        <v>8</v>
      </c>
    </row>
    <row r="5474" spans="1:4">
      <c r="A5474" t="s">
        <v>6</v>
      </c>
      <c r="B5474">
        <v>58</v>
      </c>
      <c r="C5474" t="str">
        <f>CHOOSE(MATCH(B5474, {20,25,30,35,40,45,50,55,60,65,70,75,80,85}, 1), "20-24", "25-29", "30-34", "35-39", "40-44", "45-49", "50-54", "55-59", "60-64", "65-69", "70-74", "75-79", "80-84", "85+")</f>
        <v>55-59</v>
      </c>
      <c r="D5474" t="s">
        <v>7</v>
      </c>
    </row>
    <row r="5475" spans="1:4">
      <c r="A5475" t="s">
        <v>6</v>
      </c>
      <c r="B5475">
        <v>25</v>
      </c>
      <c r="C5475" t="str">
        <f>CHOOSE(MATCH(B5475, {20,25,30,35,40,45,50,55,60,65,70,75,80,85}, 1), "20-24", "25-29", "30-34", "35-39", "40-44", "45-49", "50-54", "55-59", "60-64", "65-69", "70-74", "75-79", "80-84", "85+")</f>
        <v>25-29</v>
      </c>
      <c r="D5475" t="s">
        <v>8</v>
      </c>
    </row>
    <row r="5476" spans="1:4">
      <c r="A5476" t="s">
        <v>6</v>
      </c>
      <c r="B5476">
        <v>38</v>
      </c>
      <c r="C5476" t="str">
        <f>CHOOSE(MATCH(B5476, {20,25,30,35,40,45,50,55,60,65,70,75,80,85}, 1), "20-24", "25-29", "30-34", "35-39", "40-44", "45-49", "50-54", "55-59", "60-64", "65-69", "70-74", "75-79", "80-84", "85+")</f>
        <v>35-39</v>
      </c>
      <c r="D5476" t="s">
        <v>7</v>
      </c>
    </row>
    <row r="5477" spans="1:4">
      <c r="A5477" t="s">
        <v>6</v>
      </c>
      <c r="B5477">
        <v>22</v>
      </c>
      <c r="C5477" t="str">
        <f>CHOOSE(MATCH(B5477, {20,25,30,35,40,45,50,55,60,65,70,75,80,85}, 1), "20-24", "25-29", "30-34", "35-39", "40-44", "45-49", "50-54", "55-59", "60-64", "65-69", "70-74", "75-79", "80-84", "85+")</f>
        <v>20-24</v>
      </c>
      <c r="D5477" t="s">
        <v>7</v>
      </c>
    </row>
    <row r="5478" spans="1:4">
      <c r="A5478" t="s">
        <v>6</v>
      </c>
      <c r="B5478">
        <v>66</v>
      </c>
      <c r="C5478" t="str">
        <f>CHOOSE(MATCH(B5478, {20,25,30,35,40,45,50,55,60,65,70,75,80,85}, 1), "20-24", "25-29", "30-34", "35-39", "40-44", "45-49", "50-54", "55-59", "60-64", "65-69", "70-74", "75-79", "80-84", "85+")</f>
        <v>65-69</v>
      </c>
      <c r="D5478" t="s">
        <v>7</v>
      </c>
    </row>
    <row r="5479" spans="1:4">
      <c r="A5479" t="s">
        <v>6</v>
      </c>
      <c r="B5479">
        <v>33</v>
      </c>
      <c r="C5479" t="str">
        <f>CHOOSE(MATCH(B5479, {20,25,30,35,40,45,50,55,60,65,70,75,80,85}, 1), "20-24", "25-29", "30-34", "35-39", "40-44", "45-49", "50-54", "55-59", "60-64", "65-69", "70-74", "75-79", "80-84", "85+")</f>
        <v>30-34</v>
      </c>
      <c r="D5479" t="s">
        <v>8</v>
      </c>
    </row>
    <row r="5480" spans="1:4">
      <c r="A5480" t="s">
        <v>6</v>
      </c>
      <c r="B5480">
        <v>51</v>
      </c>
      <c r="C5480" t="str">
        <f>CHOOSE(MATCH(B5480, {20,25,30,35,40,45,50,55,60,65,70,75,80,85}, 1), "20-24", "25-29", "30-34", "35-39", "40-44", "45-49", "50-54", "55-59", "60-64", "65-69", "70-74", "75-79", "80-84", "85+")</f>
        <v>50-54</v>
      </c>
      <c r="D5480" t="s">
        <v>8</v>
      </c>
    </row>
    <row r="5481" spans="1:4">
      <c r="A5481" t="s">
        <v>6</v>
      </c>
      <c r="B5481">
        <v>47</v>
      </c>
      <c r="C5481" t="str">
        <f>CHOOSE(MATCH(B5481, {20,25,30,35,40,45,50,55,60,65,70,75,80,85}, 1), "20-24", "25-29", "30-34", "35-39", "40-44", "45-49", "50-54", "55-59", "60-64", "65-69", "70-74", "75-79", "80-84", "85+")</f>
        <v>45-49</v>
      </c>
      <c r="D5481" t="s">
        <v>7</v>
      </c>
    </row>
    <row r="5482" spans="1:4">
      <c r="A5482" t="s">
        <v>6</v>
      </c>
      <c r="B5482">
        <v>26</v>
      </c>
      <c r="C5482" t="str">
        <f>CHOOSE(MATCH(B5482, {20,25,30,35,40,45,50,55,60,65,70,75,80,85}, 1), "20-24", "25-29", "30-34", "35-39", "40-44", "45-49", "50-54", "55-59", "60-64", "65-69", "70-74", "75-79", "80-84", "85+")</f>
        <v>25-29</v>
      </c>
      <c r="D5482" t="s">
        <v>7</v>
      </c>
    </row>
    <row r="5483" spans="1:4">
      <c r="A5483" t="s">
        <v>6</v>
      </c>
      <c r="B5483">
        <v>59</v>
      </c>
      <c r="C5483" t="str">
        <f>CHOOSE(MATCH(B5483, {20,25,30,35,40,45,50,55,60,65,70,75,80,85}, 1), "20-24", "25-29", "30-34", "35-39", "40-44", "45-49", "50-54", "55-59", "60-64", "65-69", "70-74", "75-79", "80-84", "85+")</f>
        <v>55-59</v>
      </c>
      <c r="D5483" t="s">
        <v>8</v>
      </c>
    </row>
    <row r="5484" spans="1:4">
      <c r="A5484" t="s">
        <v>6</v>
      </c>
      <c r="B5484">
        <v>20</v>
      </c>
      <c r="C5484" t="str">
        <f>CHOOSE(MATCH(B5484, {20,25,30,35,40,45,50,55,60,65,70,75,80,85}, 1), "20-24", "25-29", "30-34", "35-39", "40-44", "45-49", "50-54", "55-59", "60-64", "65-69", "70-74", "75-79", "80-84", "85+")</f>
        <v>20-24</v>
      </c>
      <c r="D5484" t="s">
        <v>7</v>
      </c>
    </row>
    <row r="5485" spans="1:4">
      <c r="A5485" t="s">
        <v>6</v>
      </c>
      <c r="B5485">
        <v>52</v>
      </c>
      <c r="C5485" t="str">
        <f>CHOOSE(MATCH(B5485, {20,25,30,35,40,45,50,55,60,65,70,75,80,85}, 1), "20-24", "25-29", "30-34", "35-39", "40-44", "45-49", "50-54", "55-59", "60-64", "65-69", "70-74", "75-79", "80-84", "85+")</f>
        <v>50-54</v>
      </c>
      <c r="D5485" t="s">
        <v>7</v>
      </c>
    </row>
    <row r="5486" spans="1:4">
      <c r="A5486" t="s">
        <v>6</v>
      </c>
      <c r="B5486">
        <v>29</v>
      </c>
      <c r="C5486" t="str">
        <f>CHOOSE(MATCH(B5486, {20,25,30,35,40,45,50,55,60,65,70,75,80,85}, 1), "20-24", "25-29", "30-34", "35-39", "40-44", "45-49", "50-54", "55-59", "60-64", "65-69", "70-74", "75-79", "80-84", "85+")</f>
        <v>25-29</v>
      </c>
      <c r="D5486" t="s">
        <v>7</v>
      </c>
    </row>
    <row r="5487" spans="1:4">
      <c r="A5487" t="s">
        <v>6</v>
      </c>
      <c r="B5487">
        <v>48</v>
      </c>
      <c r="C5487" t="str">
        <f>CHOOSE(MATCH(B5487, {20,25,30,35,40,45,50,55,60,65,70,75,80,85}, 1), "20-24", "25-29", "30-34", "35-39", "40-44", "45-49", "50-54", "55-59", "60-64", "65-69", "70-74", "75-79", "80-84", "85+")</f>
        <v>45-49</v>
      </c>
      <c r="D5487" t="s">
        <v>7</v>
      </c>
    </row>
    <row r="5488" spans="1:4">
      <c r="A5488" t="s">
        <v>6</v>
      </c>
      <c r="B5488">
        <v>22</v>
      </c>
      <c r="C5488" t="str">
        <f>CHOOSE(MATCH(B5488, {20,25,30,35,40,45,50,55,60,65,70,75,80,85}, 1), "20-24", "25-29", "30-34", "35-39", "40-44", "45-49", "50-54", "55-59", "60-64", "65-69", "70-74", "75-79", "80-84", "85+")</f>
        <v>20-24</v>
      </c>
      <c r="D5488" t="s">
        <v>7</v>
      </c>
    </row>
    <row r="5489" spans="1:4">
      <c r="A5489" t="s">
        <v>6</v>
      </c>
      <c r="B5489">
        <v>61</v>
      </c>
      <c r="C5489" t="str">
        <f>CHOOSE(MATCH(B5489, {20,25,30,35,40,45,50,55,60,65,70,75,80,85}, 1), "20-24", "25-29", "30-34", "35-39", "40-44", "45-49", "50-54", "55-59", "60-64", "65-69", "70-74", "75-79", "80-84", "85+")</f>
        <v>60-64</v>
      </c>
      <c r="D5489" t="s">
        <v>8</v>
      </c>
    </row>
    <row r="5490" spans="1:4">
      <c r="A5490" t="s">
        <v>6</v>
      </c>
      <c r="B5490">
        <v>40</v>
      </c>
      <c r="C5490" t="str">
        <f>CHOOSE(MATCH(B5490, {20,25,30,35,40,45,50,55,60,65,70,75,80,85}, 1), "20-24", "25-29", "30-34", "35-39", "40-44", "45-49", "50-54", "55-59", "60-64", "65-69", "70-74", "75-79", "80-84", "85+")</f>
        <v>40-44</v>
      </c>
      <c r="D5490" t="s">
        <v>8</v>
      </c>
    </row>
    <row r="5491" spans="1:4">
      <c r="A5491" t="s">
        <v>6</v>
      </c>
      <c r="B5491">
        <v>62</v>
      </c>
      <c r="C5491" t="str">
        <f>CHOOSE(MATCH(B5491, {20,25,30,35,40,45,50,55,60,65,70,75,80,85}, 1), "20-24", "25-29", "30-34", "35-39", "40-44", "45-49", "50-54", "55-59", "60-64", "65-69", "70-74", "75-79", "80-84", "85+")</f>
        <v>60-64</v>
      </c>
      <c r="D5491" t="s">
        <v>8</v>
      </c>
    </row>
    <row r="5492" spans="1:4">
      <c r="A5492" t="s">
        <v>6</v>
      </c>
      <c r="B5492">
        <v>57</v>
      </c>
      <c r="C5492" t="str">
        <f>CHOOSE(MATCH(B5492, {20,25,30,35,40,45,50,55,60,65,70,75,80,85}, 1), "20-24", "25-29", "30-34", "35-39", "40-44", "45-49", "50-54", "55-59", "60-64", "65-69", "70-74", "75-79", "80-84", "85+")</f>
        <v>55-59</v>
      </c>
      <c r="D5492" t="s">
        <v>7</v>
      </c>
    </row>
    <row r="5493" spans="1:4">
      <c r="A5493" t="s">
        <v>6</v>
      </c>
      <c r="B5493">
        <v>42</v>
      </c>
      <c r="C5493" t="str">
        <f>CHOOSE(MATCH(B5493, {20,25,30,35,40,45,50,55,60,65,70,75,80,85}, 1), "20-24", "25-29", "30-34", "35-39", "40-44", "45-49", "50-54", "55-59", "60-64", "65-69", "70-74", "75-79", "80-84", "85+")</f>
        <v>40-44</v>
      </c>
      <c r="D5493" t="s">
        <v>7</v>
      </c>
    </row>
    <row r="5494" spans="1:4">
      <c r="A5494" t="s">
        <v>6</v>
      </c>
      <c r="B5494">
        <v>52</v>
      </c>
      <c r="C5494" t="str">
        <f>CHOOSE(MATCH(B5494, {20,25,30,35,40,45,50,55,60,65,70,75,80,85}, 1), "20-24", "25-29", "30-34", "35-39", "40-44", "45-49", "50-54", "55-59", "60-64", "65-69", "70-74", "75-79", "80-84", "85+")</f>
        <v>50-54</v>
      </c>
      <c r="D5494" t="s">
        <v>7</v>
      </c>
    </row>
    <row r="5495" spans="1:4">
      <c r="A5495" t="s">
        <v>6</v>
      </c>
      <c r="B5495">
        <v>49</v>
      </c>
      <c r="C5495" t="str">
        <f>CHOOSE(MATCH(B5495, {20,25,30,35,40,45,50,55,60,65,70,75,80,85}, 1), "20-24", "25-29", "30-34", "35-39", "40-44", "45-49", "50-54", "55-59", "60-64", "65-69", "70-74", "75-79", "80-84", "85+")</f>
        <v>45-49</v>
      </c>
      <c r="D5495" t="s">
        <v>7</v>
      </c>
    </row>
    <row r="5496" spans="1:4">
      <c r="A5496" t="s">
        <v>6</v>
      </c>
      <c r="B5496">
        <v>39</v>
      </c>
      <c r="C5496" t="str">
        <f>CHOOSE(MATCH(B5496, {20,25,30,35,40,45,50,55,60,65,70,75,80,85}, 1), "20-24", "25-29", "30-34", "35-39", "40-44", "45-49", "50-54", "55-59", "60-64", "65-69", "70-74", "75-79", "80-84", "85+")</f>
        <v>35-39</v>
      </c>
      <c r="D5496" t="s">
        <v>7</v>
      </c>
    </row>
    <row r="5497" spans="1:4">
      <c r="A5497" t="s">
        <v>6</v>
      </c>
      <c r="B5497">
        <v>46</v>
      </c>
      <c r="C5497" t="str">
        <f>CHOOSE(MATCH(B5497, {20,25,30,35,40,45,50,55,60,65,70,75,80,85}, 1), "20-24", "25-29", "30-34", "35-39", "40-44", "45-49", "50-54", "55-59", "60-64", "65-69", "70-74", "75-79", "80-84", "85+")</f>
        <v>45-49</v>
      </c>
      <c r="D5497" t="s">
        <v>8</v>
      </c>
    </row>
    <row r="5498" spans="1:4">
      <c r="A5498" t="s">
        <v>6</v>
      </c>
      <c r="B5498">
        <v>45</v>
      </c>
      <c r="C5498" t="str">
        <f>CHOOSE(MATCH(B5498, {20,25,30,35,40,45,50,55,60,65,70,75,80,85}, 1), "20-24", "25-29", "30-34", "35-39", "40-44", "45-49", "50-54", "55-59", "60-64", "65-69", "70-74", "75-79", "80-84", "85+")</f>
        <v>45-49</v>
      </c>
      <c r="D5498" t="s">
        <v>8</v>
      </c>
    </row>
    <row r="5499" spans="1:4">
      <c r="A5499" t="s">
        <v>6</v>
      </c>
      <c r="B5499">
        <v>55</v>
      </c>
      <c r="C5499" t="str">
        <f>CHOOSE(MATCH(B5499, {20,25,30,35,40,45,50,55,60,65,70,75,80,85}, 1), "20-24", "25-29", "30-34", "35-39", "40-44", "45-49", "50-54", "55-59", "60-64", "65-69", "70-74", "75-79", "80-84", "85+")</f>
        <v>55-59</v>
      </c>
      <c r="D5499" t="s">
        <v>8</v>
      </c>
    </row>
    <row r="5500" spans="1:4">
      <c r="A5500" t="s">
        <v>6</v>
      </c>
      <c r="B5500">
        <v>63</v>
      </c>
      <c r="C5500" t="str">
        <f>CHOOSE(MATCH(B5500, {20,25,30,35,40,45,50,55,60,65,70,75,80,85}, 1), "20-24", "25-29", "30-34", "35-39", "40-44", "45-49", "50-54", "55-59", "60-64", "65-69", "70-74", "75-79", "80-84", "85+")</f>
        <v>60-64</v>
      </c>
      <c r="D5500" t="s">
        <v>7</v>
      </c>
    </row>
    <row r="5501" spans="1:4">
      <c r="A5501" t="s">
        <v>6</v>
      </c>
      <c r="B5501">
        <v>48</v>
      </c>
      <c r="C5501" t="str">
        <f>CHOOSE(MATCH(B5501, {20,25,30,35,40,45,50,55,60,65,70,75,80,85}, 1), "20-24", "25-29", "30-34", "35-39", "40-44", "45-49", "50-54", "55-59", "60-64", "65-69", "70-74", "75-79", "80-84", "85+")</f>
        <v>45-49</v>
      </c>
      <c r="D5501" t="s">
        <v>7</v>
      </c>
    </row>
    <row r="5502" spans="1:4">
      <c r="A5502" t="s">
        <v>6</v>
      </c>
      <c r="B5502">
        <v>36</v>
      </c>
      <c r="C5502" t="str">
        <f>CHOOSE(MATCH(B5502, {20,25,30,35,40,45,50,55,60,65,70,75,80,85}, 1), "20-24", "25-29", "30-34", "35-39", "40-44", "45-49", "50-54", "55-59", "60-64", "65-69", "70-74", "75-79", "80-84", "85+")</f>
        <v>35-39</v>
      </c>
      <c r="D5502" t="s">
        <v>8</v>
      </c>
    </row>
    <row r="5503" spans="1:4">
      <c r="A5503" t="s">
        <v>6</v>
      </c>
      <c r="B5503">
        <v>53</v>
      </c>
      <c r="C5503" t="str">
        <f>CHOOSE(MATCH(B5503, {20,25,30,35,40,45,50,55,60,65,70,75,80,85}, 1), "20-24", "25-29", "30-34", "35-39", "40-44", "45-49", "50-54", "55-59", "60-64", "65-69", "70-74", "75-79", "80-84", "85+")</f>
        <v>50-54</v>
      </c>
      <c r="D5503" t="s">
        <v>7</v>
      </c>
    </row>
    <row r="5504" spans="1:4">
      <c r="A5504" t="s">
        <v>6</v>
      </c>
      <c r="B5504">
        <v>42</v>
      </c>
      <c r="C5504" t="str">
        <f>CHOOSE(MATCH(B5504, {20,25,30,35,40,45,50,55,60,65,70,75,80,85}, 1), "20-24", "25-29", "30-34", "35-39", "40-44", "45-49", "50-54", "55-59", "60-64", "65-69", "70-74", "75-79", "80-84", "85+")</f>
        <v>40-44</v>
      </c>
      <c r="D5504" t="s">
        <v>8</v>
      </c>
    </row>
    <row r="5505" spans="1:4">
      <c r="A5505" t="s">
        <v>6</v>
      </c>
      <c r="B5505">
        <v>50</v>
      </c>
      <c r="C5505" t="str">
        <f>CHOOSE(MATCH(B5505, {20,25,30,35,40,45,50,55,60,65,70,75,80,85}, 1), "20-24", "25-29", "30-34", "35-39", "40-44", "45-49", "50-54", "55-59", "60-64", "65-69", "70-74", "75-79", "80-84", "85+")</f>
        <v>50-54</v>
      </c>
      <c r="D5505" t="s">
        <v>7</v>
      </c>
    </row>
    <row r="5506" spans="1:4">
      <c r="A5506" t="s">
        <v>6</v>
      </c>
      <c r="B5506">
        <v>39</v>
      </c>
      <c r="C5506" t="str">
        <f>CHOOSE(MATCH(B5506, {20,25,30,35,40,45,50,55,60,65,70,75,80,85}, 1), "20-24", "25-29", "30-34", "35-39", "40-44", "45-49", "50-54", "55-59", "60-64", "65-69", "70-74", "75-79", "80-84", "85+")</f>
        <v>35-39</v>
      </c>
      <c r="D5506" t="s">
        <v>8</v>
      </c>
    </row>
    <row r="5507" spans="1:4">
      <c r="A5507" t="s">
        <v>6</v>
      </c>
      <c r="B5507">
        <v>56</v>
      </c>
      <c r="C5507" t="str">
        <f>CHOOSE(MATCH(B5507, {20,25,30,35,40,45,50,55,60,65,70,75,80,85}, 1), "20-24", "25-29", "30-34", "35-39", "40-44", "45-49", "50-54", "55-59", "60-64", "65-69", "70-74", "75-79", "80-84", "85+")</f>
        <v>55-59</v>
      </c>
      <c r="D5507" t="s">
        <v>8</v>
      </c>
    </row>
    <row r="5508" spans="1:4">
      <c r="A5508" t="s">
        <v>6</v>
      </c>
      <c r="B5508">
        <v>69</v>
      </c>
      <c r="C5508" t="str">
        <f>CHOOSE(MATCH(B5508, {20,25,30,35,40,45,50,55,60,65,70,75,80,85}, 1), "20-24", "25-29", "30-34", "35-39", "40-44", "45-49", "50-54", "55-59", "60-64", "65-69", "70-74", "75-79", "80-84", "85+")</f>
        <v>65-69</v>
      </c>
      <c r="D5508" t="s">
        <v>7</v>
      </c>
    </row>
    <row r="5509" spans="1:4">
      <c r="A5509" t="s">
        <v>6</v>
      </c>
      <c r="B5509">
        <v>24</v>
      </c>
      <c r="C5509" t="str">
        <f>CHOOSE(MATCH(B5509, {20,25,30,35,40,45,50,55,60,65,70,75,80,85}, 1), "20-24", "25-29", "30-34", "35-39", "40-44", "45-49", "50-54", "55-59", "60-64", "65-69", "70-74", "75-79", "80-84", "85+")</f>
        <v>20-24</v>
      </c>
      <c r="D5509" t="s">
        <v>7</v>
      </c>
    </row>
    <row r="5510" spans="1:4">
      <c r="A5510" t="s">
        <v>6</v>
      </c>
      <c r="B5510">
        <v>43</v>
      </c>
      <c r="C5510" t="str">
        <f>CHOOSE(MATCH(B5510, {20,25,30,35,40,45,50,55,60,65,70,75,80,85}, 1), "20-24", "25-29", "30-34", "35-39", "40-44", "45-49", "50-54", "55-59", "60-64", "65-69", "70-74", "75-79", "80-84", "85+")</f>
        <v>40-44</v>
      </c>
      <c r="D5510" t="s">
        <v>7</v>
      </c>
    </row>
    <row r="5511" spans="1:4">
      <c r="A5511" t="s">
        <v>6</v>
      </c>
      <c r="B5511">
        <v>63</v>
      </c>
      <c r="C5511" t="str">
        <f>CHOOSE(MATCH(B5511, {20,25,30,35,40,45,50,55,60,65,70,75,80,85}, 1), "20-24", "25-29", "30-34", "35-39", "40-44", "45-49", "50-54", "55-59", "60-64", "65-69", "70-74", "75-79", "80-84", "85+")</f>
        <v>60-64</v>
      </c>
      <c r="D5511" t="s">
        <v>7</v>
      </c>
    </row>
    <row r="5512" spans="1:4">
      <c r="A5512" t="s">
        <v>6</v>
      </c>
      <c r="B5512">
        <v>25</v>
      </c>
      <c r="C5512" t="str">
        <f>CHOOSE(MATCH(B5512, {20,25,30,35,40,45,50,55,60,65,70,75,80,85}, 1), "20-24", "25-29", "30-34", "35-39", "40-44", "45-49", "50-54", "55-59", "60-64", "65-69", "70-74", "75-79", "80-84", "85+")</f>
        <v>25-29</v>
      </c>
      <c r="D5512" t="s">
        <v>7</v>
      </c>
    </row>
    <row r="5513" spans="1:4">
      <c r="A5513" t="s">
        <v>6</v>
      </c>
      <c r="B5513">
        <v>66</v>
      </c>
      <c r="C5513" t="str">
        <f>CHOOSE(MATCH(B5513, {20,25,30,35,40,45,50,55,60,65,70,75,80,85}, 1), "20-24", "25-29", "30-34", "35-39", "40-44", "45-49", "50-54", "55-59", "60-64", "65-69", "70-74", "75-79", "80-84", "85+")</f>
        <v>65-69</v>
      </c>
      <c r="D5513" t="s">
        <v>8</v>
      </c>
    </row>
    <row r="5514" spans="1:4">
      <c r="A5514" t="s">
        <v>6</v>
      </c>
      <c r="B5514">
        <v>54</v>
      </c>
      <c r="C5514" t="str">
        <f>CHOOSE(MATCH(B5514, {20,25,30,35,40,45,50,55,60,65,70,75,80,85}, 1), "20-24", "25-29", "30-34", "35-39", "40-44", "45-49", "50-54", "55-59", "60-64", "65-69", "70-74", "75-79", "80-84", "85+")</f>
        <v>50-54</v>
      </c>
      <c r="D5514" t="s">
        <v>7</v>
      </c>
    </row>
    <row r="5515" spans="1:4">
      <c r="A5515" t="s">
        <v>6</v>
      </c>
      <c r="B5515">
        <v>34</v>
      </c>
      <c r="C5515" t="str">
        <f>CHOOSE(MATCH(B5515, {20,25,30,35,40,45,50,55,60,65,70,75,80,85}, 1), "20-24", "25-29", "30-34", "35-39", "40-44", "45-49", "50-54", "55-59", "60-64", "65-69", "70-74", "75-79", "80-84", "85+")</f>
        <v>30-34</v>
      </c>
      <c r="D5515" t="s">
        <v>7</v>
      </c>
    </row>
    <row r="5516" spans="1:4">
      <c r="A5516" t="s">
        <v>6</v>
      </c>
      <c r="B5516">
        <v>63</v>
      </c>
      <c r="C5516" t="str">
        <f>CHOOSE(MATCH(B5516, {20,25,30,35,40,45,50,55,60,65,70,75,80,85}, 1), "20-24", "25-29", "30-34", "35-39", "40-44", "45-49", "50-54", "55-59", "60-64", "65-69", "70-74", "75-79", "80-84", "85+")</f>
        <v>60-64</v>
      </c>
      <c r="D5516" t="s">
        <v>7</v>
      </c>
    </row>
    <row r="5517" spans="1:4">
      <c r="A5517" t="s">
        <v>6</v>
      </c>
      <c r="B5517">
        <v>48</v>
      </c>
      <c r="C5517" t="str">
        <f>CHOOSE(MATCH(B5517, {20,25,30,35,40,45,50,55,60,65,70,75,80,85}, 1), "20-24", "25-29", "30-34", "35-39", "40-44", "45-49", "50-54", "55-59", "60-64", "65-69", "70-74", "75-79", "80-84", "85+")</f>
        <v>45-49</v>
      </c>
      <c r="D5517" t="s">
        <v>7</v>
      </c>
    </row>
    <row r="5518" spans="1:4">
      <c r="A5518" t="s">
        <v>6</v>
      </c>
      <c r="B5518">
        <v>58</v>
      </c>
      <c r="C5518" t="str">
        <f>CHOOSE(MATCH(B5518, {20,25,30,35,40,45,50,55,60,65,70,75,80,85}, 1), "20-24", "25-29", "30-34", "35-39", "40-44", "45-49", "50-54", "55-59", "60-64", "65-69", "70-74", "75-79", "80-84", "85+")</f>
        <v>55-59</v>
      </c>
      <c r="D5518" t="s">
        <v>7</v>
      </c>
    </row>
    <row r="5519" spans="1:4">
      <c r="A5519" t="s">
        <v>6</v>
      </c>
      <c r="B5519">
        <v>51</v>
      </c>
      <c r="C5519" t="str">
        <f>CHOOSE(MATCH(B5519, {20,25,30,35,40,45,50,55,60,65,70,75,80,85}, 1), "20-24", "25-29", "30-34", "35-39", "40-44", "45-49", "50-54", "55-59", "60-64", "65-69", "70-74", "75-79", "80-84", "85+")</f>
        <v>50-54</v>
      </c>
      <c r="D5519" t="s">
        <v>7</v>
      </c>
    </row>
    <row r="5520" spans="1:4">
      <c r="A5520" t="s">
        <v>6</v>
      </c>
      <c r="B5520">
        <v>35</v>
      </c>
      <c r="C5520" t="str">
        <f>CHOOSE(MATCH(B5520, {20,25,30,35,40,45,50,55,60,65,70,75,80,85}, 1), "20-24", "25-29", "30-34", "35-39", "40-44", "45-49", "50-54", "55-59", "60-64", "65-69", "70-74", "75-79", "80-84", "85+")</f>
        <v>35-39</v>
      </c>
      <c r="D5520" t="s">
        <v>7</v>
      </c>
    </row>
    <row r="5521" spans="1:4">
      <c r="A5521" t="s">
        <v>6</v>
      </c>
      <c r="B5521">
        <v>45</v>
      </c>
      <c r="C5521" t="str">
        <f>CHOOSE(MATCH(B5521, {20,25,30,35,40,45,50,55,60,65,70,75,80,85}, 1), "20-24", "25-29", "30-34", "35-39", "40-44", "45-49", "50-54", "55-59", "60-64", "65-69", "70-74", "75-79", "80-84", "85+")</f>
        <v>45-49</v>
      </c>
      <c r="D5521" t="s">
        <v>7</v>
      </c>
    </row>
    <row r="5522" spans="1:4">
      <c r="A5522" t="s">
        <v>6</v>
      </c>
      <c r="B5522">
        <v>33</v>
      </c>
      <c r="C5522" t="str">
        <f>CHOOSE(MATCH(B5522, {20,25,30,35,40,45,50,55,60,65,70,75,80,85}, 1), "20-24", "25-29", "30-34", "35-39", "40-44", "45-49", "50-54", "55-59", "60-64", "65-69", "70-74", "75-79", "80-84", "85+")</f>
        <v>30-34</v>
      </c>
      <c r="D5522" t="s">
        <v>8</v>
      </c>
    </row>
    <row r="5523" spans="1:4">
      <c r="A5523" t="s">
        <v>6</v>
      </c>
      <c r="B5523">
        <v>53</v>
      </c>
      <c r="C5523" t="str">
        <f>CHOOSE(MATCH(B5523, {20,25,30,35,40,45,50,55,60,65,70,75,80,85}, 1), "20-24", "25-29", "30-34", "35-39", "40-44", "45-49", "50-54", "55-59", "60-64", "65-69", "70-74", "75-79", "80-84", "85+")</f>
        <v>50-54</v>
      </c>
      <c r="D5523" t="s">
        <v>8</v>
      </c>
    </row>
    <row r="5524" spans="1:4">
      <c r="A5524" t="s">
        <v>6</v>
      </c>
      <c r="B5524">
        <v>39</v>
      </c>
      <c r="C5524" t="str">
        <f>CHOOSE(MATCH(B5524, {20,25,30,35,40,45,50,55,60,65,70,75,80,85}, 1), "20-24", "25-29", "30-34", "35-39", "40-44", "45-49", "50-54", "55-59", "60-64", "65-69", "70-74", "75-79", "80-84", "85+")</f>
        <v>35-39</v>
      </c>
      <c r="D5524" t="s">
        <v>7</v>
      </c>
    </row>
    <row r="5525" spans="1:4">
      <c r="A5525" t="s">
        <v>6</v>
      </c>
      <c r="B5525">
        <v>33</v>
      </c>
      <c r="C5525" t="str">
        <f>CHOOSE(MATCH(B5525, {20,25,30,35,40,45,50,55,60,65,70,75,80,85}, 1), "20-24", "25-29", "30-34", "35-39", "40-44", "45-49", "50-54", "55-59", "60-64", "65-69", "70-74", "75-79", "80-84", "85+")</f>
        <v>30-34</v>
      </c>
      <c r="D5525" t="s">
        <v>8</v>
      </c>
    </row>
    <row r="5526" spans="1:4">
      <c r="A5526" t="s">
        <v>6</v>
      </c>
      <c r="B5526">
        <v>23</v>
      </c>
      <c r="C5526" t="str">
        <f>CHOOSE(MATCH(B5526, {20,25,30,35,40,45,50,55,60,65,70,75,80,85}, 1), "20-24", "25-29", "30-34", "35-39", "40-44", "45-49", "50-54", "55-59", "60-64", "65-69", "70-74", "75-79", "80-84", "85+")</f>
        <v>20-24</v>
      </c>
      <c r="D5526" t="s">
        <v>7</v>
      </c>
    </row>
    <row r="5527" spans="1:4">
      <c r="A5527" t="s">
        <v>6</v>
      </c>
      <c r="B5527">
        <v>46</v>
      </c>
      <c r="C5527" t="str">
        <f>CHOOSE(MATCH(B5527, {20,25,30,35,40,45,50,55,60,65,70,75,80,85}, 1), "20-24", "25-29", "30-34", "35-39", "40-44", "45-49", "50-54", "55-59", "60-64", "65-69", "70-74", "75-79", "80-84", "85+")</f>
        <v>45-49</v>
      </c>
      <c r="D5527" t="s">
        <v>7</v>
      </c>
    </row>
    <row r="5528" spans="1:4">
      <c r="A5528" t="s">
        <v>6</v>
      </c>
      <c r="B5528">
        <v>43</v>
      </c>
      <c r="C5528" t="str">
        <f>CHOOSE(MATCH(B5528, {20,25,30,35,40,45,50,55,60,65,70,75,80,85}, 1), "20-24", "25-29", "30-34", "35-39", "40-44", "45-49", "50-54", "55-59", "60-64", "65-69", "70-74", "75-79", "80-84", "85+")</f>
        <v>40-44</v>
      </c>
      <c r="D5528" t="s">
        <v>8</v>
      </c>
    </row>
    <row r="5529" spans="1:4">
      <c r="A5529" t="s">
        <v>6</v>
      </c>
      <c r="B5529">
        <v>22</v>
      </c>
      <c r="C5529" t="str">
        <f>CHOOSE(MATCH(B5529, {20,25,30,35,40,45,50,55,60,65,70,75,80,85}, 1), "20-24", "25-29", "30-34", "35-39", "40-44", "45-49", "50-54", "55-59", "60-64", "65-69", "70-74", "75-79", "80-84", "85+")</f>
        <v>20-24</v>
      </c>
      <c r="D5529" t="s">
        <v>8</v>
      </c>
    </row>
    <row r="5530" spans="1:4">
      <c r="A5530" t="s">
        <v>6</v>
      </c>
      <c r="B5530">
        <v>55</v>
      </c>
      <c r="C5530" t="str">
        <f>CHOOSE(MATCH(B5530, {20,25,30,35,40,45,50,55,60,65,70,75,80,85}, 1), "20-24", "25-29", "30-34", "35-39", "40-44", "45-49", "50-54", "55-59", "60-64", "65-69", "70-74", "75-79", "80-84", "85+")</f>
        <v>55-59</v>
      </c>
      <c r="D5530" t="s">
        <v>7</v>
      </c>
    </row>
    <row r="5531" spans="1:4">
      <c r="A5531" t="s">
        <v>6</v>
      </c>
      <c r="B5531">
        <v>47</v>
      </c>
      <c r="C5531" t="str">
        <f>CHOOSE(MATCH(B5531, {20,25,30,35,40,45,50,55,60,65,70,75,80,85}, 1), "20-24", "25-29", "30-34", "35-39", "40-44", "45-49", "50-54", "55-59", "60-64", "65-69", "70-74", "75-79", "80-84", "85+")</f>
        <v>45-49</v>
      </c>
      <c r="D5531" t="s">
        <v>8</v>
      </c>
    </row>
    <row r="5532" spans="1:4">
      <c r="A5532" t="s">
        <v>6</v>
      </c>
      <c r="B5532">
        <v>32</v>
      </c>
      <c r="C5532" t="str">
        <f>CHOOSE(MATCH(B5532, {20,25,30,35,40,45,50,55,60,65,70,75,80,85}, 1), "20-24", "25-29", "30-34", "35-39", "40-44", "45-49", "50-54", "55-59", "60-64", "65-69", "70-74", "75-79", "80-84", "85+")</f>
        <v>30-34</v>
      </c>
      <c r="D5532" t="s">
        <v>7</v>
      </c>
    </row>
    <row r="5533" spans="1:4">
      <c r="A5533" t="s">
        <v>6</v>
      </c>
      <c r="B5533">
        <v>32</v>
      </c>
      <c r="C5533" t="str">
        <f>CHOOSE(MATCH(B5533, {20,25,30,35,40,45,50,55,60,65,70,75,80,85}, 1), "20-24", "25-29", "30-34", "35-39", "40-44", "45-49", "50-54", "55-59", "60-64", "65-69", "70-74", "75-79", "80-84", "85+")</f>
        <v>30-34</v>
      </c>
      <c r="D5533" t="s">
        <v>7</v>
      </c>
    </row>
    <row r="5534" spans="1:4">
      <c r="A5534" t="s">
        <v>6</v>
      </c>
      <c r="B5534">
        <v>29</v>
      </c>
      <c r="C5534" t="str">
        <f>CHOOSE(MATCH(B5534, {20,25,30,35,40,45,50,55,60,65,70,75,80,85}, 1), "20-24", "25-29", "30-34", "35-39", "40-44", "45-49", "50-54", "55-59", "60-64", "65-69", "70-74", "75-79", "80-84", "85+")</f>
        <v>25-29</v>
      </c>
      <c r="D5534" t="s">
        <v>8</v>
      </c>
    </row>
    <row r="5535" spans="1:4">
      <c r="A5535" t="s">
        <v>6</v>
      </c>
      <c r="B5535">
        <v>40</v>
      </c>
      <c r="C5535" t="str">
        <f>CHOOSE(MATCH(B5535, {20,25,30,35,40,45,50,55,60,65,70,75,80,85}, 1), "20-24", "25-29", "30-34", "35-39", "40-44", "45-49", "50-54", "55-59", "60-64", "65-69", "70-74", "75-79", "80-84", "85+")</f>
        <v>40-44</v>
      </c>
      <c r="D5535" t="s">
        <v>7</v>
      </c>
    </row>
    <row r="5536" spans="1:4">
      <c r="A5536" t="s">
        <v>6</v>
      </c>
      <c r="B5536">
        <v>66</v>
      </c>
      <c r="C5536" t="str">
        <f>CHOOSE(MATCH(B5536, {20,25,30,35,40,45,50,55,60,65,70,75,80,85}, 1), "20-24", "25-29", "30-34", "35-39", "40-44", "45-49", "50-54", "55-59", "60-64", "65-69", "70-74", "75-79", "80-84", "85+")</f>
        <v>65-69</v>
      </c>
      <c r="D5536" t="s">
        <v>8</v>
      </c>
    </row>
    <row r="5537" spans="1:4">
      <c r="A5537" t="s">
        <v>6</v>
      </c>
      <c r="B5537">
        <v>42</v>
      </c>
      <c r="C5537" t="str">
        <f>CHOOSE(MATCH(B5537, {20,25,30,35,40,45,50,55,60,65,70,75,80,85}, 1), "20-24", "25-29", "30-34", "35-39", "40-44", "45-49", "50-54", "55-59", "60-64", "65-69", "70-74", "75-79", "80-84", "85+")</f>
        <v>40-44</v>
      </c>
      <c r="D5537" t="s">
        <v>7</v>
      </c>
    </row>
    <row r="5538" spans="1:4">
      <c r="A5538" t="s">
        <v>6</v>
      </c>
      <c r="B5538">
        <v>32</v>
      </c>
      <c r="C5538" t="str">
        <f>CHOOSE(MATCH(B5538, {20,25,30,35,40,45,50,55,60,65,70,75,80,85}, 1), "20-24", "25-29", "30-34", "35-39", "40-44", "45-49", "50-54", "55-59", "60-64", "65-69", "70-74", "75-79", "80-84", "85+")</f>
        <v>30-34</v>
      </c>
      <c r="D5538" t="s">
        <v>8</v>
      </c>
    </row>
    <row r="5539" spans="1:4">
      <c r="A5539" t="s">
        <v>6</v>
      </c>
      <c r="B5539">
        <v>32</v>
      </c>
      <c r="C5539" t="str">
        <f>CHOOSE(MATCH(B5539, {20,25,30,35,40,45,50,55,60,65,70,75,80,85}, 1), "20-24", "25-29", "30-34", "35-39", "40-44", "45-49", "50-54", "55-59", "60-64", "65-69", "70-74", "75-79", "80-84", "85+")</f>
        <v>30-34</v>
      </c>
      <c r="D5539" t="s">
        <v>8</v>
      </c>
    </row>
    <row r="5540" spans="1:4">
      <c r="A5540" t="s">
        <v>6</v>
      </c>
      <c r="B5540">
        <v>27</v>
      </c>
      <c r="C5540" t="str">
        <f>CHOOSE(MATCH(B5540, {20,25,30,35,40,45,50,55,60,65,70,75,80,85}, 1), "20-24", "25-29", "30-34", "35-39", "40-44", "45-49", "50-54", "55-59", "60-64", "65-69", "70-74", "75-79", "80-84", "85+")</f>
        <v>25-29</v>
      </c>
      <c r="D5540" t="s">
        <v>7</v>
      </c>
    </row>
    <row r="5541" spans="1:4">
      <c r="A5541" t="s">
        <v>6</v>
      </c>
      <c r="B5541">
        <v>37</v>
      </c>
      <c r="C5541" t="str">
        <f>CHOOSE(MATCH(B5541, {20,25,30,35,40,45,50,55,60,65,70,75,80,85}, 1), "20-24", "25-29", "30-34", "35-39", "40-44", "45-49", "50-54", "55-59", "60-64", "65-69", "70-74", "75-79", "80-84", "85+")</f>
        <v>35-39</v>
      </c>
      <c r="D5541" t="s">
        <v>7</v>
      </c>
    </row>
    <row r="5542" spans="1:4">
      <c r="A5542" t="s">
        <v>6</v>
      </c>
      <c r="B5542">
        <v>39</v>
      </c>
      <c r="C5542" t="str">
        <f>CHOOSE(MATCH(B5542, {20,25,30,35,40,45,50,55,60,65,70,75,80,85}, 1), "20-24", "25-29", "30-34", "35-39", "40-44", "45-49", "50-54", "55-59", "60-64", "65-69", "70-74", "75-79", "80-84", "85+")</f>
        <v>35-39</v>
      </c>
      <c r="D5542" t="s">
        <v>8</v>
      </c>
    </row>
    <row r="5543" spans="1:4">
      <c r="A5543" t="s">
        <v>6</v>
      </c>
      <c r="B5543">
        <v>39</v>
      </c>
      <c r="C5543" t="str">
        <f>CHOOSE(MATCH(B5543, {20,25,30,35,40,45,50,55,60,65,70,75,80,85}, 1), "20-24", "25-29", "30-34", "35-39", "40-44", "45-49", "50-54", "55-59", "60-64", "65-69", "70-74", "75-79", "80-84", "85+")</f>
        <v>35-39</v>
      </c>
      <c r="D5543" t="s">
        <v>8</v>
      </c>
    </row>
    <row r="5544" spans="1:4">
      <c r="A5544" t="s">
        <v>6</v>
      </c>
      <c r="B5544">
        <v>23</v>
      </c>
      <c r="C5544" t="str">
        <f>CHOOSE(MATCH(B5544, {20,25,30,35,40,45,50,55,60,65,70,75,80,85}, 1), "20-24", "25-29", "30-34", "35-39", "40-44", "45-49", "50-54", "55-59", "60-64", "65-69", "70-74", "75-79", "80-84", "85+")</f>
        <v>20-24</v>
      </c>
      <c r="D5544" t="s">
        <v>8</v>
      </c>
    </row>
    <row r="5545" spans="1:4">
      <c r="A5545" t="s">
        <v>6</v>
      </c>
      <c r="B5545">
        <v>34</v>
      </c>
      <c r="C5545" t="str">
        <f>CHOOSE(MATCH(B5545, {20,25,30,35,40,45,50,55,60,65,70,75,80,85}, 1), "20-24", "25-29", "30-34", "35-39", "40-44", "45-49", "50-54", "55-59", "60-64", "65-69", "70-74", "75-79", "80-84", "85+")</f>
        <v>30-34</v>
      </c>
      <c r="D5545" t="s">
        <v>7</v>
      </c>
    </row>
    <row r="5546" spans="1:4">
      <c r="A5546" t="s">
        <v>6</v>
      </c>
      <c r="B5546">
        <v>37</v>
      </c>
      <c r="C5546" t="str">
        <f>CHOOSE(MATCH(B5546, {20,25,30,35,40,45,50,55,60,65,70,75,80,85}, 1), "20-24", "25-29", "30-34", "35-39", "40-44", "45-49", "50-54", "55-59", "60-64", "65-69", "70-74", "75-79", "80-84", "85+")</f>
        <v>35-39</v>
      </c>
      <c r="D5546" t="s">
        <v>8</v>
      </c>
    </row>
    <row r="5547" spans="1:4">
      <c r="A5547" t="s">
        <v>6</v>
      </c>
      <c r="B5547">
        <v>52</v>
      </c>
      <c r="C5547" t="str">
        <f>CHOOSE(MATCH(B5547, {20,25,30,35,40,45,50,55,60,65,70,75,80,85}, 1), "20-24", "25-29", "30-34", "35-39", "40-44", "45-49", "50-54", "55-59", "60-64", "65-69", "70-74", "75-79", "80-84", "85+")</f>
        <v>50-54</v>
      </c>
      <c r="D5547" t="s">
        <v>8</v>
      </c>
    </row>
    <row r="5548" spans="1:4">
      <c r="A5548" t="s">
        <v>6</v>
      </c>
      <c r="B5548">
        <v>50</v>
      </c>
      <c r="C5548" t="str">
        <f>CHOOSE(MATCH(B5548, {20,25,30,35,40,45,50,55,60,65,70,75,80,85}, 1), "20-24", "25-29", "30-34", "35-39", "40-44", "45-49", "50-54", "55-59", "60-64", "65-69", "70-74", "75-79", "80-84", "85+")</f>
        <v>50-54</v>
      </c>
      <c r="D5548" t="s">
        <v>8</v>
      </c>
    </row>
    <row r="5549" spans="1:4">
      <c r="A5549" t="s">
        <v>6</v>
      </c>
      <c r="B5549">
        <v>46</v>
      </c>
      <c r="C5549" t="str">
        <f>CHOOSE(MATCH(B5549, {20,25,30,35,40,45,50,55,60,65,70,75,80,85}, 1), "20-24", "25-29", "30-34", "35-39", "40-44", "45-49", "50-54", "55-59", "60-64", "65-69", "70-74", "75-79", "80-84", "85+")</f>
        <v>45-49</v>
      </c>
      <c r="D5549" t="s">
        <v>7</v>
      </c>
    </row>
    <row r="5550" spans="1:4">
      <c r="A5550" t="s">
        <v>6</v>
      </c>
      <c r="B5550">
        <v>27</v>
      </c>
      <c r="C5550" t="str">
        <f>CHOOSE(MATCH(B5550, {20,25,30,35,40,45,50,55,60,65,70,75,80,85}, 1), "20-24", "25-29", "30-34", "35-39", "40-44", "45-49", "50-54", "55-59", "60-64", "65-69", "70-74", "75-79", "80-84", "85+")</f>
        <v>25-29</v>
      </c>
      <c r="D5550" t="s">
        <v>8</v>
      </c>
    </row>
    <row r="5551" spans="1:4">
      <c r="A5551" t="s">
        <v>6</v>
      </c>
      <c r="B5551">
        <v>49</v>
      </c>
      <c r="C5551" t="str">
        <f>CHOOSE(MATCH(B5551, {20,25,30,35,40,45,50,55,60,65,70,75,80,85}, 1), "20-24", "25-29", "30-34", "35-39", "40-44", "45-49", "50-54", "55-59", "60-64", "65-69", "70-74", "75-79", "80-84", "85+")</f>
        <v>45-49</v>
      </c>
      <c r="D5551" t="s">
        <v>8</v>
      </c>
    </row>
    <row r="5552" spans="1:4">
      <c r="A5552" t="s">
        <v>6</v>
      </c>
      <c r="B5552">
        <v>29</v>
      </c>
      <c r="C5552" t="str">
        <f>CHOOSE(MATCH(B5552, {20,25,30,35,40,45,50,55,60,65,70,75,80,85}, 1), "20-24", "25-29", "30-34", "35-39", "40-44", "45-49", "50-54", "55-59", "60-64", "65-69", "70-74", "75-79", "80-84", "85+")</f>
        <v>25-29</v>
      </c>
      <c r="D5552" t="s">
        <v>8</v>
      </c>
    </row>
    <row r="5553" spans="1:4">
      <c r="A5553" t="s">
        <v>6</v>
      </c>
      <c r="B5553">
        <v>24</v>
      </c>
      <c r="C5553" t="str">
        <f>CHOOSE(MATCH(B5553, {20,25,30,35,40,45,50,55,60,65,70,75,80,85}, 1), "20-24", "25-29", "30-34", "35-39", "40-44", "45-49", "50-54", "55-59", "60-64", "65-69", "70-74", "75-79", "80-84", "85+")</f>
        <v>20-24</v>
      </c>
      <c r="D5553" t="s">
        <v>7</v>
      </c>
    </row>
    <row r="5554" spans="1:4">
      <c r="A5554" t="s">
        <v>6</v>
      </c>
      <c r="B5554">
        <v>31</v>
      </c>
      <c r="C5554" t="str">
        <f>CHOOSE(MATCH(B5554, {20,25,30,35,40,45,50,55,60,65,70,75,80,85}, 1), "20-24", "25-29", "30-34", "35-39", "40-44", "45-49", "50-54", "55-59", "60-64", "65-69", "70-74", "75-79", "80-84", "85+")</f>
        <v>30-34</v>
      </c>
      <c r="D5554" t="s">
        <v>8</v>
      </c>
    </row>
    <row r="5555" spans="1:4">
      <c r="A5555" t="s">
        <v>6</v>
      </c>
      <c r="B5555">
        <v>63</v>
      </c>
      <c r="C5555" t="str">
        <f>CHOOSE(MATCH(B5555, {20,25,30,35,40,45,50,55,60,65,70,75,80,85}, 1), "20-24", "25-29", "30-34", "35-39", "40-44", "45-49", "50-54", "55-59", "60-64", "65-69", "70-74", "75-79", "80-84", "85+")</f>
        <v>60-64</v>
      </c>
      <c r="D5555" t="s">
        <v>7</v>
      </c>
    </row>
    <row r="5556" spans="1:4">
      <c r="A5556" t="s">
        <v>6</v>
      </c>
      <c r="B5556">
        <v>34</v>
      </c>
      <c r="C5556" t="str">
        <f>CHOOSE(MATCH(B5556, {20,25,30,35,40,45,50,55,60,65,70,75,80,85}, 1), "20-24", "25-29", "30-34", "35-39", "40-44", "45-49", "50-54", "55-59", "60-64", "65-69", "70-74", "75-79", "80-84", "85+")</f>
        <v>30-34</v>
      </c>
      <c r="D5556" t="s">
        <v>7</v>
      </c>
    </row>
    <row r="5557" spans="1:4">
      <c r="A5557" t="s">
        <v>6</v>
      </c>
      <c r="B5557">
        <v>30</v>
      </c>
      <c r="C5557" t="str">
        <f>CHOOSE(MATCH(B5557, {20,25,30,35,40,45,50,55,60,65,70,75,80,85}, 1), "20-24", "25-29", "30-34", "35-39", "40-44", "45-49", "50-54", "55-59", "60-64", "65-69", "70-74", "75-79", "80-84", "85+")</f>
        <v>30-34</v>
      </c>
      <c r="D5557" t="s">
        <v>8</v>
      </c>
    </row>
    <row r="5558" spans="1:4">
      <c r="A5558" t="s">
        <v>6</v>
      </c>
      <c r="B5558">
        <v>45</v>
      </c>
      <c r="C5558" t="str">
        <f>CHOOSE(MATCH(B5558, {20,25,30,35,40,45,50,55,60,65,70,75,80,85}, 1), "20-24", "25-29", "30-34", "35-39", "40-44", "45-49", "50-54", "55-59", "60-64", "65-69", "70-74", "75-79", "80-84", "85+")</f>
        <v>45-49</v>
      </c>
      <c r="D5558" t="s">
        <v>7</v>
      </c>
    </row>
    <row r="5559" spans="1:4">
      <c r="A5559" t="s">
        <v>6</v>
      </c>
      <c r="B5559">
        <v>33</v>
      </c>
      <c r="C5559" t="str">
        <f>CHOOSE(MATCH(B5559, {20,25,30,35,40,45,50,55,60,65,70,75,80,85}, 1), "20-24", "25-29", "30-34", "35-39", "40-44", "45-49", "50-54", "55-59", "60-64", "65-69", "70-74", "75-79", "80-84", "85+")</f>
        <v>30-34</v>
      </c>
      <c r="D5559" t="s">
        <v>7</v>
      </c>
    </row>
    <row r="5560" spans="1:4">
      <c r="A5560" t="s">
        <v>6</v>
      </c>
      <c r="B5560">
        <v>46</v>
      </c>
      <c r="C5560" t="str">
        <f>CHOOSE(MATCH(B5560, {20,25,30,35,40,45,50,55,60,65,70,75,80,85}, 1), "20-24", "25-29", "30-34", "35-39", "40-44", "45-49", "50-54", "55-59", "60-64", "65-69", "70-74", "75-79", "80-84", "85+")</f>
        <v>45-49</v>
      </c>
      <c r="D5560" t="s">
        <v>7</v>
      </c>
    </row>
    <row r="5561" spans="1:4">
      <c r="A5561" t="s">
        <v>6</v>
      </c>
      <c r="B5561">
        <v>53</v>
      </c>
      <c r="C5561" t="str">
        <f>CHOOSE(MATCH(B5561, {20,25,30,35,40,45,50,55,60,65,70,75,80,85}, 1), "20-24", "25-29", "30-34", "35-39", "40-44", "45-49", "50-54", "55-59", "60-64", "65-69", "70-74", "75-79", "80-84", "85+")</f>
        <v>50-54</v>
      </c>
      <c r="D5561" t="s">
        <v>8</v>
      </c>
    </row>
    <row r="5562" spans="1:4">
      <c r="A5562" t="s">
        <v>6</v>
      </c>
      <c r="B5562">
        <v>26</v>
      </c>
      <c r="C5562" t="str">
        <f>CHOOSE(MATCH(B5562, {20,25,30,35,40,45,50,55,60,65,70,75,80,85}, 1), "20-24", "25-29", "30-34", "35-39", "40-44", "45-49", "50-54", "55-59", "60-64", "65-69", "70-74", "75-79", "80-84", "85+")</f>
        <v>25-29</v>
      </c>
      <c r="D5562" t="s">
        <v>7</v>
      </c>
    </row>
    <row r="5563" spans="1:4">
      <c r="A5563" t="s">
        <v>6</v>
      </c>
      <c r="B5563">
        <v>34</v>
      </c>
      <c r="C5563" t="str">
        <f>CHOOSE(MATCH(B5563, {20,25,30,35,40,45,50,55,60,65,70,75,80,85}, 1), "20-24", "25-29", "30-34", "35-39", "40-44", "45-49", "50-54", "55-59", "60-64", "65-69", "70-74", "75-79", "80-84", "85+")</f>
        <v>30-34</v>
      </c>
      <c r="D5563" t="s">
        <v>8</v>
      </c>
    </row>
    <row r="5564" spans="1:4">
      <c r="A5564" t="s">
        <v>6</v>
      </c>
      <c r="B5564">
        <v>29</v>
      </c>
      <c r="C5564" t="str">
        <f>CHOOSE(MATCH(B5564, {20,25,30,35,40,45,50,55,60,65,70,75,80,85}, 1), "20-24", "25-29", "30-34", "35-39", "40-44", "45-49", "50-54", "55-59", "60-64", "65-69", "70-74", "75-79", "80-84", "85+")</f>
        <v>25-29</v>
      </c>
      <c r="D5564" t="s">
        <v>7</v>
      </c>
    </row>
    <row r="5565" spans="1:4">
      <c r="A5565" t="s">
        <v>6</v>
      </c>
      <c r="B5565">
        <v>30</v>
      </c>
      <c r="C5565" t="str">
        <f>CHOOSE(MATCH(B5565, {20,25,30,35,40,45,50,55,60,65,70,75,80,85}, 1), "20-24", "25-29", "30-34", "35-39", "40-44", "45-49", "50-54", "55-59", "60-64", "65-69", "70-74", "75-79", "80-84", "85+")</f>
        <v>30-34</v>
      </c>
      <c r="D5565" t="s">
        <v>7</v>
      </c>
    </row>
    <row r="5566" spans="1:4">
      <c r="A5566" t="s">
        <v>6</v>
      </c>
      <c r="B5566">
        <v>39</v>
      </c>
      <c r="C5566" t="str">
        <f>CHOOSE(MATCH(B5566, {20,25,30,35,40,45,50,55,60,65,70,75,80,85}, 1), "20-24", "25-29", "30-34", "35-39", "40-44", "45-49", "50-54", "55-59", "60-64", "65-69", "70-74", "75-79", "80-84", "85+")</f>
        <v>35-39</v>
      </c>
      <c r="D5566" t="s">
        <v>8</v>
      </c>
    </row>
    <row r="5567" spans="1:4">
      <c r="A5567" t="s">
        <v>6</v>
      </c>
      <c r="B5567">
        <v>61</v>
      </c>
      <c r="C5567" t="str">
        <f>CHOOSE(MATCH(B5567, {20,25,30,35,40,45,50,55,60,65,70,75,80,85}, 1), "20-24", "25-29", "30-34", "35-39", "40-44", "45-49", "50-54", "55-59", "60-64", "65-69", "70-74", "75-79", "80-84", "85+")</f>
        <v>60-64</v>
      </c>
      <c r="D5567" t="s">
        <v>7</v>
      </c>
    </row>
    <row r="5568" spans="1:4">
      <c r="A5568" t="s">
        <v>6</v>
      </c>
      <c r="B5568">
        <v>32</v>
      </c>
      <c r="C5568" t="str">
        <f>CHOOSE(MATCH(B5568, {20,25,30,35,40,45,50,55,60,65,70,75,80,85}, 1), "20-24", "25-29", "30-34", "35-39", "40-44", "45-49", "50-54", "55-59", "60-64", "65-69", "70-74", "75-79", "80-84", "85+")</f>
        <v>30-34</v>
      </c>
      <c r="D5568" t="s">
        <v>8</v>
      </c>
    </row>
    <row r="5569" spans="1:4">
      <c r="A5569" t="s">
        <v>6</v>
      </c>
      <c r="B5569">
        <v>73</v>
      </c>
      <c r="C5569" t="str">
        <f>CHOOSE(MATCH(B5569, {20,25,30,35,40,45,50,55,60,65,70,75,80,85}, 1), "20-24", "25-29", "30-34", "35-39", "40-44", "45-49", "50-54", "55-59", "60-64", "65-69", "70-74", "75-79", "80-84", "85+")</f>
        <v>70-74</v>
      </c>
      <c r="D5569" t="s">
        <v>7</v>
      </c>
    </row>
    <row r="5570" spans="1:4">
      <c r="A5570" t="s">
        <v>6</v>
      </c>
      <c r="B5570">
        <v>30</v>
      </c>
      <c r="C5570" t="str">
        <f>CHOOSE(MATCH(B5570, {20,25,30,35,40,45,50,55,60,65,70,75,80,85}, 1), "20-24", "25-29", "30-34", "35-39", "40-44", "45-49", "50-54", "55-59", "60-64", "65-69", "70-74", "75-79", "80-84", "85+")</f>
        <v>30-34</v>
      </c>
      <c r="D5570" t="s">
        <v>8</v>
      </c>
    </row>
    <row r="5571" spans="1:4">
      <c r="A5571" t="s">
        <v>6</v>
      </c>
      <c r="B5571">
        <v>57</v>
      </c>
      <c r="C5571" t="str">
        <f>CHOOSE(MATCH(B5571, {20,25,30,35,40,45,50,55,60,65,70,75,80,85}, 1), "20-24", "25-29", "30-34", "35-39", "40-44", "45-49", "50-54", "55-59", "60-64", "65-69", "70-74", "75-79", "80-84", "85+")</f>
        <v>55-59</v>
      </c>
      <c r="D5571" t="s">
        <v>8</v>
      </c>
    </row>
    <row r="5572" spans="1:4">
      <c r="A5572" t="s">
        <v>6</v>
      </c>
      <c r="B5572">
        <v>41</v>
      </c>
      <c r="C5572" t="str">
        <f>CHOOSE(MATCH(B5572, {20,25,30,35,40,45,50,55,60,65,70,75,80,85}, 1), "20-24", "25-29", "30-34", "35-39", "40-44", "45-49", "50-54", "55-59", "60-64", "65-69", "70-74", "75-79", "80-84", "85+")</f>
        <v>40-44</v>
      </c>
      <c r="D5572" t="s">
        <v>7</v>
      </c>
    </row>
    <row r="5573" spans="1:4">
      <c r="A5573" t="s">
        <v>6</v>
      </c>
      <c r="B5573">
        <v>47</v>
      </c>
      <c r="C5573" t="str">
        <f>CHOOSE(MATCH(B5573, {20,25,30,35,40,45,50,55,60,65,70,75,80,85}, 1), "20-24", "25-29", "30-34", "35-39", "40-44", "45-49", "50-54", "55-59", "60-64", "65-69", "70-74", "75-79", "80-84", "85+")</f>
        <v>45-49</v>
      </c>
      <c r="D5573" t="s">
        <v>7</v>
      </c>
    </row>
    <row r="5574" spans="1:4">
      <c r="A5574" t="s">
        <v>6</v>
      </c>
      <c r="B5574">
        <v>44</v>
      </c>
      <c r="C5574" t="str">
        <f>CHOOSE(MATCH(B5574, {20,25,30,35,40,45,50,55,60,65,70,75,80,85}, 1), "20-24", "25-29", "30-34", "35-39", "40-44", "45-49", "50-54", "55-59", "60-64", "65-69", "70-74", "75-79", "80-84", "85+")</f>
        <v>40-44</v>
      </c>
      <c r="D5574" t="s">
        <v>7</v>
      </c>
    </row>
    <row r="5575" spans="1:4">
      <c r="A5575" t="s">
        <v>6</v>
      </c>
      <c r="B5575">
        <v>39</v>
      </c>
      <c r="C5575" t="str">
        <f>CHOOSE(MATCH(B5575, {20,25,30,35,40,45,50,55,60,65,70,75,80,85}, 1), "20-24", "25-29", "30-34", "35-39", "40-44", "45-49", "50-54", "55-59", "60-64", "65-69", "70-74", "75-79", "80-84", "85+")</f>
        <v>35-39</v>
      </c>
      <c r="D5575" t="s">
        <v>8</v>
      </c>
    </row>
    <row r="5576" spans="1:4">
      <c r="A5576" t="s">
        <v>6</v>
      </c>
      <c r="B5576">
        <v>48</v>
      </c>
      <c r="C5576" t="str">
        <f>CHOOSE(MATCH(B5576, {20,25,30,35,40,45,50,55,60,65,70,75,80,85}, 1), "20-24", "25-29", "30-34", "35-39", "40-44", "45-49", "50-54", "55-59", "60-64", "65-69", "70-74", "75-79", "80-84", "85+")</f>
        <v>45-49</v>
      </c>
      <c r="D5576" t="s">
        <v>8</v>
      </c>
    </row>
    <row r="5577" spans="1:4">
      <c r="A5577" t="s">
        <v>6</v>
      </c>
      <c r="B5577">
        <v>42</v>
      </c>
      <c r="C5577" t="str">
        <f>CHOOSE(MATCH(B5577, {20,25,30,35,40,45,50,55,60,65,70,75,80,85}, 1), "20-24", "25-29", "30-34", "35-39", "40-44", "45-49", "50-54", "55-59", "60-64", "65-69", "70-74", "75-79", "80-84", "85+")</f>
        <v>40-44</v>
      </c>
      <c r="D5577" t="s">
        <v>7</v>
      </c>
    </row>
    <row r="5578" spans="1:4">
      <c r="A5578" t="s">
        <v>6</v>
      </c>
      <c r="B5578">
        <v>32</v>
      </c>
      <c r="C5578" t="str">
        <f>CHOOSE(MATCH(B5578, {20,25,30,35,40,45,50,55,60,65,70,75,80,85}, 1), "20-24", "25-29", "30-34", "35-39", "40-44", "45-49", "50-54", "55-59", "60-64", "65-69", "70-74", "75-79", "80-84", "85+")</f>
        <v>30-34</v>
      </c>
      <c r="D5578" t="s">
        <v>7</v>
      </c>
    </row>
    <row r="5579" spans="1:4">
      <c r="A5579" t="s">
        <v>6</v>
      </c>
      <c r="B5579">
        <v>53</v>
      </c>
      <c r="C5579" t="str">
        <f>CHOOSE(MATCH(B5579, {20,25,30,35,40,45,50,55,60,65,70,75,80,85}, 1), "20-24", "25-29", "30-34", "35-39", "40-44", "45-49", "50-54", "55-59", "60-64", "65-69", "70-74", "75-79", "80-84", "85+")</f>
        <v>50-54</v>
      </c>
      <c r="D5579" t="s">
        <v>7</v>
      </c>
    </row>
    <row r="5580" spans="1:4">
      <c r="A5580" t="s">
        <v>6</v>
      </c>
      <c r="B5580">
        <v>57</v>
      </c>
      <c r="C5580" t="str">
        <f>CHOOSE(MATCH(B5580, {20,25,30,35,40,45,50,55,60,65,70,75,80,85}, 1), "20-24", "25-29", "30-34", "35-39", "40-44", "45-49", "50-54", "55-59", "60-64", "65-69", "70-74", "75-79", "80-84", "85+")</f>
        <v>55-59</v>
      </c>
      <c r="D5580" t="s">
        <v>8</v>
      </c>
    </row>
    <row r="5581" spans="1:4">
      <c r="A5581" t="s">
        <v>6</v>
      </c>
      <c r="B5581">
        <v>21</v>
      </c>
      <c r="C5581" t="str">
        <f>CHOOSE(MATCH(B5581, {20,25,30,35,40,45,50,55,60,65,70,75,80,85}, 1), "20-24", "25-29", "30-34", "35-39", "40-44", "45-49", "50-54", "55-59", "60-64", "65-69", "70-74", "75-79", "80-84", "85+")</f>
        <v>20-24</v>
      </c>
      <c r="D5581" t="s">
        <v>7</v>
      </c>
    </row>
    <row r="5582" spans="1:4">
      <c r="A5582" t="s">
        <v>6</v>
      </c>
      <c r="B5582">
        <v>52</v>
      </c>
      <c r="C5582" t="str">
        <f>CHOOSE(MATCH(B5582, {20,25,30,35,40,45,50,55,60,65,70,75,80,85}, 1), "20-24", "25-29", "30-34", "35-39", "40-44", "45-49", "50-54", "55-59", "60-64", "65-69", "70-74", "75-79", "80-84", "85+")</f>
        <v>50-54</v>
      </c>
      <c r="D5582" t="s">
        <v>7</v>
      </c>
    </row>
    <row r="5583" spans="1:4">
      <c r="A5583" t="s">
        <v>6</v>
      </c>
      <c r="B5583">
        <v>42</v>
      </c>
      <c r="C5583" t="str">
        <f>CHOOSE(MATCH(B5583, {20,25,30,35,40,45,50,55,60,65,70,75,80,85}, 1), "20-24", "25-29", "30-34", "35-39", "40-44", "45-49", "50-54", "55-59", "60-64", "65-69", "70-74", "75-79", "80-84", "85+")</f>
        <v>40-44</v>
      </c>
      <c r="D5583" t="s">
        <v>8</v>
      </c>
    </row>
    <row r="5584" spans="1:4">
      <c r="A5584" t="s">
        <v>6</v>
      </c>
      <c r="B5584">
        <v>45</v>
      </c>
      <c r="C5584" t="str">
        <f>CHOOSE(MATCH(B5584, {20,25,30,35,40,45,50,55,60,65,70,75,80,85}, 1), "20-24", "25-29", "30-34", "35-39", "40-44", "45-49", "50-54", "55-59", "60-64", "65-69", "70-74", "75-79", "80-84", "85+")</f>
        <v>45-49</v>
      </c>
      <c r="D5584" t="s">
        <v>8</v>
      </c>
    </row>
    <row r="5585" spans="1:4">
      <c r="A5585" t="s">
        <v>6</v>
      </c>
      <c r="B5585">
        <v>35</v>
      </c>
      <c r="C5585" t="str">
        <f>CHOOSE(MATCH(B5585, {20,25,30,35,40,45,50,55,60,65,70,75,80,85}, 1), "20-24", "25-29", "30-34", "35-39", "40-44", "45-49", "50-54", "55-59", "60-64", "65-69", "70-74", "75-79", "80-84", "85+")</f>
        <v>35-39</v>
      </c>
      <c r="D5585" t="s">
        <v>7</v>
      </c>
    </row>
    <row r="5586" spans="1:4">
      <c r="A5586" t="s">
        <v>6</v>
      </c>
      <c r="B5586">
        <v>53</v>
      </c>
      <c r="C5586" t="str">
        <f>CHOOSE(MATCH(B5586, {20,25,30,35,40,45,50,55,60,65,70,75,80,85}, 1), "20-24", "25-29", "30-34", "35-39", "40-44", "45-49", "50-54", "55-59", "60-64", "65-69", "70-74", "75-79", "80-84", "85+")</f>
        <v>50-54</v>
      </c>
      <c r="D5586" t="s">
        <v>7</v>
      </c>
    </row>
    <row r="5587" spans="1:4">
      <c r="A5587" t="s">
        <v>6</v>
      </c>
      <c r="B5587">
        <v>32</v>
      </c>
      <c r="C5587" t="str">
        <f>CHOOSE(MATCH(B5587, {20,25,30,35,40,45,50,55,60,65,70,75,80,85}, 1), "20-24", "25-29", "30-34", "35-39", "40-44", "45-49", "50-54", "55-59", "60-64", "65-69", "70-74", "75-79", "80-84", "85+")</f>
        <v>30-34</v>
      </c>
      <c r="D5587" t="s">
        <v>7</v>
      </c>
    </row>
    <row r="5588" spans="1:4">
      <c r="A5588" t="s">
        <v>6</v>
      </c>
      <c r="B5588">
        <v>54</v>
      </c>
      <c r="C5588" t="str">
        <f>CHOOSE(MATCH(B5588, {20,25,30,35,40,45,50,55,60,65,70,75,80,85}, 1), "20-24", "25-29", "30-34", "35-39", "40-44", "45-49", "50-54", "55-59", "60-64", "65-69", "70-74", "75-79", "80-84", "85+")</f>
        <v>50-54</v>
      </c>
      <c r="D5588" t="s">
        <v>7</v>
      </c>
    </row>
    <row r="5589" spans="1:4">
      <c r="A5589" t="s">
        <v>6</v>
      </c>
      <c r="B5589">
        <v>44</v>
      </c>
      <c r="C5589" t="str">
        <f>CHOOSE(MATCH(B5589, {20,25,30,35,40,45,50,55,60,65,70,75,80,85}, 1), "20-24", "25-29", "30-34", "35-39", "40-44", "45-49", "50-54", "55-59", "60-64", "65-69", "70-74", "75-79", "80-84", "85+")</f>
        <v>40-44</v>
      </c>
      <c r="D5589" t="s">
        <v>7</v>
      </c>
    </row>
    <row r="5590" spans="1:4">
      <c r="A5590" t="s">
        <v>6</v>
      </c>
      <c r="B5590">
        <v>30</v>
      </c>
      <c r="C5590" t="str">
        <f>CHOOSE(MATCH(B5590, {20,25,30,35,40,45,50,55,60,65,70,75,80,85}, 1), "20-24", "25-29", "30-34", "35-39", "40-44", "45-49", "50-54", "55-59", "60-64", "65-69", "70-74", "75-79", "80-84", "85+")</f>
        <v>30-34</v>
      </c>
      <c r="D5590" t="s">
        <v>7</v>
      </c>
    </row>
    <row r="5591" spans="1:4">
      <c r="A5591" t="s">
        <v>6</v>
      </c>
      <c r="B5591">
        <v>35</v>
      </c>
      <c r="C5591" t="str">
        <f>CHOOSE(MATCH(B5591, {20,25,30,35,40,45,50,55,60,65,70,75,80,85}, 1), "20-24", "25-29", "30-34", "35-39", "40-44", "45-49", "50-54", "55-59", "60-64", "65-69", "70-74", "75-79", "80-84", "85+")</f>
        <v>35-39</v>
      </c>
      <c r="D5591" t="s">
        <v>8</v>
      </c>
    </row>
    <row r="5592" spans="1:4">
      <c r="A5592" t="s">
        <v>6</v>
      </c>
      <c r="B5592">
        <v>45</v>
      </c>
      <c r="C5592" t="str">
        <f>CHOOSE(MATCH(B5592, {20,25,30,35,40,45,50,55,60,65,70,75,80,85}, 1), "20-24", "25-29", "30-34", "35-39", "40-44", "45-49", "50-54", "55-59", "60-64", "65-69", "70-74", "75-79", "80-84", "85+")</f>
        <v>45-49</v>
      </c>
      <c r="D5592" t="s">
        <v>8</v>
      </c>
    </row>
    <row r="5593" spans="1:4">
      <c r="A5593" t="s">
        <v>6</v>
      </c>
      <c r="B5593">
        <v>63</v>
      </c>
      <c r="C5593" t="str">
        <f>CHOOSE(MATCH(B5593, {20,25,30,35,40,45,50,55,60,65,70,75,80,85}, 1), "20-24", "25-29", "30-34", "35-39", "40-44", "45-49", "50-54", "55-59", "60-64", "65-69", "70-74", "75-79", "80-84", "85+")</f>
        <v>60-64</v>
      </c>
      <c r="D5593" t="s">
        <v>7</v>
      </c>
    </row>
    <row r="5594" spans="1:4">
      <c r="A5594" t="s">
        <v>6</v>
      </c>
      <c r="B5594">
        <v>48</v>
      </c>
      <c r="C5594" t="str">
        <f>CHOOSE(MATCH(B5594, {20,25,30,35,40,45,50,55,60,65,70,75,80,85}, 1), "20-24", "25-29", "30-34", "35-39", "40-44", "45-49", "50-54", "55-59", "60-64", "65-69", "70-74", "75-79", "80-84", "85+")</f>
        <v>45-49</v>
      </c>
      <c r="D5594" t="s">
        <v>7</v>
      </c>
    </row>
    <row r="5595" spans="1:4">
      <c r="A5595" t="s">
        <v>6</v>
      </c>
      <c r="B5595">
        <v>32</v>
      </c>
      <c r="C5595" t="str">
        <f>CHOOSE(MATCH(B5595, {20,25,30,35,40,45,50,55,60,65,70,75,80,85}, 1), "20-24", "25-29", "30-34", "35-39", "40-44", "45-49", "50-54", "55-59", "60-64", "65-69", "70-74", "75-79", "80-84", "85+")</f>
        <v>30-34</v>
      </c>
      <c r="D5595" t="s">
        <v>8</v>
      </c>
    </row>
    <row r="5596" spans="1:4">
      <c r="A5596" t="s">
        <v>6</v>
      </c>
      <c r="B5596">
        <v>41</v>
      </c>
      <c r="C5596" t="str">
        <f>CHOOSE(MATCH(B5596, {20,25,30,35,40,45,50,55,60,65,70,75,80,85}, 1), "20-24", "25-29", "30-34", "35-39", "40-44", "45-49", "50-54", "55-59", "60-64", "65-69", "70-74", "75-79", "80-84", "85+")</f>
        <v>40-44</v>
      </c>
      <c r="D5596" t="s">
        <v>7</v>
      </c>
    </row>
    <row r="5597" spans="1:4">
      <c r="A5597" t="s">
        <v>6</v>
      </c>
      <c r="B5597">
        <v>22</v>
      </c>
      <c r="C5597" t="str">
        <f>CHOOSE(MATCH(B5597, {20,25,30,35,40,45,50,55,60,65,70,75,80,85}, 1), "20-24", "25-29", "30-34", "35-39", "40-44", "45-49", "50-54", "55-59", "60-64", "65-69", "70-74", "75-79", "80-84", "85+")</f>
        <v>20-24</v>
      </c>
      <c r="D5597" t="s">
        <v>7</v>
      </c>
    </row>
    <row r="5598" spans="1:4">
      <c r="A5598" t="s">
        <v>6</v>
      </c>
      <c r="B5598">
        <v>29</v>
      </c>
      <c r="C5598" t="str">
        <f>CHOOSE(MATCH(B5598, {20,25,30,35,40,45,50,55,60,65,70,75,80,85}, 1), "20-24", "25-29", "30-34", "35-39", "40-44", "45-49", "50-54", "55-59", "60-64", "65-69", "70-74", "75-79", "80-84", "85+")</f>
        <v>25-29</v>
      </c>
      <c r="D5598" t="s">
        <v>7</v>
      </c>
    </row>
    <row r="5599" spans="1:4">
      <c r="A5599" t="s">
        <v>6</v>
      </c>
      <c r="B5599">
        <v>52</v>
      </c>
      <c r="C5599" t="str">
        <f>CHOOSE(MATCH(B5599, {20,25,30,35,40,45,50,55,60,65,70,75,80,85}, 1), "20-24", "25-29", "30-34", "35-39", "40-44", "45-49", "50-54", "55-59", "60-64", "65-69", "70-74", "75-79", "80-84", "85+")</f>
        <v>50-54</v>
      </c>
      <c r="D5599" t="s">
        <v>8</v>
      </c>
    </row>
    <row r="5600" spans="1:4">
      <c r="A5600" t="s">
        <v>6</v>
      </c>
      <c r="B5600">
        <v>27</v>
      </c>
      <c r="C5600" t="str">
        <f>CHOOSE(MATCH(B5600, {20,25,30,35,40,45,50,55,60,65,70,75,80,85}, 1), "20-24", "25-29", "30-34", "35-39", "40-44", "45-49", "50-54", "55-59", "60-64", "65-69", "70-74", "75-79", "80-84", "85+")</f>
        <v>25-29</v>
      </c>
      <c r="D5600" t="s">
        <v>7</v>
      </c>
    </row>
    <row r="5601" spans="1:4">
      <c r="A5601" t="s">
        <v>6</v>
      </c>
      <c r="B5601">
        <v>52</v>
      </c>
      <c r="C5601" t="str">
        <f>CHOOSE(MATCH(B5601, {20,25,30,35,40,45,50,55,60,65,70,75,80,85}, 1), "20-24", "25-29", "30-34", "35-39", "40-44", "45-49", "50-54", "55-59", "60-64", "65-69", "70-74", "75-79", "80-84", "85+")</f>
        <v>50-54</v>
      </c>
      <c r="D5601" t="s">
        <v>8</v>
      </c>
    </row>
    <row r="5602" spans="1:4">
      <c r="A5602" t="s">
        <v>6</v>
      </c>
      <c r="B5602">
        <v>24</v>
      </c>
      <c r="C5602" t="str">
        <f>CHOOSE(MATCH(B5602, {20,25,30,35,40,45,50,55,60,65,70,75,80,85}, 1), "20-24", "25-29", "30-34", "35-39", "40-44", "45-49", "50-54", "55-59", "60-64", "65-69", "70-74", "75-79", "80-84", "85+")</f>
        <v>20-24</v>
      </c>
      <c r="D5602" t="s">
        <v>7</v>
      </c>
    </row>
    <row r="5603" spans="1:4">
      <c r="A5603" t="s">
        <v>6</v>
      </c>
      <c r="B5603">
        <v>36</v>
      </c>
      <c r="C5603" t="str">
        <f>CHOOSE(MATCH(B5603, {20,25,30,35,40,45,50,55,60,65,70,75,80,85}, 1), "20-24", "25-29", "30-34", "35-39", "40-44", "45-49", "50-54", "55-59", "60-64", "65-69", "70-74", "75-79", "80-84", "85+")</f>
        <v>35-39</v>
      </c>
      <c r="D5603" t="s">
        <v>8</v>
      </c>
    </row>
    <row r="5604" spans="1:4">
      <c r="A5604" t="s">
        <v>6</v>
      </c>
      <c r="B5604">
        <v>55</v>
      </c>
      <c r="C5604" t="str">
        <f>CHOOSE(MATCH(B5604, {20,25,30,35,40,45,50,55,60,65,70,75,80,85}, 1), "20-24", "25-29", "30-34", "35-39", "40-44", "45-49", "50-54", "55-59", "60-64", "65-69", "70-74", "75-79", "80-84", "85+")</f>
        <v>55-59</v>
      </c>
      <c r="D5604" t="s">
        <v>8</v>
      </c>
    </row>
    <row r="5605" spans="1:4">
      <c r="A5605" t="s">
        <v>6</v>
      </c>
      <c r="B5605">
        <v>54</v>
      </c>
      <c r="C5605" t="str">
        <f>CHOOSE(MATCH(B5605, {20,25,30,35,40,45,50,55,60,65,70,75,80,85}, 1), "20-24", "25-29", "30-34", "35-39", "40-44", "45-49", "50-54", "55-59", "60-64", "65-69", "70-74", "75-79", "80-84", "85+")</f>
        <v>50-54</v>
      </c>
      <c r="D5605" t="s">
        <v>7</v>
      </c>
    </row>
    <row r="5606" spans="1:4">
      <c r="A5606" t="s">
        <v>6</v>
      </c>
      <c r="B5606">
        <v>42</v>
      </c>
      <c r="C5606" t="str">
        <f>CHOOSE(MATCH(B5606, {20,25,30,35,40,45,50,55,60,65,70,75,80,85}, 1), "20-24", "25-29", "30-34", "35-39", "40-44", "45-49", "50-54", "55-59", "60-64", "65-69", "70-74", "75-79", "80-84", "85+")</f>
        <v>40-44</v>
      </c>
      <c r="D5606" t="s">
        <v>7</v>
      </c>
    </row>
    <row r="5607" spans="1:4">
      <c r="A5607" t="s">
        <v>6</v>
      </c>
      <c r="B5607">
        <v>35</v>
      </c>
      <c r="C5607" t="str">
        <f>CHOOSE(MATCH(B5607, {20,25,30,35,40,45,50,55,60,65,70,75,80,85}, 1), "20-24", "25-29", "30-34", "35-39", "40-44", "45-49", "50-54", "55-59", "60-64", "65-69", "70-74", "75-79", "80-84", "85+")</f>
        <v>35-39</v>
      </c>
      <c r="D5607" t="s">
        <v>8</v>
      </c>
    </row>
    <row r="5608" spans="1:4">
      <c r="A5608" t="s">
        <v>6</v>
      </c>
      <c r="B5608">
        <v>43</v>
      </c>
      <c r="C5608" t="str">
        <f>CHOOSE(MATCH(B5608, {20,25,30,35,40,45,50,55,60,65,70,75,80,85}, 1), "20-24", "25-29", "30-34", "35-39", "40-44", "45-49", "50-54", "55-59", "60-64", "65-69", "70-74", "75-79", "80-84", "85+")</f>
        <v>40-44</v>
      </c>
      <c r="D5608" t="s">
        <v>7</v>
      </c>
    </row>
    <row r="5609" spans="1:4">
      <c r="A5609" t="s">
        <v>6</v>
      </c>
      <c r="B5609">
        <v>34</v>
      </c>
      <c r="C5609" t="str">
        <f>CHOOSE(MATCH(B5609, {20,25,30,35,40,45,50,55,60,65,70,75,80,85}, 1), "20-24", "25-29", "30-34", "35-39", "40-44", "45-49", "50-54", "55-59", "60-64", "65-69", "70-74", "75-79", "80-84", "85+")</f>
        <v>30-34</v>
      </c>
      <c r="D5609" t="s">
        <v>7</v>
      </c>
    </row>
    <row r="5610" spans="1:4">
      <c r="A5610" t="s">
        <v>6</v>
      </c>
      <c r="B5610">
        <v>34</v>
      </c>
      <c r="C5610" t="str">
        <f>CHOOSE(MATCH(B5610, {20,25,30,35,40,45,50,55,60,65,70,75,80,85}, 1), "20-24", "25-29", "30-34", "35-39", "40-44", "45-49", "50-54", "55-59", "60-64", "65-69", "70-74", "75-79", "80-84", "85+")</f>
        <v>30-34</v>
      </c>
      <c r="D5610" t="s">
        <v>7</v>
      </c>
    </row>
    <row r="5611" spans="1:4">
      <c r="A5611" t="s">
        <v>6</v>
      </c>
      <c r="B5611">
        <v>52</v>
      </c>
      <c r="C5611" t="str">
        <f>CHOOSE(MATCH(B5611, {20,25,30,35,40,45,50,55,60,65,70,75,80,85}, 1), "20-24", "25-29", "30-34", "35-39", "40-44", "45-49", "50-54", "55-59", "60-64", "65-69", "70-74", "75-79", "80-84", "85+")</f>
        <v>50-54</v>
      </c>
      <c r="D5611" t="s">
        <v>7</v>
      </c>
    </row>
    <row r="5612" spans="1:4">
      <c r="A5612" t="s">
        <v>6</v>
      </c>
      <c r="B5612">
        <v>24</v>
      </c>
      <c r="C5612" t="str">
        <f>CHOOSE(MATCH(B5612, {20,25,30,35,40,45,50,55,60,65,70,75,80,85}, 1), "20-24", "25-29", "30-34", "35-39", "40-44", "45-49", "50-54", "55-59", "60-64", "65-69", "70-74", "75-79", "80-84", "85+")</f>
        <v>20-24</v>
      </c>
      <c r="D5612" t="s">
        <v>7</v>
      </c>
    </row>
    <row r="5613" spans="1:4">
      <c r="A5613" t="s">
        <v>6</v>
      </c>
      <c r="B5613">
        <v>31</v>
      </c>
      <c r="C5613" t="str">
        <f>CHOOSE(MATCH(B5613, {20,25,30,35,40,45,50,55,60,65,70,75,80,85}, 1), "20-24", "25-29", "30-34", "35-39", "40-44", "45-49", "50-54", "55-59", "60-64", "65-69", "70-74", "75-79", "80-84", "85+")</f>
        <v>30-34</v>
      </c>
      <c r="D5613" t="s">
        <v>7</v>
      </c>
    </row>
    <row r="5614" spans="1:4">
      <c r="A5614" t="s">
        <v>6</v>
      </c>
      <c r="B5614">
        <v>31</v>
      </c>
      <c r="C5614" t="str">
        <f>CHOOSE(MATCH(B5614, {20,25,30,35,40,45,50,55,60,65,70,75,80,85}, 1), "20-24", "25-29", "30-34", "35-39", "40-44", "45-49", "50-54", "55-59", "60-64", "65-69", "70-74", "75-79", "80-84", "85+")</f>
        <v>30-34</v>
      </c>
      <c r="D5614" t="s">
        <v>7</v>
      </c>
    </row>
    <row r="5615" spans="1:4">
      <c r="A5615" t="s">
        <v>6</v>
      </c>
      <c r="B5615">
        <v>26</v>
      </c>
      <c r="C5615" t="str">
        <f>CHOOSE(MATCH(B5615, {20,25,30,35,40,45,50,55,60,65,70,75,80,85}, 1), "20-24", "25-29", "30-34", "35-39", "40-44", "45-49", "50-54", "55-59", "60-64", "65-69", "70-74", "75-79", "80-84", "85+")</f>
        <v>25-29</v>
      </c>
      <c r="D5615" t="s">
        <v>8</v>
      </c>
    </row>
    <row r="5616" spans="1:4">
      <c r="A5616" t="s">
        <v>6</v>
      </c>
      <c r="B5616">
        <v>32</v>
      </c>
      <c r="C5616" t="str">
        <f>CHOOSE(MATCH(B5616, {20,25,30,35,40,45,50,55,60,65,70,75,80,85}, 1), "20-24", "25-29", "30-34", "35-39", "40-44", "45-49", "50-54", "55-59", "60-64", "65-69", "70-74", "75-79", "80-84", "85+")</f>
        <v>30-34</v>
      </c>
      <c r="D5616" t="s">
        <v>8</v>
      </c>
    </row>
    <row r="5617" spans="1:4">
      <c r="A5617" t="s">
        <v>6</v>
      </c>
      <c r="B5617">
        <v>74</v>
      </c>
      <c r="C5617" t="str">
        <f>CHOOSE(MATCH(B5617, {20,25,30,35,40,45,50,55,60,65,70,75,80,85}, 1), "20-24", "25-29", "30-34", "35-39", "40-44", "45-49", "50-54", "55-59", "60-64", "65-69", "70-74", "75-79", "80-84", "85+")</f>
        <v>70-74</v>
      </c>
      <c r="D5617" t="s">
        <v>7</v>
      </c>
    </row>
    <row r="5618" spans="1:4">
      <c r="A5618" t="s">
        <v>6</v>
      </c>
      <c r="B5618">
        <v>57</v>
      </c>
      <c r="C5618" t="str">
        <f>CHOOSE(MATCH(B5618, {20,25,30,35,40,45,50,55,60,65,70,75,80,85}, 1), "20-24", "25-29", "30-34", "35-39", "40-44", "45-49", "50-54", "55-59", "60-64", "65-69", "70-74", "75-79", "80-84", "85+")</f>
        <v>55-59</v>
      </c>
      <c r="D5618" t="s">
        <v>7</v>
      </c>
    </row>
    <row r="5619" spans="1:4">
      <c r="A5619" t="s">
        <v>6</v>
      </c>
      <c r="B5619">
        <v>40</v>
      </c>
      <c r="C5619" t="str">
        <f>CHOOSE(MATCH(B5619, {20,25,30,35,40,45,50,55,60,65,70,75,80,85}, 1), "20-24", "25-29", "30-34", "35-39", "40-44", "45-49", "50-54", "55-59", "60-64", "65-69", "70-74", "75-79", "80-84", "85+")</f>
        <v>40-44</v>
      </c>
      <c r="D5619" t="s">
        <v>8</v>
      </c>
    </row>
    <row r="5620" spans="1:4">
      <c r="A5620" t="s">
        <v>6</v>
      </c>
      <c r="B5620">
        <v>51</v>
      </c>
      <c r="C5620" t="str">
        <f>CHOOSE(MATCH(B5620, {20,25,30,35,40,45,50,55,60,65,70,75,80,85}, 1), "20-24", "25-29", "30-34", "35-39", "40-44", "45-49", "50-54", "55-59", "60-64", "65-69", "70-74", "75-79", "80-84", "85+")</f>
        <v>50-54</v>
      </c>
      <c r="D5620" t="s">
        <v>8</v>
      </c>
    </row>
    <row r="5621" spans="1:4">
      <c r="A5621" t="s">
        <v>6</v>
      </c>
      <c r="B5621">
        <v>34</v>
      </c>
      <c r="C5621" t="str">
        <f>CHOOSE(MATCH(B5621, {20,25,30,35,40,45,50,55,60,65,70,75,80,85}, 1), "20-24", "25-29", "30-34", "35-39", "40-44", "45-49", "50-54", "55-59", "60-64", "65-69", "70-74", "75-79", "80-84", "85+")</f>
        <v>30-34</v>
      </c>
      <c r="D5621" t="s">
        <v>8</v>
      </c>
    </row>
    <row r="5622" spans="1:4">
      <c r="A5622" t="s">
        <v>6</v>
      </c>
      <c r="B5622">
        <v>69</v>
      </c>
      <c r="C5622" t="str">
        <f>CHOOSE(MATCH(B5622, {20,25,30,35,40,45,50,55,60,65,70,75,80,85}, 1), "20-24", "25-29", "30-34", "35-39", "40-44", "45-49", "50-54", "55-59", "60-64", "65-69", "70-74", "75-79", "80-84", "85+")</f>
        <v>65-69</v>
      </c>
      <c r="D5622" t="s">
        <v>7</v>
      </c>
    </row>
    <row r="5623" spans="1:4">
      <c r="A5623" t="s">
        <v>6</v>
      </c>
      <c r="B5623">
        <v>21</v>
      </c>
      <c r="C5623" t="str">
        <f>CHOOSE(MATCH(B5623, {20,25,30,35,40,45,50,55,60,65,70,75,80,85}, 1), "20-24", "25-29", "30-34", "35-39", "40-44", "45-49", "50-54", "55-59", "60-64", "65-69", "70-74", "75-79", "80-84", "85+")</f>
        <v>20-24</v>
      </c>
      <c r="D5623" t="s">
        <v>7</v>
      </c>
    </row>
    <row r="5624" spans="1:4">
      <c r="A5624" t="s">
        <v>6</v>
      </c>
      <c r="B5624">
        <v>43</v>
      </c>
      <c r="C5624" t="str">
        <f>CHOOSE(MATCH(B5624, {20,25,30,35,40,45,50,55,60,65,70,75,80,85}, 1), "20-24", "25-29", "30-34", "35-39", "40-44", "45-49", "50-54", "55-59", "60-64", "65-69", "70-74", "75-79", "80-84", "85+")</f>
        <v>40-44</v>
      </c>
      <c r="D5624" t="s">
        <v>7</v>
      </c>
    </row>
    <row r="5625" spans="1:4">
      <c r="A5625" t="s">
        <v>6</v>
      </c>
      <c r="B5625">
        <v>39</v>
      </c>
      <c r="C5625" t="str">
        <f>CHOOSE(MATCH(B5625, {20,25,30,35,40,45,50,55,60,65,70,75,80,85}, 1), "20-24", "25-29", "30-34", "35-39", "40-44", "45-49", "50-54", "55-59", "60-64", "65-69", "70-74", "75-79", "80-84", "85+")</f>
        <v>35-39</v>
      </c>
      <c r="D5625" t="s">
        <v>7</v>
      </c>
    </row>
    <row r="5626" spans="1:4">
      <c r="A5626" t="s">
        <v>6</v>
      </c>
      <c r="B5626">
        <v>59</v>
      </c>
      <c r="C5626" t="str">
        <f>CHOOSE(MATCH(B5626, {20,25,30,35,40,45,50,55,60,65,70,75,80,85}, 1), "20-24", "25-29", "30-34", "35-39", "40-44", "45-49", "50-54", "55-59", "60-64", "65-69", "70-74", "75-79", "80-84", "85+")</f>
        <v>55-59</v>
      </c>
      <c r="D5626" t="s">
        <v>8</v>
      </c>
    </row>
    <row r="5627" spans="1:4">
      <c r="A5627" t="s">
        <v>6</v>
      </c>
      <c r="B5627">
        <v>41</v>
      </c>
      <c r="C5627" t="str">
        <f>CHOOSE(MATCH(B5627, {20,25,30,35,40,45,50,55,60,65,70,75,80,85}, 1), "20-24", "25-29", "30-34", "35-39", "40-44", "45-49", "50-54", "55-59", "60-64", "65-69", "70-74", "75-79", "80-84", "85+")</f>
        <v>40-44</v>
      </c>
      <c r="D5627" t="s">
        <v>8</v>
      </c>
    </row>
    <row r="5628" spans="1:4">
      <c r="A5628" t="s">
        <v>6</v>
      </c>
      <c r="B5628">
        <v>63</v>
      </c>
      <c r="C5628" t="str">
        <f>CHOOSE(MATCH(B5628, {20,25,30,35,40,45,50,55,60,65,70,75,80,85}, 1), "20-24", "25-29", "30-34", "35-39", "40-44", "45-49", "50-54", "55-59", "60-64", "65-69", "70-74", "75-79", "80-84", "85+")</f>
        <v>60-64</v>
      </c>
      <c r="D5628" t="s">
        <v>8</v>
      </c>
    </row>
    <row r="5629" spans="1:4">
      <c r="A5629" t="s">
        <v>6</v>
      </c>
      <c r="B5629">
        <v>64</v>
      </c>
      <c r="C5629" t="str">
        <f>CHOOSE(MATCH(B5629, {20,25,30,35,40,45,50,55,60,65,70,75,80,85}, 1), "20-24", "25-29", "30-34", "35-39", "40-44", "45-49", "50-54", "55-59", "60-64", "65-69", "70-74", "75-79", "80-84", "85+")</f>
        <v>60-64</v>
      </c>
      <c r="D5629" t="s">
        <v>8</v>
      </c>
    </row>
    <row r="5630" spans="1:4">
      <c r="A5630" t="s">
        <v>6</v>
      </c>
      <c r="B5630">
        <v>24</v>
      </c>
      <c r="C5630" t="str">
        <f>CHOOSE(MATCH(B5630, {20,25,30,35,40,45,50,55,60,65,70,75,80,85}, 1), "20-24", "25-29", "30-34", "35-39", "40-44", "45-49", "50-54", "55-59", "60-64", "65-69", "70-74", "75-79", "80-84", "85+")</f>
        <v>20-24</v>
      </c>
      <c r="D5630" t="s">
        <v>7</v>
      </c>
    </row>
    <row r="5631" spans="1:4">
      <c r="A5631" t="s">
        <v>6</v>
      </c>
      <c r="B5631">
        <v>40</v>
      </c>
      <c r="C5631" t="str">
        <f>CHOOSE(MATCH(B5631, {20,25,30,35,40,45,50,55,60,65,70,75,80,85}, 1), "20-24", "25-29", "30-34", "35-39", "40-44", "45-49", "50-54", "55-59", "60-64", "65-69", "70-74", "75-79", "80-84", "85+")</f>
        <v>40-44</v>
      </c>
      <c r="D5631" t="s">
        <v>7</v>
      </c>
    </row>
    <row r="5632" spans="1:4">
      <c r="A5632" t="s">
        <v>6</v>
      </c>
      <c r="B5632">
        <v>53</v>
      </c>
      <c r="C5632" t="str">
        <f>CHOOSE(MATCH(B5632, {20,25,30,35,40,45,50,55,60,65,70,75,80,85}, 1), "20-24", "25-29", "30-34", "35-39", "40-44", "45-49", "50-54", "55-59", "60-64", "65-69", "70-74", "75-79", "80-84", "85+")</f>
        <v>50-54</v>
      </c>
      <c r="D5632" t="s">
        <v>8</v>
      </c>
    </row>
    <row r="5633" spans="1:4">
      <c r="A5633" t="s">
        <v>6</v>
      </c>
      <c r="B5633">
        <v>39</v>
      </c>
      <c r="C5633" t="str">
        <f>CHOOSE(MATCH(B5633, {20,25,30,35,40,45,50,55,60,65,70,75,80,85}, 1), "20-24", "25-29", "30-34", "35-39", "40-44", "45-49", "50-54", "55-59", "60-64", "65-69", "70-74", "75-79", "80-84", "85+")</f>
        <v>35-39</v>
      </c>
      <c r="D5633" t="s">
        <v>7</v>
      </c>
    </row>
    <row r="5634" spans="1:4">
      <c r="A5634" t="s">
        <v>6</v>
      </c>
      <c r="B5634">
        <v>66</v>
      </c>
      <c r="C5634" t="str">
        <f>CHOOSE(MATCH(B5634, {20,25,30,35,40,45,50,55,60,65,70,75,80,85}, 1), "20-24", "25-29", "30-34", "35-39", "40-44", "45-49", "50-54", "55-59", "60-64", "65-69", "70-74", "75-79", "80-84", "85+")</f>
        <v>65-69</v>
      </c>
      <c r="D5634" t="s">
        <v>7</v>
      </c>
    </row>
    <row r="5635" spans="1:4">
      <c r="A5635" t="s">
        <v>6</v>
      </c>
      <c r="B5635">
        <v>54</v>
      </c>
      <c r="C5635" t="str">
        <f>CHOOSE(MATCH(B5635, {20,25,30,35,40,45,50,55,60,65,70,75,80,85}, 1), "20-24", "25-29", "30-34", "35-39", "40-44", "45-49", "50-54", "55-59", "60-64", "65-69", "70-74", "75-79", "80-84", "85+")</f>
        <v>50-54</v>
      </c>
      <c r="D5635" t="s">
        <v>8</v>
      </c>
    </row>
    <row r="5636" spans="1:4">
      <c r="A5636" t="s">
        <v>6</v>
      </c>
      <c r="B5636">
        <v>35</v>
      </c>
      <c r="C5636" t="str">
        <f>CHOOSE(MATCH(B5636, {20,25,30,35,40,45,50,55,60,65,70,75,80,85}, 1), "20-24", "25-29", "30-34", "35-39", "40-44", "45-49", "50-54", "55-59", "60-64", "65-69", "70-74", "75-79", "80-84", "85+")</f>
        <v>35-39</v>
      </c>
      <c r="D5636" t="s">
        <v>8</v>
      </c>
    </row>
    <row r="5637" spans="1:4">
      <c r="A5637" t="s">
        <v>6</v>
      </c>
      <c r="B5637">
        <v>39</v>
      </c>
      <c r="C5637" t="str">
        <f>CHOOSE(MATCH(B5637, {20,25,30,35,40,45,50,55,60,65,70,75,80,85}, 1), "20-24", "25-29", "30-34", "35-39", "40-44", "45-49", "50-54", "55-59", "60-64", "65-69", "70-74", "75-79", "80-84", "85+")</f>
        <v>35-39</v>
      </c>
      <c r="D5637" t="s">
        <v>8</v>
      </c>
    </row>
    <row r="5638" spans="1:4">
      <c r="A5638" t="s">
        <v>6</v>
      </c>
      <c r="B5638">
        <v>30</v>
      </c>
      <c r="C5638" t="str">
        <f>CHOOSE(MATCH(B5638, {20,25,30,35,40,45,50,55,60,65,70,75,80,85}, 1), "20-24", "25-29", "30-34", "35-39", "40-44", "45-49", "50-54", "55-59", "60-64", "65-69", "70-74", "75-79", "80-84", "85+")</f>
        <v>30-34</v>
      </c>
      <c r="D5638" t="s">
        <v>7</v>
      </c>
    </row>
    <row r="5639" spans="1:4">
      <c r="A5639" t="s">
        <v>6</v>
      </c>
      <c r="B5639">
        <v>38</v>
      </c>
      <c r="C5639" t="str">
        <f>CHOOSE(MATCH(B5639, {20,25,30,35,40,45,50,55,60,65,70,75,80,85}, 1), "20-24", "25-29", "30-34", "35-39", "40-44", "45-49", "50-54", "55-59", "60-64", "65-69", "70-74", "75-79", "80-84", "85+")</f>
        <v>35-39</v>
      </c>
      <c r="D5639" t="s">
        <v>7</v>
      </c>
    </row>
    <row r="5640" spans="1:4">
      <c r="A5640" t="s">
        <v>6</v>
      </c>
      <c r="B5640">
        <v>32</v>
      </c>
      <c r="C5640" t="str">
        <f>CHOOSE(MATCH(B5640, {20,25,30,35,40,45,50,55,60,65,70,75,80,85}, 1), "20-24", "25-29", "30-34", "35-39", "40-44", "45-49", "50-54", "55-59", "60-64", "65-69", "70-74", "75-79", "80-84", "85+")</f>
        <v>30-34</v>
      </c>
      <c r="D5640" t="s">
        <v>7</v>
      </c>
    </row>
    <row r="5641" spans="1:4">
      <c r="A5641" t="s">
        <v>6</v>
      </c>
      <c r="B5641">
        <v>47</v>
      </c>
      <c r="C5641" t="str">
        <f>CHOOSE(MATCH(B5641, {20,25,30,35,40,45,50,55,60,65,70,75,80,85}, 1), "20-24", "25-29", "30-34", "35-39", "40-44", "45-49", "50-54", "55-59", "60-64", "65-69", "70-74", "75-79", "80-84", "85+")</f>
        <v>45-49</v>
      </c>
      <c r="D5641" t="s">
        <v>7</v>
      </c>
    </row>
    <row r="5642" spans="1:4">
      <c r="A5642" t="s">
        <v>6</v>
      </c>
      <c r="B5642">
        <v>60</v>
      </c>
      <c r="C5642" t="str">
        <f>CHOOSE(MATCH(B5642, {20,25,30,35,40,45,50,55,60,65,70,75,80,85}, 1), "20-24", "25-29", "30-34", "35-39", "40-44", "45-49", "50-54", "55-59", "60-64", "65-69", "70-74", "75-79", "80-84", "85+")</f>
        <v>60-64</v>
      </c>
      <c r="D5642" t="s">
        <v>8</v>
      </c>
    </row>
    <row r="5643" spans="1:4">
      <c r="A5643" t="s">
        <v>6</v>
      </c>
      <c r="B5643">
        <v>26</v>
      </c>
      <c r="C5643" t="str">
        <f>CHOOSE(MATCH(B5643, {20,25,30,35,40,45,50,55,60,65,70,75,80,85}, 1), "20-24", "25-29", "30-34", "35-39", "40-44", "45-49", "50-54", "55-59", "60-64", "65-69", "70-74", "75-79", "80-84", "85+")</f>
        <v>25-29</v>
      </c>
      <c r="D5643" t="s">
        <v>7</v>
      </c>
    </row>
    <row r="5644" spans="1:4">
      <c r="A5644" t="s">
        <v>6</v>
      </c>
      <c r="B5644">
        <v>60</v>
      </c>
      <c r="C5644" t="str">
        <f>CHOOSE(MATCH(B5644, {20,25,30,35,40,45,50,55,60,65,70,75,80,85}, 1), "20-24", "25-29", "30-34", "35-39", "40-44", "45-49", "50-54", "55-59", "60-64", "65-69", "70-74", "75-79", "80-84", "85+")</f>
        <v>60-64</v>
      </c>
      <c r="D5644" t="s">
        <v>8</v>
      </c>
    </row>
    <row r="5645" spans="1:4">
      <c r="A5645" t="s">
        <v>6</v>
      </c>
      <c r="B5645">
        <v>46</v>
      </c>
      <c r="C5645" t="str">
        <f>CHOOSE(MATCH(B5645, {20,25,30,35,40,45,50,55,60,65,70,75,80,85}, 1), "20-24", "25-29", "30-34", "35-39", "40-44", "45-49", "50-54", "55-59", "60-64", "65-69", "70-74", "75-79", "80-84", "85+")</f>
        <v>45-49</v>
      </c>
      <c r="D5645" t="s">
        <v>7</v>
      </c>
    </row>
    <row r="5646" spans="1:4">
      <c r="A5646" t="s">
        <v>6</v>
      </c>
      <c r="B5646">
        <v>31</v>
      </c>
      <c r="C5646" t="str">
        <f>CHOOSE(MATCH(B5646, {20,25,30,35,40,45,50,55,60,65,70,75,80,85}, 1), "20-24", "25-29", "30-34", "35-39", "40-44", "45-49", "50-54", "55-59", "60-64", "65-69", "70-74", "75-79", "80-84", "85+")</f>
        <v>30-34</v>
      </c>
      <c r="D5646" t="s">
        <v>8</v>
      </c>
    </row>
    <row r="5647" spans="1:4">
      <c r="A5647" t="s">
        <v>6</v>
      </c>
      <c r="B5647">
        <v>30</v>
      </c>
      <c r="C5647" t="str">
        <f>CHOOSE(MATCH(B5647, {20,25,30,35,40,45,50,55,60,65,70,75,80,85}, 1), "20-24", "25-29", "30-34", "35-39", "40-44", "45-49", "50-54", "55-59", "60-64", "65-69", "70-74", "75-79", "80-84", "85+")</f>
        <v>30-34</v>
      </c>
      <c r="D5647" t="s">
        <v>7</v>
      </c>
    </row>
    <row r="5648" spans="1:4">
      <c r="A5648" t="s">
        <v>6</v>
      </c>
      <c r="B5648">
        <v>28</v>
      </c>
      <c r="C5648" t="str">
        <f>CHOOSE(MATCH(B5648, {20,25,30,35,40,45,50,55,60,65,70,75,80,85}, 1), "20-24", "25-29", "30-34", "35-39", "40-44", "45-49", "50-54", "55-59", "60-64", "65-69", "70-74", "75-79", "80-84", "85+")</f>
        <v>25-29</v>
      </c>
      <c r="D5648" t="s">
        <v>7</v>
      </c>
    </row>
    <row r="5649" spans="1:4">
      <c r="A5649" t="s">
        <v>6</v>
      </c>
      <c r="B5649">
        <v>25</v>
      </c>
      <c r="C5649" t="str">
        <f>CHOOSE(MATCH(B5649, {20,25,30,35,40,45,50,55,60,65,70,75,80,85}, 1), "20-24", "25-29", "30-34", "35-39", "40-44", "45-49", "50-54", "55-59", "60-64", "65-69", "70-74", "75-79", "80-84", "85+")</f>
        <v>25-29</v>
      </c>
      <c r="D5649" t="s">
        <v>8</v>
      </c>
    </row>
    <row r="5650" spans="1:4">
      <c r="A5650" t="s">
        <v>6</v>
      </c>
      <c r="B5650">
        <v>38</v>
      </c>
      <c r="C5650" t="str">
        <f>CHOOSE(MATCH(B5650, {20,25,30,35,40,45,50,55,60,65,70,75,80,85}, 1), "20-24", "25-29", "30-34", "35-39", "40-44", "45-49", "50-54", "55-59", "60-64", "65-69", "70-74", "75-79", "80-84", "85+")</f>
        <v>35-39</v>
      </c>
      <c r="D5650" t="s">
        <v>8</v>
      </c>
    </row>
    <row r="5651" spans="1:4">
      <c r="A5651" t="s">
        <v>6</v>
      </c>
      <c r="B5651">
        <v>44</v>
      </c>
      <c r="C5651" t="str">
        <f>CHOOSE(MATCH(B5651, {20,25,30,35,40,45,50,55,60,65,70,75,80,85}, 1), "20-24", "25-29", "30-34", "35-39", "40-44", "45-49", "50-54", "55-59", "60-64", "65-69", "70-74", "75-79", "80-84", "85+")</f>
        <v>40-44</v>
      </c>
      <c r="D5651" t="s">
        <v>8</v>
      </c>
    </row>
    <row r="5652" spans="1:4">
      <c r="A5652" t="s">
        <v>6</v>
      </c>
      <c r="B5652">
        <v>68</v>
      </c>
      <c r="C5652" t="str">
        <f>CHOOSE(MATCH(B5652, {20,25,30,35,40,45,50,55,60,65,70,75,80,85}, 1), "20-24", "25-29", "30-34", "35-39", "40-44", "45-49", "50-54", "55-59", "60-64", "65-69", "70-74", "75-79", "80-84", "85+")</f>
        <v>65-69</v>
      </c>
      <c r="D5652" t="s">
        <v>8</v>
      </c>
    </row>
    <row r="5653" spans="1:4">
      <c r="A5653" t="s">
        <v>6</v>
      </c>
      <c r="B5653">
        <v>40</v>
      </c>
      <c r="C5653" t="str">
        <f>CHOOSE(MATCH(B5653, {20,25,30,35,40,45,50,55,60,65,70,75,80,85}, 1), "20-24", "25-29", "30-34", "35-39", "40-44", "45-49", "50-54", "55-59", "60-64", "65-69", "70-74", "75-79", "80-84", "85+")</f>
        <v>40-44</v>
      </c>
      <c r="D5653" t="s">
        <v>7</v>
      </c>
    </row>
    <row r="5654" spans="1:4">
      <c r="A5654" t="s">
        <v>6</v>
      </c>
      <c r="B5654">
        <v>49</v>
      </c>
      <c r="C5654" t="str">
        <f>CHOOSE(MATCH(B5654, {20,25,30,35,40,45,50,55,60,65,70,75,80,85}, 1), "20-24", "25-29", "30-34", "35-39", "40-44", "45-49", "50-54", "55-59", "60-64", "65-69", "70-74", "75-79", "80-84", "85+")</f>
        <v>45-49</v>
      </c>
      <c r="D5654" t="s">
        <v>7</v>
      </c>
    </row>
    <row r="5655" spans="1:4">
      <c r="A5655" t="s">
        <v>6</v>
      </c>
      <c r="B5655">
        <v>30</v>
      </c>
      <c r="C5655" t="str">
        <f>CHOOSE(MATCH(B5655, {20,25,30,35,40,45,50,55,60,65,70,75,80,85}, 1), "20-24", "25-29", "30-34", "35-39", "40-44", "45-49", "50-54", "55-59", "60-64", "65-69", "70-74", "75-79", "80-84", "85+")</f>
        <v>30-34</v>
      </c>
      <c r="D5655" t="s">
        <v>8</v>
      </c>
    </row>
    <row r="5656" spans="1:4">
      <c r="A5656" t="s">
        <v>6</v>
      </c>
      <c r="B5656">
        <v>42</v>
      </c>
      <c r="C5656" t="str">
        <f>CHOOSE(MATCH(B5656, {20,25,30,35,40,45,50,55,60,65,70,75,80,85}, 1), "20-24", "25-29", "30-34", "35-39", "40-44", "45-49", "50-54", "55-59", "60-64", "65-69", "70-74", "75-79", "80-84", "85+")</f>
        <v>40-44</v>
      </c>
      <c r="D5656" t="s">
        <v>7</v>
      </c>
    </row>
    <row r="5657" spans="1:4">
      <c r="A5657" t="s">
        <v>6</v>
      </c>
      <c r="B5657">
        <v>52</v>
      </c>
      <c r="C5657" t="str">
        <f>CHOOSE(MATCH(B5657, {20,25,30,35,40,45,50,55,60,65,70,75,80,85}, 1), "20-24", "25-29", "30-34", "35-39", "40-44", "45-49", "50-54", "55-59", "60-64", "65-69", "70-74", "75-79", "80-84", "85+")</f>
        <v>50-54</v>
      </c>
      <c r="D5657" t="s">
        <v>8</v>
      </c>
    </row>
    <row r="5658" spans="1:4">
      <c r="A5658" t="s">
        <v>6</v>
      </c>
      <c r="B5658">
        <v>45</v>
      </c>
      <c r="C5658" t="str">
        <f>CHOOSE(MATCH(B5658, {20,25,30,35,40,45,50,55,60,65,70,75,80,85}, 1), "20-24", "25-29", "30-34", "35-39", "40-44", "45-49", "50-54", "55-59", "60-64", "65-69", "70-74", "75-79", "80-84", "85+")</f>
        <v>45-49</v>
      </c>
      <c r="D5658" t="s">
        <v>8</v>
      </c>
    </row>
    <row r="5659" spans="1:4">
      <c r="A5659" t="s">
        <v>6</v>
      </c>
      <c r="B5659">
        <v>56</v>
      </c>
      <c r="C5659" t="str">
        <f>CHOOSE(MATCH(B5659, {20,25,30,35,40,45,50,55,60,65,70,75,80,85}, 1), "20-24", "25-29", "30-34", "35-39", "40-44", "45-49", "50-54", "55-59", "60-64", "65-69", "70-74", "75-79", "80-84", "85+")</f>
        <v>55-59</v>
      </c>
      <c r="D5659" t="s">
        <v>7</v>
      </c>
    </row>
    <row r="5660" spans="1:4">
      <c r="A5660" t="s">
        <v>6</v>
      </c>
      <c r="B5660">
        <v>25</v>
      </c>
      <c r="C5660" t="str">
        <f>CHOOSE(MATCH(B5660, {20,25,30,35,40,45,50,55,60,65,70,75,80,85}, 1), "20-24", "25-29", "30-34", "35-39", "40-44", "45-49", "50-54", "55-59", "60-64", "65-69", "70-74", "75-79", "80-84", "85+")</f>
        <v>25-29</v>
      </c>
      <c r="D5660" t="s">
        <v>7</v>
      </c>
    </row>
    <row r="5661" spans="1:4">
      <c r="A5661" t="s">
        <v>6</v>
      </c>
      <c r="B5661">
        <v>40</v>
      </c>
      <c r="C5661" t="str">
        <f>CHOOSE(MATCH(B5661, {20,25,30,35,40,45,50,55,60,65,70,75,80,85}, 1), "20-24", "25-29", "30-34", "35-39", "40-44", "45-49", "50-54", "55-59", "60-64", "65-69", "70-74", "75-79", "80-84", "85+")</f>
        <v>40-44</v>
      </c>
      <c r="D5661" t="s">
        <v>7</v>
      </c>
    </row>
    <row r="5662" spans="1:4">
      <c r="A5662" t="s">
        <v>6</v>
      </c>
      <c r="B5662">
        <v>34</v>
      </c>
      <c r="C5662" t="str">
        <f>CHOOSE(MATCH(B5662, {20,25,30,35,40,45,50,55,60,65,70,75,80,85}, 1), "20-24", "25-29", "30-34", "35-39", "40-44", "45-49", "50-54", "55-59", "60-64", "65-69", "70-74", "75-79", "80-84", "85+")</f>
        <v>30-34</v>
      </c>
      <c r="D5662" t="s">
        <v>7</v>
      </c>
    </row>
    <row r="5663" spans="1:4">
      <c r="A5663" t="s">
        <v>6</v>
      </c>
      <c r="B5663">
        <v>64</v>
      </c>
      <c r="C5663" t="str">
        <f>CHOOSE(MATCH(B5663, {20,25,30,35,40,45,50,55,60,65,70,75,80,85}, 1), "20-24", "25-29", "30-34", "35-39", "40-44", "45-49", "50-54", "55-59", "60-64", "65-69", "70-74", "75-79", "80-84", "85+")</f>
        <v>60-64</v>
      </c>
      <c r="D5663" t="s">
        <v>8</v>
      </c>
    </row>
    <row r="5664" spans="1:4">
      <c r="A5664" t="s">
        <v>6</v>
      </c>
      <c r="B5664">
        <v>29</v>
      </c>
      <c r="C5664" t="str">
        <f>CHOOSE(MATCH(B5664, {20,25,30,35,40,45,50,55,60,65,70,75,80,85}, 1), "20-24", "25-29", "30-34", "35-39", "40-44", "45-49", "50-54", "55-59", "60-64", "65-69", "70-74", "75-79", "80-84", "85+")</f>
        <v>25-29</v>
      </c>
      <c r="D5664" t="s">
        <v>8</v>
      </c>
    </row>
    <row r="5665" spans="1:4">
      <c r="A5665" t="s">
        <v>6</v>
      </c>
      <c r="B5665">
        <v>31</v>
      </c>
      <c r="C5665" t="str">
        <f>CHOOSE(MATCH(B5665, {20,25,30,35,40,45,50,55,60,65,70,75,80,85}, 1), "20-24", "25-29", "30-34", "35-39", "40-44", "45-49", "50-54", "55-59", "60-64", "65-69", "70-74", "75-79", "80-84", "85+")</f>
        <v>30-34</v>
      </c>
      <c r="D5665" t="s">
        <v>7</v>
      </c>
    </row>
    <row r="5666" spans="1:4">
      <c r="A5666" t="s">
        <v>6</v>
      </c>
      <c r="B5666">
        <v>43</v>
      </c>
      <c r="C5666" t="str">
        <f>CHOOSE(MATCH(B5666, {20,25,30,35,40,45,50,55,60,65,70,75,80,85}, 1), "20-24", "25-29", "30-34", "35-39", "40-44", "45-49", "50-54", "55-59", "60-64", "65-69", "70-74", "75-79", "80-84", "85+")</f>
        <v>40-44</v>
      </c>
      <c r="D5666" t="s">
        <v>8</v>
      </c>
    </row>
    <row r="5667" spans="1:4">
      <c r="A5667" t="s">
        <v>6</v>
      </c>
      <c r="B5667">
        <v>34</v>
      </c>
      <c r="C5667" t="str">
        <f>CHOOSE(MATCH(B5667, {20,25,30,35,40,45,50,55,60,65,70,75,80,85}, 1), "20-24", "25-29", "30-34", "35-39", "40-44", "45-49", "50-54", "55-59", "60-64", "65-69", "70-74", "75-79", "80-84", "85+")</f>
        <v>30-34</v>
      </c>
      <c r="D5667" t="s">
        <v>7</v>
      </c>
    </row>
    <row r="5668" spans="1:4">
      <c r="A5668" t="s">
        <v>6</v>
      </c>
      <c r="B5668">
        <v>27</v>
      </c>
      <c r="C5668" t="str">
        <f>CHOOSE(MATCH(B5668, {20,25,30,35,40,45,50,55,60,65,70,75,80,85}, 1), "20-24", "25-29", "30-34", "35-39", "40-44", "45-49", "50-54", "55-59", "60-64", "65-69", "70-74", "75-79", "80-84", "85+")</f>
        <v>25-29</v>
      </c>
      <c r="D5668" t="s">
        <v>8</v>
      </c>
    </row>
    <row r="5669" spans="1:4">
      <c r="A5669" t="s">
        <v>6</v>
      </c>
      <c r="B5669">
        <v>40</v>
      </c>
      <c r="C5669" t="str">
        <f>CHOOSE(MATCH(B5669, {20,25,30,35,40,45,50,55,60,65,70,75,80,85}, 1), "20-24", "25-29", "30-34", "35-39", "40-44", "45-49", "50-54", "55-59", "60-64", "65-69", "70-74", "75-79", "80-84", "85+")</f>
        <v>40-44</v>
      </c>
      <c r="D5669" t="s">
        <v>8</v>
      </c>
    </row>
    <row r="5670" spans="1:4">
      <c r="A5670" t="s">
        <v>6</v>
      </c>
      <c r="B5670">
        <v>33</v>
      </c>
      <c r="C5670" t="str">
        <f>CHOOSE(MATCH(B5670, {20,25,30,35,40,45,50,55,60,65,70,75,80,85}, 1), "20-24", "25-29", "30-34", "35-39", "40-44", "45-49", "50-54", "55-59", "60-64", "65-69", "70-74", "75-79", "80-84", "85+")</f>
        <v>30-34</v>
      </c>
      <c r="D5670" t="s">
        <v>8</v>
      </c>
    </row>
    <row r="5671" spans="1:4">
      <c r="A5671" t="s">
        <v>6</v>
      </c>
      <c r="B5671">
        <v>25</v>
      </c>
      <c r="C5671" t="str">
        <f>CHOOSE(MATCH(B5671, {20,25,30,35,40,45,50,55,60,65,70,75,80,85}, 1), "20-24", "25-29", "30-34", "35-39", "40-44", "45-49", "50-54", "55-59", "60-64", "65-69", "70-74", "75-79", "80-84", "85+")</f>
        <v>25-29</v>
      </c>
      <c r="D5671" t="s">
        <v>7</v>
      </c>
    </row>
    <row r="5672" spans="1:4">
      <c r="A5672" t="s">
        <v>6</v>
      </c>
      <c r="B5672">
        <v>41</v>
      </c>
      <c r="C5672" t="str">
        <f>CHOOSE(MATCH(B5672, {20,25,30,35,40,45,50,55,60,65,70,75,80,85}, 1), "20-24", "25-29", "30-34", "35-39", "40-44", "45-49", "50-54", "55-59", "60-64", "65-69", "70-74", "75-79", "80-84", "85+")</f>
        <v>40-44</v>
      </c>
      <c r="D5672" t="s">
        <v>8</v>
      </c>
    </row>
    <row r="5673" spans="1:4">
      <c r="A5673" t="s">
        <v>6</v>
      </c>
      <c r="B5673">
        <v>72</v>
      </c>
      <c r="C5673" t="str">
        <f>CHOOSE(MATCH(B5673, {20,25,30,35,40,45,50,55,60,65,70,75,80,85}, 1), "20-24", "25-29", "30-34", "35-39", "40-44", "45-49", "50-54", "55-59", "60-64", "65-69", "70-74", "75-79", "80-84", "85+")</f>
        <v>70-74</v>
      </c>
      <c r="D5673" t="s">
        <v>8</v>
      </c>
    </row>
    <row r="5674" spans="1:4">
      <c r="A5674" t="s">
        <v>6</v>
      </c>
      <c r="B5674">
        <v>34</v>
      </c>
      <c r="C5674" t="str">
        <f>CHOOSE(MATCH(B5674, {20,25,30,35,40,45,50,55,60,65,70,75,80,85}, 1), "20-24", "25-29", "30-34", "35-39", "40-44", "45-49", "50-54", "55-59", "60-64", "65-69", "70-74", "75-79", "80-84", "85+")</f>
        <v>30-34</v>
      </c>
      <c r="D5674" t="s">
        <v>7</v>
      </c>
    </row>
    <row r="5675" spans="1:4">
      <c r="A5675" t="s">
        <v>6</v>
      </c>
      <c r="B5675">
        <v>33</v>
      </c>
      <c r="C5675" t="str">
        <f>CHOOSE(MATCH(B5675, {20,25,30,35,40,45,50,55,60,65,70,75,80,85}, 1), "20-24", "25-29", "30-34", "35-39", "40-44", "45-49", "50-54", "55-59", "60-64", "65-69", "70-74", "75-79", "80-84", "85+")</f>
        <v>30-34</v>
      </c>
      <c r="D5675" t="s">
        <v>8</v>
      </c>
    </row>
    <row r="5676" spans="1:4">
      <c r="A5676" t="s">
        <v>6</v>
      </c>
      <c r="B5676">
        <v>38</v>
      </c>
      <c r="C5676" t="str">
        <f>CHOOSE(MATCH(B5676, {20,25,30,35,40,45,50,55,60,65,70,75,80,85}, 1), "20-24", "25-29", "30-34", "35-39", "40-44", "45-49", "50-54", "55-59", "60-64", "65-69", "70-74", "75-79", "80-84", "85+")</f>
        <v>35-39</v>
      </c>
      <c r="D5676" t="s">
        <v>8</v>
      </c>
    </row>
    <row r="5677" spans="1:4">
      <c r="A5677" t="s">
        <v>6</v>
      </c>
      <c r="B5677">
        <v>32</v>
      </c>
      <c r="C5677" t="str">
        <f>CHOOSE(MATCH(B5677, {20,25,30,35,40,45,50,55,60,65,70,75,80,85}, 1), "20-24", "25-29", "30-34", "35-39", "40-44", "45-49", "50-54", "55-59", "60-64", "65-69", "70-74", "75-79", "80-84", "85+")</f>
        <v>30-34</v>
      </c>
      <c r="D5677" t="s">
        <v>7</v>
      </c>
    </row>
    <row r="5678" spans="1:4">
      <c r="A5678" t="s">
        <v>6</v>
      </c>
      <c r="B5678">
        <v>39</v>
      </c>
      <c r="C5678" t="str">
        <f>CHOOSE(MATCH(B5678, {20,25,30,35,40,45,50,55,60,65,70,75,80,85}, 1), "20-24", "25-29", "30-34", "35-39", "40-44", "45-49", "50-54", "55-59", "60-64", "65-69", "70-74", "75-79", "80-84", "85+")</f>
        <v>35-39</v>
      </c>
      <c r="D5678" t="s">
        <v>7</v>
      </c>
    </row>
    <row r="5679" spans="1:4">
      <c r="A5679" t="s">
        <v>6</v>
      </c>
      <c r="B5679">
        <v>56</v>
      </c>
      <c r="C5679" t="str">
        <f>CHOOSE(MATCH(B5679, {20,25,30,35,40,45,50,55,60,65,70,75,80,85}, 1), "20-24", "25-29", "30-34", "35-39", "40-44", "45-49", "50-54", "55-59", "60-64", "65-69", "70-74", "75-79", "80-84", "85+")</f>
        <v>55-59</v>
      </c>
      <c r="D5679" t="s">
        <v>7</v>
      </c>
    </row>
    <row r="5680" spans="1:4">
      <c r="A5680" t="s">
        <v>6</v>
      </c>
      <c r="B5680">
        <v>32</v>
      </c>
      <c r="C5680" t="str">
        <f>CHOOSE(MATCH(B5680, {20,25,30,35,40,45,50,55,60,65,70,75,80,85}, 1), "20-24", "25-29", "30-34", "35-39", "40-44", "45-49", "50-54", "55-59", "60-64", "65-69", "70-74", "75-79", "80-84", "85+")</f>
        <v>30-34</v>
      </c>
      <c r="D5680" t="s">
        <v>8</v>
      </c>
    </row>
    <row r="5681" spans="1:4">
      <c r="A5681" t="s">
        <v>6</v>
      </c>
      <c r="B5681">
        <v>31</v>
      </c>
      <c r="C5681" t="str">
        <f>CHOOSE(MATCH(B5681, {20,25,30,35,40,45,50,55,60,65,70,75,80,85}, 1), "20-24", "25-29", "30-34", "35-39", "40-44", "45-49", "50-54", "55-59", "60-64", "65-69", "70-74", "75-79", "80-84", "85+")</f>
        <v>30-34</v>
      </c>
      <c r="D5681" t="s">
        <v>8</v>
      </c>
    </row>
    <row r="5682" spans="1:4">
      <c r="A5682" t="s">
        <v>6</v>
      </c>
      <c r="B5682">
        <v>23</v>
      </c>
      <c r="C5682" t="str">
        <f>CHOOSE(MATCH(B5682, {20,25,30,35,40,45,50,55,60,65,70,75,80,85}, 1), "20-24", "25-29", "30-34", "35-39", "40-44", "45-49", "50-54", "55-59", "60-64", "65-69", "70-74", "75-79", "80-84", "85+")</f>
        <v>20-24</v>
      </c>
      <c r="D5682" t="s">
        <v>7</v>
      </c>
    </row>
    <row r="5683" spans="1:4">
      <c r="A5683" t="s">
        <v>6</v>
      </c>
      <c r="B5683">
        <v>48</v>
      </c>
      <c r="C5683" t="str">
        <f>CHOOSE(MATCH(B5683, {20,25,30,35,40,45,50,55,60,65,70,75,80,85}, 1), "20-24", "25-29", "30-34", "35-39", "40-44", "45-49", "50-54", "55-59", "60-64", "65-69", "70-74", "75-79", "80-84", "85+")</f>
        <v>45-49</v>
      </c>
      <c r="D5683" t="s">
        <v>8</v>
      </c>
    </row>
    <row r="5684" spans="1:4">
      <c r="A5684" t="s">
        <v>6</v>
      </c>
      <c r="B5684">
        <v>41</v>
      </c>
      <c r="C5684" t="str">
        <f>CHOOSE(MATCH(B5684, {20,25,30,35,40,45,50,55,60,65,70,75,80,85}, 1), "20-24", "25-29", "30-34", "35-39", "40-44", "45-49", "50-54", "55-59", "60-64", "65-69", "70-74", "75-79", "80-84", "85+")</f>
        <v>40-44</v>
      </c>
      <c r="D5684" t="s">
        <v>8</v>
      </c>
    </row>
    <row r="5685" spans="1:4">
      <c r="A5685" t="s">
        <v>6</v>
      </c>
      <c r="B5685">
        <v>23</v>
      </c>
      <c r="C5685" t="str">
        <f>CHOOSE(MATCH(B5685, {20,25,30,35,40,45,50,55,60,65,70,75,80,85}, 1), "20-24", "25-29", "30-34", "35-39", "40-44", "45-49", "50-54", "55-59", "60-64", "65-69", "70-74", "75-79", "80-84", "85+")</f>
        <v>20-24</v>
      </c>
      <c r="D5685" t="s">
        <v>7</v>
      </c>
    </row>
    <row r="5686" spans="1:4">
      <c r="A5686" t="s">
        <v>6</v>
      </c>
      <c r="B5686">
        <v>27</v>
      </c>
      <c r="C5686" t="str">
        <f>CHOOSE(MATCH(B5686, {20,25,30,35,40,45,50,55,60,65,70,75,80,85}, 1), "20-24", "25-29", "30-34", "35-39", "40-44", "45-49", "50-54", "55-59", "60-64", "65-69", "70-74", "75-79", "80-84", "85+")</f>
        <v>25-29</v>
      </c>
      <c r="D5686" t="s">
        <v>7</v>
      </c>
    </row>
    <row r="5687" spans="1:4">
      <c r="A5687" t="s">
        <v>6</v>
      </c>
      <c r="B5687">
        <v>25</v>
      </c>
      <c r="C5687" t="str">
        <f>CHOOSE(MATCH(B5687, {20,25,30,35,40,45,50,55,60,65,70,75,80,85}, 1), "20-24", "25-29", "30-34", "35-39", "40-44", "45-49", "50-54", "55-59", "60-64", "65-69", "70-74", "75-79", "80-84", "85+")</f>
        <v>25-29</v>
      </c>
      <c r="D5687" t="s">
        <v>8</v>
      </c>
    </row>
    <row r="5688" spans="1:4">
      <c r="A5688" t="s">
        <v>6</v>
      </c>
      <c r="B5688">
        <v>37</v>
      </c>
      <c r="C5688" t="str">
        <f>CHOOSE(MATCH(B5688, {20,25,30,35,40,45,50,55,60,65,70,75,80,85}, 1), "20-24", "25-29", "30-34", "35-39", "40-44", "45-49", "50-54", "55-59", "60-64", "65-69", "70-74", "75-79", "80-84", "85+")</f>
        <v>35-39</v>
      </c>
      <c r="D5688" t="s">
        <v>8</v>
      </c>
    </row>
    <row r="5689" spans="1:4">
      <c r="A5689" t="s">
        <v>6</v>
      </c>
      <c r="B5689">
        <v>30</v>
      </c>
      <c r="C5689" t="str">
        <f>CHOOSE(MATCH(B5689, {20,25,30,35,40,45,50,55,60,65,70,75,80,85}, 1), "20-24", "25-29", "30-34", "35-39", "40-44", "45-49", "50-54", "55-59", "60-64", "65-69", "70-74", "75-79", "80-84", "85+")</f>
        <v>30-34</v>
      </c>
      <c r="D5689" t="s">
        <v>7</v>
      </c>
    </row>
    <row r="5690" spans="1:4">
      <c r="A5690" t="s">
        <v>6</v>
      </c>
      <c r="B5690">
        <v>41</v>
      </c>
      <c r="C5690" t="str">
        <f>CHOOSE(MATCH(B5690, {20,25,30,35,40,45,50,55,60,65,70,75,80,85}, 1), "20-24", "25-29", "30-34", "35-39", "40-44", "45-49", "50-54", "55-59", "60-64", "65-69", "70-74", "75-79", "80-84", "85+")</f>
        <v>40-44</v>
      </c>
      <c r="D5690" t="s">
        <v>7</v>
      </c>
    </row>
    <row r="5691" spans="1:4">
      <c r="A5691" t="s">
        <v>6</v>
      </c>
      <c r="B5691">
        <v>35</v>
      </c>
      <c r="C5691" t="str">
        <f>CHOOSE(MATCH(B5691, {20,25,30,35,40,45,50,55,60,65,70,75,80,85}, 1), "20-24", "25-29", "30-34", "35-39", "40-44", "45-49", "50-54", "55-59", "60-64", "65-69", "70-74", "75-79", "80-84", "85+")</f>
        <v>35-39</v>
      </c>
      <c r="D5691" t="s">
        <v>7</v>
      </c>
    </row>
    <row r="5692" spans="1:4">
      <c r="A5692" t="s">
        <v>6</v>
      </c>
      <c r="B5692">
        <v>33</v>
      </c>
      <c r="C5692" t="str">
        <f>CHOOSE(MATCH(B5692, {20,25,30,35,40,45,50,55,60,65,70,75,80,85}, 1), "20-24", "25-29", "30-34", "35-39", "40-44", "45-49", "50-54", "55-59", "60-64", "65-69", "70-74", "75-79", "80-84", "85+")</f>
        <v>30-34</v>
      </c>
      <c r="D5692" t="s">
        <v>7</v>
      </c>
    </row>
    <row r="5693" spans="1:4">
      <c r="A5693" t="s">
        <v>6</v>
      </c>
      <c r="B5693">
        <v>25</v>
      </c>
      <c r="C5693" t="str">
        <f>CHOOSE(MATCH(B5693, {20,25,30,35,40,45,50,55,60,65,70,75,80,85}, 1), "20-24", "25-29", "30-34", "35-39", "40-44", "45-49", "50-54", "55-59", "60-64", "65-69", "70-74", "75-79", "80-84", "85+")</f>
        <v>25-29</v>
      </c>
      <c r="D5693" t="s">
        <v>8</v>
      </c>
    </row>
    <row r="5694" spans="1:4">
      <c r="A5694" t="s">
        <v>6</v>
      </c>
      <c r="B5694">
        <v>46</v>
      </c>
      <c r="C5694" t="str">
        <f>CHOOSE(MATCH(B5694, {20,25,30,35,40,45,50,55,60,65,70,75,80,85}, 1), "20-24", "25-29", "30-34", "35-39", "40-44", "45-49", "50-54", "55-59", "60-64", "65-69", "70-74", "75-79", "80-84", "85+")</f>
        <v>45-49</v>
      </c>
      <c r="D5694" t="s">
        <v>7</v>
      </c>
    </row>
    <row r="5695" spans="1:4">
      <c r="A5695" t="s">
        <v>6</v>
      </c>
      <c r="B5695">
        <v>48</v>
      </c>
      <c r="C5695" t="str">
        <f>CHOOSE(MATCH(B5695, {20,25,30,35,40,45,50,55,60,65,70,75,80,85}, 1), "20-24", "25-29", "30-34", "35-39", "40-44", "45-49", "50-54", "55-59", "60-64", "65-69", "70-74", "75-79", "80-84", "85+")</f>
        <v>45-49</v>
      </c>
      <c r="D5695" t="s">
        <v>7</v>
      </c>
    </row>
    <row r="5696" spans="1:4">
      <c r="A5696" t="s">
        <v>6</v>
      </c>
      <c r="B5696">
        <v>36</v>
      </c>
      <c r="C5696" t="str">
        <f>CHOOSE(MATCH(B5696, {20,25,30,35,40,45,50,55,60,65,70,75,80,85}, 1), "20-24", "25-29", "30-34", "35-39", "40-44", "45-49", "50-54", "55-59", "60-64", "65-69", "70-74", "75-79", "80-84", "85+")</f>
        <v>35-39</v>
      </c>
      <c r="D5696" t="s">
        <v>8</v>
      </c>
    </row>
    <row r="5697" spans="1:4">
      <c r="A5697" t="s">
        <v>6</v>
      </c>
      <c r="B5697">
        <v>34</v>
      </c>
      <c r="C5697" t="str">
        <f>CHOOSE(MATCH(B5697, {20,25,30,35,40,45,50,55,60,65,70,75,80,85}, 1), "20-24", "25-29", "30-34", "35-39", "40-44", "45-49", "50-54", "55-59", "60-64", "65-69", "70-74", "75-79", "80-84", "85+")</f>
        <v>30-34</v>
      </c>
      <c r="D5697" t="s">
        <v>7</v>
      </c>
    </row>
    <row r="5698" spans="1:4">
      <c r="A5698" t="s">
        <v>6</v>
      </c>
      <c r="B5698">
        <v>28</v>
      </c>
      <c r="C5698" t="str">
        <f>CHOOSE(MATCH(B5698, {20,25,30,35,40,45,50,55,60,65,70,75,80,85}, 1), "20-24", "25-29", "30-34", "35-39", "40-44", "45-49", "50-54", "55-59", "60-64", "65-69", "70-74", "75-79", "80-84", "85+")</f>
        <v>25-29</v>
      </c>
      <c r="D5698" t="s">
        <v>8</v>
      </c>
    </row>
    <row r="5699" spans="1:4">
      <c r="A5699" t="s">
        <v>6</v>
      </c>
      <c r="B5699">
        <v>29</v>
      </c>
      <c r="C5699" t="str">
        <f>CHOOSE(MATCH(B5699, {20,25,30,35,40,45,50,55,60,65,70,75,80,85}, 1), "20-24", "25-29", "30-34", "35-39", "40-44", "45-49", "50-54", "55-59", "60-64", "65-69", "70-74", "75-79", "80-84", "85+")</f>
        <v>25-29</v>
      </c>
      <c r="D5699" t="s">
        <v>7</v>
      </c>
    </row>
    <row r="5700" spans="1:4">
      <c r="A5700" t="s">
        <v>6</v>
      </c>
      <c r="B5700">
        <v>26</v>
      </c>
      <c r="C5700" t="str">
        <f>CHOOSE(MATCH(B5700, {20,25,30,35,40,45,50,55,60,65,70,75,80,85}, 1), "20-24", "25-29", "30-34", "35-39", "40-44", "45-49", "50-54", "55-59", "60-64", "65-69", "70-74", "75-79", "80-84", "85+")</f>
        <v>25-29</v>
      </c>
      <c r="D5700" t="s">
        <v>7</v>
      </c>
    </row>
    <row r="5701" spans="1:4">
      <c r="A5701" t="s">
        <v>6</v>
      </c>
      <c r="B5701">
        <v>34</v>
      </c>
      <c r="C5701" t="str">
        <f>CHOOSE(MATCH(B5701, {20,25,30,35,40,45,50,55,60,65,70,75,80,85}, 1), "20-24", "25-29", "30-34", "35-39", "40-44", "45-49", "50-54", "55-59", "60-64", "65-69", "70-74", "75-79", "80-84", "85+")</f>
        <v>30-34</v>
      </c>
      <c r="D5701" t="s">
        <v>7</v>
      </c>
    </row>
    <row r="5702" spans="1:4">
      <c r="A5702" t="s">
        <v>6</v>
      </c>
      <c r="B5702">
        <v>53</v>
      </c>
      <c r="C5702" t="str">
        <f>CHOOSE(MATCH(B5702, {20,25,30,35,40,45,50,55,60,65,70,75,80,85}, 1), "20-24", "25-29", "30-34", "35-39", "40-44", "45-49", "50-54", "55-59", "60-64", "65-69", "70-74", "75-79", "80-84", "85+")</f>
        <v>50-54</v>
      </c>
      <c r="D5702" t="s">
        <v>8</v>
      </c>
    </row>
    <row r="5703" spans="1:4">
      <c r="A5703" t="s">
        <v>6</v>
      </c>
      <c r="B5703">
        <v>45</v>
      </c>
      <c r="C5703" t="str">
        <f>CHOOSE(MATCH(B5703, {20,25,30,35,40,45,50,55,60,65,70,75,80,85}, 1), "20-24", "25-29", "30-34", "35-39", "40-44", "45-49", "50-54", "55-59", "60-64", "65-69", "70-74", "75-79", "80-84", "85+")</f>
        <v>45-49</v>
      </c>
      <c r="D5703" t="s">
        <v>8</v>
      </c>
    </row>
    <row r="5704" spans="1:4">
      <c r="A5704" t="s">
        <v>6</v>
      </c>
      <c r="B5704">
        <v>28</v>
      </c>
      <c r="C5704" t="str">
        <f>CHOOSE(MATCH(B5704, {20,25,30,35,40,45,50,55,60,65,70,75,80,85}, 1), "20-24", "25-29", "30-34", "35-39", "40-44", "45-49", "50-54", "55-59", "60-64", "65-69", "70-74", "75-79", "80-84", "85+")</f>
        <v>25-29</v>
      </c>
      <c r="D5704" t="s">
        <v>7</v>
      </c>
    </row>
    <row r="5705" spans="1:4">
      <c r="A5705" t="s">
        <v>6</v>
      </c>
      <c r="B5705">
        <v>69</v>
      </c>
      <c r="C5705" t="str">
        <f>CHOOSE(MATCH(B5705, {20,25,30,35,40,45,50,55,60,65,70,75,80,85}, 1), "20-24", "25-29", "30-34", "35-39", "40-44", "45-49", "50-54", "55-59", "60-64", "65-69", "70-74", "75-79", "80-84", "85+")</f>
        <v>65-69</v>
      </c>
      <c r="D5705" t="s">
        <v>8</v>
      </c>
    </row>
    <row r="5706" spans="1:4">
      <c r="A5706" t="s">
        <v>6</v>
      </c>
      <c r="B5706">
        <v>31</v>
      </c>
      <c r="C5706" t="str">
        <f>CHOOSE(MATCH(B5706, {20,25,30,35,40,45,50,55,60,65,70,75,80,85}, 1), "20-24", "25-29", "30-34", "35-39", "40-44", "45-49", "50-54", "55-59", "60-64", "65-69", "70-74", "75-79", "80-84", "85+")</f>
        <v>30-34</v>
      </c>
      <c r="D5706" t="s">
        <v>7</v>
      </c>
    </row>
    <row r="5707" spans="1:4">
      <c r="A5707" t="s">
        <v>6</v>
      </c>
      <c r="B5707">
        <v>40</v>
      </c>
      <c r="C5707" t="str">
        <f>CHOOSE(MATCH(B5707, {20,25,30,35,40,45,50,55,60,65,70,75,80,85}, 1), "20-24", "25-29", "30-34", "35-39", "40-44", "45-49", "50-54", "55-59", "60-64", "65-69", "70-74", "75-79", "80-84", "85+")</f>
        <v>40-44</v>
      </c>
      <c r="D5707" t="s">
        <v>8</v>
      </c>
    </row>
    <row r="5708" spans="1:4">
      <c r="A5708" t="s">
        <v>6</v>
      </c>
      <c r="B5708">
        <v>82</v>
      </c>
      <c r="C5708" t="str">
        <f>CHOOSE(MATCH(B5708, {20,25,30,35,40,45,50,55,60,65,70,75,80,85}, 1), "20-24", "25-29", "30-34", "35-39", "40-44", "45-49", "50-54", "55-59", "60-64", "65-69", "70-74", "75-79", "80-84", "85+")</f>
        <v>80-84</v>
      </c>
      <c r="D5708" t="s">
        <v>8</v>
      </c>
    </row>
    <row r="5709" spans="1:4">
      <c r="A5709" t="s">
        <v>6</v>
      </c>
      <c r="B5709">
        <v>33</v>
      </c>
      <c r="C5709" t="str">
        <f>CHOOSE(MATCH(B5709, {20,25,30,35,40,45,50,55,60,65,70,75,80,85}, 1), "20-24", "25-29", "30-34", "35-39", "40-44", "45-49", "50-54", "55-59", "60-64", "65-69", "70-74", "75-79", "80-84", "85+")</f>
        <v>30-34</v>
      </c>
      <c r="D5709" t="s">
        <v>8</v>
      </c>
    </row>
    <row r="5710" spans="1:4">
      <c r="A5710" t="s">
        <v>6</v>
      </c>
      <c r="B5710">
        <v>30</v>
      </c>
      <c r="C5710" t="str">
        <f>CHOOSE(MATCH(B5710, {20,25,30,35,40,45,50,55,60,65,70,75,80,85}, 1), "20-24", "25-29", "30-34", "35-39", "40-44", "45-49", "50-54", "55-59", "60-64", "65-69", "70-74", "75-79", "80-84", "85+")</f>
        <v>30-34</v>
      </c>
      <c r="D5710" t="s">
        <v>8</v>
      </c>
    </row>
    <row r="5711" spans="1:4">
      <c r="A5711" t="s">
        <v>6</v>
      </c>
      <c r="B5711">
        <v>29</v>
      </c>
      <c r="C5711" t="str">
        <f>CHOOSE(MATCH(B5711, {20,25,30,35,40,45,50,55,60,65,70,75,80,85}, 1), "20-24", "25-29", "30-34", "35-39", "40-44", "45-49", "50-54", "55-59", "60-64", "65-69", "70-74", "75-79", "80-84", "85+")</f>
        <v>25-29</v>
      </c>
      <c r="D5711" t="s">
        <v>7</v>
      </c>
    </row>
    <row r="5712" spans="1:4">
      <c r="A5712" t="s">
        <v>6</v>
      </c>
      <c r="B5712">
        <v>27</v>
      </c>
      <c r="C5712" t="str">
        <f>CHOOSE(MATCH(B5712, {20,25,30,35,40,45,50,55,60,65,70,75,80,85}, 1), "20-24", "25-29", "30-34", "35-39", "40-44", "45-49", "50-54", "55-59", "60-64", "65-69", "70-74", "75-79", "80-84", "85+")</f>
        <v>25-29</v>
      </c>
      <c r="D5712" t="s">
        <v>8</v>
      </c>
    </row>
    <row r="5713" spans="1:4">
      <c r="A5713" t="s">
        <v>6</v>
      </c>
      <c r="B5713">
        <v>38</v>
      </c>
      <c r="C5713" t="str">
        <f>CHOOSE(MATCH(B5713, {20,25,30,35,40,45,50,55,60,65,70,75,80,85}, 1), "20-24", "25-29", "30-34", "35-39", "40-44", "45-49", "50-54", "55-59", "60-64", "65-69", "70-74", "75-79", "80-84", "85+")</f>
        <v>35-39</v>
      </c>
      <c r="D5713" t="s">
        <v>7</v>
      </c>
    </row>
    <row r="5714" spans="1:4">
      <c r="A5714" t="s">
        <v>6</v>
      </c>
      <c r="B5714">
        <v>24</v>
      </c>
      <c r="C5714" t="str">
        <f>CHOOSE(MATCH(B5714, {20,25,30,35,40,45,50,55,60,65,70,75,80,85}, 1), "20-24", "25-29", "30-34", "35-39", "40-44", "45-49", "50-54", "55-59", "60-64", "65-69", "70-74", "75-79", "80-84", "85+")</f>
        <v>20-24</v>
      </c>
      <c r="D5714" t="s">
        <v>7</v>
      </c>
    </row>
    <row r="5715" spans="1:4">
      <c r="A5715" t="s">
        <v>6</v>
      </c>
      <c r="B5715">
        <v>34</v>
      </c>
      <c r="C5715" t="str">
        <f>CHOOSE(MATCH(B5715, {20,25,30,35,40,45,50,55,60,65,70,75,80,85}, 1), "20-24", "25-29", "30-34", "35-39", "40-44", "45-49", "50-54", "55-59", "60-64", "65-69", "70-74", "75-79", "80-84", "85+")</f>
        <v>30-34</v>
      </c>
      <c r="D5715" t="s">
        <v>7</v>
      </c>
    </row>
    <row r="5716" spans="1:4">
      <c r="A5716" t="s">
        <v>6</v>
      </c>
      <c r="B5716">
        <v>32</v>
      </c>
      <c r="C5716" t="str">
        <f>CHOOSE(MATCH(B5716, {20,25,30,35,40,45,50,55,60,65,70,75,80,85}, 1), "20-24", "25-29", "30-34", "35-39", "40-44", "45-49", "50-54", "55-59", "60-64", "65-69", "70-74", "75-79", "80-84", "85+")</f>
        <v>30-34</v>
      </c>
      <c r="D5716" t="s">
        <v>7</v>
      </c>
    </row>
    <row r="5717" spans="1:4">
      <c r="A5717" t="s">
        <v>6</v>
      </c>
      <c r="B5717">
        <v>25</v>
      </c>
      <c r="C5717" t="str">
        <f>CHOOSE(MATCH(B5717, {20,25,30,35,40,45,50,55,60,65,70,75,80,85}, 1), "20-24", "25-29", "30-34", "35-39", "40-44", "45-49", "50-54", "55-59", "60-64", "65-69", "70-74", "75-79", "80-84", "85+")</f>
        <v>25-29</v>
      </c>
      <c r="D5717" t="s">
        <v>7</v>
      </c>
    </row>
    <row r="5718" spans="1:4">
      <c r="A5718" t="s">
        <v>6</v>
      </c>
      <c r="B5718">
        <v>28</v>
      </c>
      <c r="C5718" t="str">
        <f>CHOOSE(MATCH(B5718, {20,25,30,35,40,45,50,55,60,65,70,75,80,85}, 1), "20-24", "25-29", "30-34", "35-39", "40-44", "45-49", "50-54", "55-59", "60-64", "65-69", "70-74", "75-79", "80-84", "85+")</f>
        <v>25-29</v>
      </c>
      <c r="D5718" t="s">
        <v>7</v>
      </c>
    </row>
    <row r="5719" spans="1:4">
      <c r="A5719" t="s">
        <v>6</v>
      </c>
      <c r="B5719">
        <v>39</v>
      </c>
      <c r="C5719" t="str">
        <f>CHOOSE(MATCH(B5719, {20,25,30,35,40,45,50,55,60,65,70,75,80,85}, 1), "20-24", "25-29", "30-34", "35-39", "40-44", "45-49", "50-54", "55-59", "60-64", "65-69", "70-74", "75-79", "80-84", "85+")</f>
        <v>35-39</v>
      </c>
      <c r="D5719" t="s">
        <v>8</v>
      </c>
    </row>
    <row r="5720" spans="1:4">
      <c r="A5720" t="s">
        <v>6</v>
      </c>
      <c r="B5720">
        <v>48</v>
      </c>
      <c r="C5720" t="str">
        <f>CHOOSE(MATCH(B5720, {20,25,30,35,40,45,50,55,60,65,70,75,80,85}, 1), "20-24", "25-29", "30-34", "35-39", "40-44", "45-49", "50-54", "55-59", "60-64", "65-69", "70-74", "75-79", "80-84", "85+")</f>
        <v>45-49</v>
      </c>
      <c r="D5720" t="s">
        <v>7</v>
      </c>
    </row>
    <row r="5721" spans="1:4">
      <c r="A5721" t="s">
        <v>6</v>
      </c>
      <c r="B5721">
        <v>59</v>
      </c>
      <c r="C5721" t="str">
        <f>CHOOSE(MATCH(B5721, {20,25,30,35,40,45,50,55,60,65,70,75,80,85}, 1), "20-24", "25-29", "30-34", "35-39", "40-44", "45-49", "50-54", "55-59", "60-64", "65-69", "70-74", "75-79", "80-84", "85+")</f>
        <v>55-59</v>
      </c>
      <c r="D5721" t="s">
        <v>7</v>
      </c>
    </row>
    <row r="5722" spans="1:4">
      <c r="A5722" t="s">
        <v>6</v>
      </c>
      <c r="B5722">
        <v>33</v>
      </c>
      <c r="C5722" t="str">
        <f>CHOOSE(MATCH(B5722, {20,25,30,35,40,45,50,55,60,65,70,75,80,85}, 1), "20-24", "25-29", "30-34", "35-39", "40-44", "45-49", "50-54", "55-59", "60-64", "65-69", "70-74", "75-79", "80-84", "85+")</f>
        <v>30-34</v>
      </c>
      <c r="D5722" t="s">
        <v>8</v>
      </c>
    </row>
    <row r="5723" spans="1:4">
      <c r="A5723" t="s">
        <v>6</v>
      </c>
      <c r="B5723">
        <v>40</v>
      </c>
      <c r="C5723" t="str">
        <f>CHOOSE(MATCH(B5723, {20,25,30,35,40,45,50,55,60,65,70,75,80,85}, 1), "20-24", "25-29", "30-34", "35-39", "40-44", "45-49", "50-54", "55-59", "60-64", "65-69", "70-74", "75-79", "80-84", "85+")</f>
        <v>40-44</v>
      </c>
      <c r="D5723" t="s">
        <v>7</v>
      </c>
    </row>
    <row r="5724" spans="1:4">
      <c r="A5724" t="s">
        <v>6</v>
      </c>
      <c r="B5724">
        <v>32</v>
      </c>
      <c r="C5724" t="str">
        <f>CHOOSE(MATCH(B5724, {20,25,30,35,40,45,50,55,60,65,70,75,80,85}, 1), "20-24", "25-29", "30-34", "35-39", "40-44", "45-49", "50-54", "55-59", "60-64", "65-69", "70-74", "75-79", "80-84", "85+")</f>
        <v>30-34</v>
      </c>
      <c r="D5724" t="s">
        <v>8</v>
      </c>
    </row>
    <row r="5725" spans="1:4">
      <c r="A5725" t="s">
        <v>6</v>
      </c>
      <c r="B5725">
        <v>43</v>
      </c>
      <c r="C5725" t="str">
        <f>CHOOSE(MATCH(B5725, {20,25,30,35,40,45,50,55,60,65,70,75,80,85}, 1), "20-24", "25-29", "30-34", "35-39", "40-44", "45-49", "50-54", "55-59", "60-64", "65-69", "70-74", "75-79", "80-84", "85+")</f>
        <v>40-44</v>
      </c>
      <c r="D5725" t="s">
        <v>8</v>
      </c>
    </row>
    <row r="5726" spans="1:4">
      <c r="A5726" t="s">
        <v>6</v>
      </c>
      <c r="B5726">
        <v>67</v>
      </c>
      <c r="C5726" t="str">
        <f>CHOOSE(MATCH(B5726, {20,25,30,35,40,45,50,55,60,65,70,75,80,85}, 1), "20-24", "25-29", "30-34", "35-39", "40-44", "45-49", "50-54", "55-59", "60-64", "65-69", "70-74", "75-79", "80-84", "85+")</f>
        <v>65-69</v>
      </c>
      <c r="D5726" t="s">
        <v>7</v>
      </c>
    </row>
    <row r="5727" spans="1:4">
      <c r="A5727" t="s">
        <v>6</v>
      </c>
      <c r="B5727">
        <v>35</v>
      </c>
      <c r="C5727" t="str">
        <f>CHOOSE(MATCH(B5727, {20,25,30,35,40,45,50,55,60,65,70,75,80,85}, 1), "20-24", "25-29", "30-34", "35-39", "40-44", "45-49", "50-54", "55-59", "60-64", "65-69", "70-74", "75-79", "80-84", "85+")</f>
        <v>35-39</v>
      </c>
      <c r="D5727" t="s">
        <v>7</v>
      </c>
    </row>
    <row r="5728" spans="1:4">
      <c r="A5728" t="s">
        <v>6</v>
      </c>
      <c r="B5728">
        <v>38</v>
      </c>
      <c r="C5728" t="str">
        <f>CHOOSE(MATCH(B5728, {20,25,30,35,40,45,50,55,60,65,70,75,80,85}, 1), "20-24", "25-29", "30-34", "35-39", "40-44", "45-49", "50-54", "55-59", "60-64", "65-69", "70-74", "75-79", "80-84", "85+")</f>
        <v>35-39</v>
      </c>
      <c r="D5728" t="s">
        <v>7</v>
      </c>
    </row>
    <row r="5729" spans="1:4">
      <c r="A5729" t="s">
        <v>6</v>
      </c>
      <c r="B5729">
        <v>35</v>
      </c>
      <c r="C5729" t="str">
        <f>CHOOSE(MATCH(B5729, {20,25,30,35,40,45,50,55,60,65,70,75,80,85}, 1), "20-24", "25-29", "30-34", "35-39", "40-44", "45-49", "50-54", "55-59", "60-64", "65-69", "70-74", "75-79", "80-84", "85+")</f>
        <v>35-39</v>
      </c>
      <c r="D5729" t="s">
        <v>8</v>
      </c>
    </row>
    <row r="5730" spans="1:4">
      <c r="A5730" t="s">
        <v>6</v>
      </c>
      <c r="B5730">
        <v>39</v>
      </c>
      <c r="C5730" t="str">
        <f>CHOOSE(MATCH(B5730, {20,25,30,35,40,45,50,55,60,65,70,75,80,85}, 1), "20-24", "25-29", "30-34", "35-39", "40-44", "45-49", "50-54", "55-59", "60-64", "65-69", "70-74", "75-79", "80-84", "85+")</f>
        <v>35-39</v>
      </c>
      <c r="D5730" t="s">
        <v>7</v>
      </c>
    </row>
    <row r="5731" spans="1:4">
      <c r="A5731" t="s">
        <v>6</v>
      </c>
      <c r="B5731">
        <v>56</v>
      </c>
      <c r="C5731" t="str">
        <f>CHOOSE(MATCH(B5731, {20,25,30,35,40,45,50,55,60,65,70,75,80,85}, 1), "20-24", "25-29", "30-34", "35-39", "40-44", "45-49", "50-54", "55-59", "60-64", "65-69", "70-74", "75-79", "80-84", "85+")</f>
        <v>55-59</v>
      </c>
      <c r="D5731" t="s">
        <v>8</v>
      </c>
    </row>
    <row r="5732" spans="1:4">
      <c r="A5732" t="s">
        <v>6</v>
      </c>
      <c r="B5732">
        <v>45</v>
      </c>
      <c r="C5732" t="str">
        <f>CHOOSE(MATCH(B5732, {20,25,30,35,40,45,50,55,60,65,70,75,80,85}, 1), "20-24", "25-29", "30-34", "35-39", "40-44", "45-49", "50-54", "55-59", "60-64", "65-69", "70-74", "75-79", "80-84", "85+")</f>
        <v>45-49</v>
      </c>
      <c r="D5732" t="s">
        <v>7</v>
      </c>
    </row>
    <row r="5733" spans="1:4">
      <c r="A5733" t="s">
        <v>6</v>
      </c>
      <c r="B5733">
        <v>43</v>
      </c>
      <c r="C5733" t="str">
        <f>CHOOSE(MATCH(B5733, {20,25,30,35,40,45,50,55,60,65,70,75,80,85}, 1), "20-24", "25-29", "30-34", "35-39", "40-44", "45-49", "50-54", "55-59", "60-64", "65-69", "70-74", "75-79", "80-84", "85+")</f>
        <v>40-44</v>
      </c>
      <c r="D5733" t="s">
        <v>8</v>
      </c>
    </row>
    <row r="5734" spans="1:4">
      <c r="A5734" t="s">
        <v>6</v>
      </c>
      <c r="B5734">
        <v>48</v>
      </c>
      <c r="C5734" t="str">
        <f>CHOOSE(MATCH(B5734, {20,25,30,35,40,45,50,55,60,65,70,75,80,85}, 1), "20-24", "25-29", "30-34", "35-39", "40-44", "45-49", "50-54", "55-59", "60-64", "65-69", "70-74", "75-79", "80-84", "85+")</f>
        <v>45-49</v>
      </c>
      <c r="D5734" t="s">
        <v>8</v>
      </c>
    </row>
    <row r="5735" spans="1:4">
      <c r="A5735" t="s">
        <v>6</v>
      </c>
      <c r="B5735">
        <v>47</v>
      </c>
      <c r="C5735" t="str">
        <f>CHOOSE(MATCH(B5735, {20,25,30,35,40,45,50,55,60,65,70,75,80,85}, 1), "20-24", "25-29", "30-34", "35-39", "40-44", "45-49", "50-54", "55-59", "60-64", "65-69", "70-74", "75-79", "80-84", "85+")</f>
        <v>45-49</v>
      </c>
      <c r="D5735" t="s">
        <v>8</v>
      </c>
    </row>
    <row r="5736" spans="1:4">
      <c r="A5736" t="s">
        <v>6</v>
      </c>
      <c r="B5736">
        <v>34</v>
      </c>
      <c r="C5736" t="str">
        <f>CHOOSE(MATCH(B5736, {20,25,30,35,40,45,50,55,60,65,70,75,80,85}, 1), "20-24", "25-29", "30-34", "35-39", "40-44", "45-49", "50-54", "55-59", "60-64", "65-69", "70-74", "75-79", "80-84", "85+")</f>
        <v>30-34</v>
      </c>
      <c r="D5736" t="s">
        <v>7</v>
      </c>
    </row>
    <row r="5737" spans="1:4">
      <c r="A5737" t="s">
        <v>6</v>
      </c>
      <c r="B5737">
        <v>82</v>
      </c>
      <c r="C5737" t="str">
        <f>CHOOSE(MATCH(B5737, {20,25,30,35,40,45,50,55,60,65,70,75,80,85}, 1), "20-24", "25-29", "30-34", "35-39", "40-44", "45-49", "50-54", "55-59", "60-64", "65-69", "70-74", "75-79", "80-84", "85+")</f>
        <v>80-84</v>
      </c>
      <c r="D5737" t="s">
        <v>8</v>
      </c>
    </row>
    <row r="5738" spans="1:4">
      <c r="A5738" t="s">
        <v>6</v>
      </c>
      <c r="B5738">
        <v>72</v>
      </c>
      <c r="C5738" t="str">
        <f>CHOOSE(MATCH(B5738, {20,25,30,35,40,45,50,55,60,65,70,75,80,85}, 1), "20-24", "25-29", "30-34", "35-39", "40-44", "45-49", "50-54", "55-59", "60-64", "65-69", "70-74", "75-79", "80-84", "85+")</f>
        <v>70-74</v>
      </c>
      <c r="D5738" t="s">
        <v>7</v>
      </c>
    </row>
    <row r="5739" spans="1:4">
      <c r="A5739" t="s">
        <v>6</v>
      </c>
      <c r="B5739">
        <v>55</v>
      </c>
      <c r="C5739" t="str">
        <f>CHOOSE(MATCH(B5739, {20,25,30,35,40,45,50,55,60,65,70,75,80,85}, 1), "20-24", "25-29", "30-34", "35-39", "40-44", "45-49", "50-54", "55-59", "60-64", "65-69", "70-74", "75-79", "80-84", "85+")</f>
        <v>55-59</v>
      </c>
      <c r="D5739" t="s">
        <v>7</v>
      </c>
    </row>
    <row r="5740" spans="1:4">
      <c r="A5740" t="s">
        <v>6</v>
      </c>
      <c r="B5740">
        <v>23</v>
      </c>
      <c r="C5740" t="str">
        <f>CHOOSE(MATCH(B5740, {20,25,30,35,40,45,50,55,60,65,70,75,80,85}, 1), "20-24", "25-29", "30-34", "35-39", "40-44", "45-49", "50-54", "55-59", "60-64", "65-69", "70-74", "75-79", "80-84", "85+")</f>
        <v>20-24</v>
      </c>
      <c r="D5740" t="s">
        <v>8</v>
      </c>
    </row>
    <row r="5741" spans="1:4">
      <c r="A5741" t="s">
        <v>6</v>
      </c>
      <c r="B5741">
        <v>67</v>
      </c>
      <c r="C5741" t="str">
        <f>CHOOSE(MATCH(B5741, {20,25,30,35,40,45,50,55,60,65,70,75,80,85}, 1), "20-24", "25-29", "30-34", "35-39", "40-44", "45-49", "50-54", "55-59", "60-64", "65-69", "70-74", "75-79", "80-84", "85+")</f>
        <v>65-69</v>
      </c>
      <c r="D5741" t="s">
        <v>7</v>
      </c>
    </row>
    <row r="5742" spans="1:4">
      <c r="A5742" t="s">
        <v>6</v>
      </c>
      <c r="B5742">
        <v>74</v>
      </c>
      <c r="C5742" t="str">
        <f>CHOOSE(MATCH(B5742, {20,25,30,35,40,45,50,55,60,65,70,75,80,85}, 1), "20-24", "25-29", "30-34", "35-39", "40-44", "45-49", "50-54", "55-59", "60-64", "65-69", "70-74", "75-79", "80-84", "85+")</f>
        <v>70-74</v>
      </c>
      <c r="D5742" t="s">
        <v>7</v>
      </c>
    </row>
    <row r="5743" spans="1:4">
      <c r="A5743" t="s">
        <v>6</v>
      </c>
      <c r="B5743">
        <v>35</v>
      </c>
      <c r="C5743" t="str">
        <f>CHOOSE(MATCH(B5743, {20,25,30,35,40,45,50,55,60,65,70,75,80,85}, 1), "20-24", "25-29", "30-34", "35-39", "40-44", "45-49", "50-54", "55-59", "60-64", "65-69", "70-74", "75-79", "80-84", "85+")</f>
        <v>35-39</v>
      </c>
      <c r="D5743" t="s">
        <v>7</v>
      </c>
    </row>
    <row r="5744" spans="1:4">
      <c r="A5744" t="s">
        <v>6</v>
      </c>
      <c r="B5744">
        <v>27</v>
      </c>
      <c r="C5744" t="str">
        <f>CHOOSE(MATCH(B5744, {20,25,30,35,40,45,50,55,60,65,70,75,80,85}, 1), "20-24", "25-29", "30-34", "35-39", "40-44", "45-49", "50-54", "55-59", "60-64", "65-69", "70-74", "75-79", "80-84", "85+")</f>
        <v>25-29</v>
      </c>
      <c r="D5744" t="s">
        <v>7</v>
      </c>
    </row>
    <row r="5745" spans="1:4">
      <c r="A5745" t="s">
        <v>6</v>
      </c>
      <c r="B5745">
        <v>47</v>
      </c>
      <c r="C5745" t="str">
        <f>CHOOSE(MATCH(B5745, {20,25,30,35,40,45,50,55,60,65,70,75,80,85}, 1), "20-24", "25-29", "30-34", "35-39", "40-44", "45-49", "50-54", "55-59", "60-64", "65-69", "70-74", "75-79", "80-84", "85+")</f>
        <v>45-49</v>
      </c>
      <c r="D5745" t="s">
        <v>7</v>
      </c>
    </row>
    <row r="5746" spans="1:4">
      <c r="A5746" t="s">
        <v>6</v>
      </c>
      <c r="B5746">
        <v>57</v>
      </c>
      <c r="C5746" t="str">
        <f>CHOOSE(MATCH(B5746, {20,25,30,35,40,45,50,55,60,65,70,75,80,85}, 1), "20-24", "25-29", "30-34", "35-39", "40-44", "45-49", "50-54", "55-59", "60-64", "65-69", "70-74", "75-79", "80-84", "85+")</f>
        <v>55-59</v>
      </c>
      <c r="D5746" t="s">
        <v>7</v>
      </c>
    </row>
    <row r="5747" spans="1:4">
      <c r="A5747" t="s">
        <v>6</v>
      </c>
      <c r="B5747">
        <v>77</v>
      </c>
      <c r="C5747" t="str">
        <f>CHOOSE(MATCH(B5747, {20,25,30,35,40,45,50,55,60,65,70,75,80,85}, 1), "20-24", "25-29", "30-34", "35-39", "40-44", "45-49", "50-54", "55-59", "60-64", "65-69", "70-74", "75-79", "80-84", "85+")</f>
        <v>75-79</v>
      </c>
      <c r="D5747" t="s">
        <v>7</v>
      </c>
    </row>
    <row r="5748" spans="1:4">
      <c r="A5748" t="s">
        <v>6</v>
      </c>
      <c r="B5748">
        <v>38</v>
      </c>
      <c r="C5748" t="str">
        <f>CHOOSE(MATCH(B5748, {20,25,30,35,40,45,50,55,60,65,70,75,80,85}, 1), "20-24", "25-29", "30-34", "35-39", "40-44", "45-49", "50-54", "55-59", "60-64", "65-69", "70-74", "75-79", "80-84", "85+")</f>
        <v>35-39</v>
      </c>
      <c r="D5748" t="s">
        <v>8</v>
      </c>
    </row>
    <row r="5749" spans="1:4">
      <c r="A5749" t="s">
        <v>6</v>
      </c>
      <c r="B5749">
        <v>28</v>
      </c>
      <c r="C5749" t="str">
        <f>CHOOSE(MATCH(B5749, {20,25,30,35,40,45,50,55,60,65,70,75,80,85}, 1), "20-24", "25-29", "30-34", "35-39", "40-44", "45-49", "50-54", "55-59", "60-64", "65-69", "70-74", "75-79", "80-84", "85+")</f>
        <v>25-29</v>
      </c>
      <c r="D5749" t="s">
        <v>7</v>
      </c>
    </row>
    <row r="5750" spans="1:4">
      <c r="A5750" t="s">
        <v>6</v>
      </c>
      <c r="B5750">
        <v>74</v>
      </c>
      <c r="C5750" t="str">
        <f>CHOOSE(MATCH(B5750, {20,25,30,35,40,45,50,55,60,65,70,75,80,85}, 1), "20-24", "25-29", "30-34", "35-39", "40-44", "45-49", "50-54", "55-59", "60-64", "65-69", "70-74", "75-79", "80-84", "85+")</f>
        <v>70-74</v>
      </c>
      <c r="D5750" t="s">
        <v>7</v>
      </c>
    </row>
    <row r="5751" spans="1:4">
      <c r="A5751" t="s">
        <v>6</v>
      </c>
      <c r="B5751">
        <v>65</v>
      </c>
      <c r="C5751" t="str">
        <f>CHOOSE(MATCH(B5751, {20,25,30,35,40,45,50,55,60,65,70,75,80,85}, 1), "20-24", "25-29", "30-34", "35-39", "40-44", "45-49", "50-54", "55-59", "60-64", "65-69", "70-74", "75-79", "80-84", "85+")</f>
        <v>65-69</v>
      </c>
      <c r="D5751" t="s">
        <v>7</v>
      </c>
    </row>
    <row r="5752" spans="1:4">
      <c r="A5752" t="s">
        <v>6</v>
      </c>
      <c r="B5752">
        <v>41</v>
      </c>
      <c r="C5752" t="str">
        <f>CHOOSE(MATCH(B5752, {20,25,30,35,40,45,50,55,60,65,70,75,80,85}, 1), "20-24", "25-29", "30-34", "35-39", "40-44", "45-49", "50-54", "55-59", "60-64", "65-69", "70-74", "75-79", "80-84", "85+")</f>
        <v>40-44</v>
      </c>
      <c r="D5752" t="s">
        <v>7</v>
      </c>
    </row>
    <row r="5753" spans="1:4">
      <c r="A5753" t="s">
        <v>6</v>
      </c>
      <c r="B5753">
        <v>59</v>
      </c>
      <c r="C5753" t="str">
        <f>CHOOSE(MATCH(B5753, {20,25,30,35,40,45,50,55,60,65,70,75,80,85}, 1), "20-24", "25-29", "30-34", "35-39", "40-44", "45-49", "50-54", "55-59", "60-64", "65-69", "70-74", "75-79", "80-84", "85+")</f>
        <v>55-59</v>
      </c>
      <c r="D5753" t="s">
        <v>8</v>
      </c>
    </row>
    <row r="5754" spans="1:4">
      <c r="A5754" t="s">
        <v>6</v>
      </c>
      <c r="B5754">
        <v>28</v>
      </c>
      <c r="C5754" t="str">
        <f>CHOOSE(MATCH(B5754, {20,25,30,35,40,45,50,55,60,65,70,75,80,85}, 1), "20-24", "25-29", "30-34", "35-39", "40-44", "45-49", "50-54", "55-59", "60-64", "65-69", "70-74", "75-79", "80-84", "85+")</f>
        <v>25-29</v>
      </c>
      <c r="D5754" t="s">
        <v>8</v>
      </c>
    </row>
    <row r="5755" spans="1:4">
      <c r="A5755" t="s">
        <v>6</v>
      </c>
      <c r="B5755">
        <v>29</v>
      </c>
      <c r="C5755" t="str">
        <f>CHOOSE(MATCH(B5755, {20,25,30,35,40,45,50,55,60,65,70,75,80,85}, 1), "20-24", "25-29", "30-34", "35-39", "40-44", "45-49", "50-54", "55-59", "60-64", "65-69", "70-74", "75-79", "80-84", "85+")</f>
        <v>25-29</v>
      </c>
      <c r="D5755" t="s">
        <v>7</v>
      </c>
    </row>
    <row r="5756" spans="1:4">
      <c r="A5756" t="s">
        <v>6</v>
      </c>
      <c r="B5756">
        <v>76</v>
      </c>
      <c r="C5756" t="str">
        <f>CHOOSE(MATCH(B5756, {20,25,30,35,40,45,50,55,60,65,70,75,80,85}, 1), "20-24", "25-29", "30-34", "35-39", "40-44", "45-49", "50-54", "55-59", "60-64", "65-69", "70-74", "75-79", "80-84", "85+")</f>
        <v>75-79</v>
      </c>
      <c r="D5756" t="s">
        <v>7</v>
      </c>
    </row>
    <row r="5757" spans="1:4">
      <c r="A5757" t="s">
        <v>6</v>
      </c>
      <c r="B5757">
        <v>63</v>
      </c>
      <c r="C5757" t="str">
        <f>CHOOSE(MATCH(B5757, {20,25,30,35,40,45,50,55,60,65,70,75,80,85}, 1), "20-24", "25-29", "30-34", "35-39", "40-44", "45-49", "50-54", "55-59", "60-64", "65-69", "70-74", "75-79", "80-84", "85+")</f>
        <v>60-64</v>
      </c>
      <c r="D5757" t="s">
        <v>7</v>
      </c>
    </row>
    <row r="5758" spans="1:4">
      <c r="A5758" t="s">
        <v>6</v>
      </c>
      <c r="B5758">
        <v>65</v>
      </c>
      <c r="C5758" t="str">
        <f>CHOOSE(MATCH(B5758, {20,25,30,35,40,45,50,55,60,65,70,75,80,85}, 1), "20-24", "25-29", "30-34", "35-39", "40-44", "45-49", "50-54", "55-59", "60-64", "65-69", "70-74", "75-79", "80-84", "85+")</f>
        <v>65-69</v>
      </c>
      <c r="D5758" t="s">
        <v>8</v>
      </c>
    </row>
    <row r="5759" spans="1:4">
      <c r="A5759" t="s">
        <v>6</v>
      </c>
      <c r="B5759">
        <v>29</v>
      </c>
      <c r="C5759" t="str">
        <f>CHOOSE(MATCH(B5759, {20,25,30,35,40,45,50,55,60,65,70,75,80,85}, 1), "20-24", "25-29", "30-34", "35-39", "40-44", "45-49", "50-54", "55-59", "60-64", "65-69", "70-74", "75-79", "80-84", "85+")</f>
        <v>25-29</v>
      </c>
      <c r="D5759" t="s">
        <v>8</v>
      </c>
    </row>
    <row r="5760" spans="1:4">
      <c r="A5760" t="s">
        <v>6</v>
      </c>
      <c r="B5760">
        <v>29</v>
      </c>
      <c r="C5760" t="str">
        <f>CHOOSE(MATCH(B5760, {20,25,30,35,40,45,50,55,60,65,70,75,80,85}, 1), "20-24", "25-29", "30-34", "35-39", "40-44", "45-49", "50-54", "55-59", "60-64", "65-69", "70-74", "75-79", "80-84", "85+")</f>
        <v>25-29</v>
      </c>
      <c r="D5760" t="s">
        <v>8</v>
      </c>
    </row>
    <row r="5761" spans="1:4">
      <c r="A5761" t="s">
        <v>6</v>
      </c>
      <c r="B5761">
        <v>39</v>
      </c>
      <c r="C5761" t="str">
        <f>CHOOSE(MATCH(B5761, {20,25,30,35,40,45,50,55,60,65,70,75,80,85}, 1), "20-24", "25-29", "30-34", "35-39", "40-44", "45-49", "50-54", "55-59", "60-64", "65-69", "70-74", "75-79", "80-84", "85+")</f>
        <v>35-39</v>
      </c>
      <c r="D5761" t="s">
        <v>7</v>
      </c>
    </row>
    <row r="5762" spans="1:4">
      <c r="A5762" t="s">
        <v>6</v>
      </c>
      <c r="B5762">
        <v>32</v>
      </c>
      <c r="C5762" t="str">
        <f>CHOOSE(MATCH(B5762, {20,25,30,35,40,45,50,55,60,65,70,75,80,85}, 1), "20-24", "25-29", "30-34", "35-39", "40-44", "45-49", "50-54", "55-59", "60-64", "65-69", "70-74", "75-79", "80-84", "85+")</f>
        <v>30-34</v>
      </c>
      <c r="D5762" t="s">
        <v>7</v>
      </c>
    </row>
    <row r="5763" spans="1:4">
      <c r="A5763" t="s">
        <v>6</v>
      </c>
      <c r="B5763">
        <v>33</v>
      </c>
      <c r="C5763" t="str">
        <f>CHOOSE(MATCH(B5763, {20,25,30,35,40,45,50,55,60,65,70,75,80,85}, 1), "20-24", "25-29", "30-34", "35-39", "40-44", "45-49", "50-54", "55-59", "60-64", "65-69", "70-74", "75-79", "80-84", "85+")</f>
        <v>30-34</v>
      </c>
      <c r="D5763" t="s">
        <v>7</v>
      </c>
    </row>
    <row r="5764" spans="1:4">
      <c r="A5764" t="s">
        <v>6</v>
      </c>
      <c r="B5764">
        <v>49</v>
      </c>
      <c r="C5764" t="str">
        <f>CHOOSE(MATCH(B5764, {20,25,30,35,40,45,50,55,60,65,70,75,80,85}, 1), "20-24", "25-29", "30-34", "35-39", "40-44", "45-49", "50-54", "55-59", "60-64", "65-69", "70-74", "75-79", "80-84", "85+")</f>
        <v>45-49</v>
      </c>
      <c r="D5764" t="s">
        <v>8</v>
      </c>
    </row>
    <row r="5765" spans="1:4">
      <c r="A5765" t="s">
        <v>6</v>
      </c>
      <c r="B5765">
        <v>48</v>
      </c>
      <c r="C5765" t="str">
        <f>CHOOSE(MATCH(B5765, {20,25,30,35,40,45,50,55,60,65,70,75,80,85}, 1), "20-24", "25-29", "30-34", "35-39", "40-44", "45-49", "50-54", "55-59", "60-64", "65-69", "70-74", "75-79", "80-84", "85+")</f>
        <v>45-49</v>
      </c>
      <c r="D5765" t="s">
        <v>7</v>
      </c>
    </row>
    <row r="5766" spans="1:4">
      <c r="A5766" t="s">
        <v>6</v>
      </c>
      <c r="B5766">
        <v>37</v>
      </c>
      <c r="C5766" t="str">
        <f>CHOOSE(MATCH(B5766, {20,25,30,35,40,45,50,55,60,65,70,75,80,85}, 1), "20-24", "25-29", "30-34", "35-39", "40-44", "45-49", "50-54", "55-59", "60-64", "65-69", "70-74", "75-79", "80-84", "85+")</f>
        <v>35-39</v>
      </c>
      <c r="D5766" t="s">
        <v>7</v>
      </c>
    </row>
    <row r="5767" spans="1:4">
      <c r="A5767" t="s">
        <v>6</v>
      </c>
      <c r="B5767">
        <v>75</v>
      </c>
      <c r="C5767" t="str">
        <f>CHOOSE(MATCH(B5767, {20,25,30,35,40,45,50,55,60,65,70,75,80,85}, 1), "20-24", "25-29", "30-34", "35-39", "40-44", "45-49", "50-54", "55-59", "60-64", "65-69", "70-74", "75-79", "80-84", "85+")</f>
        <v>75-79</v>
      </c>
      <c r="D5767" t="s">
        <v>8</v>
      </c>
    </row>
    <row r="5768" spans="1:4">
      <c r="A5768" t="s">
        <v>6</v>
      </c>
      <c r="B5768">
        <v>30</v>
      </c>
      <c r="C5768" t="str">
        <f>CHOOSE(MATCH(B5768, {20,25,30,35,40,45,50,55,60,65,70,75,80,85}, 1), "20-24", "25-29", "30-34", "35-39", "40-44", "45-49", "50-54", "55-59", "60-64", "65-69", "70-74", "75-79", "80-84", "85+")</f>
        <v>30-34</v>
      </c>
      <c r="D5768" t="s">
        <v>7</v>
      </c>
    </row>
    <row r="5769" spans="1:4">
      <c r="A5769" t="s">
        <v>6</v>
      </c>
      <c r="B5769">
        <v>62</v>
      </c>
      <c r="C5769" t="str">
        <f>CHOOSE(MATCH(B5769, {20,25,30,35,40,45,50,55,60,65,70,75,80,85}, 1), "20-24", "25-29", "30-34", "35-39", "40-44", "45-49", "50-54", "55-59", "60-64", "65-69", "70-74", "75-79", "80-84", "85+")</f>
        <v>60-64</v>
      </c>
      <c r="D5769" t="s">
        <v>7</v>
      </c>
    </row>
    <row r="5770" spans="1:4">
      <c r="A5770" t="s">
        <v>6</v>
      </c>
      <c r="B5770">
        <v>72</v>
      </c>
      <c r="C5770" t="str">
        <f>CHOOSE(MATCH(B5770, {20,25,30,35,40,45,50,55,60,65,70,75,80,85}, 1), "20-24", "25-29", "30-34", "35-39", "40-44", "45-49", "50-54", "55-59", "60-64", "65-69", "70-74", "75-79", "80-84", "85+")</f>
        <v>70-74</v>
      </c>
      <c r="D5770" t="s">
        <v>8</v>
      </c>
    </row>
    <row r="5771" spans="1:4">
      <c r="A5771" t="s">
        <v>6</v>
      </c>
      <c r="B5771">
        <v>24</v>
      </c>
      <c r="C5771" t="str">
        <f>CHOOSE(MATCH(B5771, {20,25,30,35,40,45,50,55,60,65,70,75,80,85}, 1), "20-24", "25-29", "30-34", "35-39", "40-44", "45-49", "50-54", "55-59", "60-64", "65-69", "70-74", "75-79", "80-84", "85+")</f>
        <v>20-24</v>
      </c>
      <c r="D5771" t="s">
        <v>7</v>
      </c>
    </row>
    <row r="5772" spans="1:4">
      <c r="A5772" t="s">
        <v>6</v>
      </c>
      <c r="B5772">
        <v>32</v>
      </c>
      <c r="C5772" t="str">
        <f>CHOOSE(MATCH(B5772, {20,25,30,35,40,45,50,55,60,65,70,75,80,85}, 1), "20-24", "25-29", "30-34", "35-39", "40-44", "45-49", "50-54", "55-59", "60-64", "65-69", "70-74", "75-79", "80-84", "85+")</f>
        <v>30-34</v>
      </c>
      <c r="D5772" t="s">
        <v>7</v>
      </c>
    </row>
    <row r="5773" spans="1:4">
      <c r="A5773" t="s">
        <v>6</v>
      </c>
      <c r="B5773">
        <v>65</v>
      </c>
      <c r="C5773" t="str">
        <f>CHOOSE(MATCH(B5773, {20,25,30,35,40,45,50,55,60,65,70,75,80,85}, 1), "20-24", "25-29", "30-34", "35-39", "40-44", "45-49", "50-54", "55-59", "60-64", "65-69", "70-74", "75-79", "80-84", "85+")</f>
        <v>65-69</v>
      </c>
      <c r="D5773" t="s">
        <v>7</v>
      </c>
    </row>
    <row r="5774" spans="1:4">
      <c r="A5774" t="s">
        <v>6</v>
      </c>
      <c r="B5774">
        <v>61</v>
      </c>
      <c r="C5774" t="str">
        <f>CHOOSE(MATCH(B5774, {20,25,30,35,40,45,50,55,60,65,70,75,80,85}, 1), "20-24", "25-29", "30-34", "35-39", "40-44", "45-49", "50-54", "55-59", "60-64", "65-69", "70-74", "75-79", "80-84", "85+")</f>
        <v>60-64</v>
      </c>
      <c r="D5774" t="s">
        <v>8</v>
      </c>
    </row>
    <row r="5775" spans="1:4">
      <c r="A5775" t="s">
        <v>6</v>
      </c>
      <c r="B5775">
        <v>67</v>
      </c>
      <c r="C5775" t="str">
        <f>CHOOSE(MATCH(B5775, {20,25,30,35,40,45,50,55,60,65,70,75,80,85}, 1), "20-24", "25-29", "30-34", "35-39", "40-44", "45-49", "50-54", "55-59", "60-64", "65-69", "70-74", "75-79", "80-84", "85+")</f>
        <v>65-69</v>
      </c>
      <c r="D5775" t="s">
        <v>8</v>
      </c>
    </row>
    <row r="5776" spans="1:4">
      <c r="A5776" t="s">
        <v>6</v>
      </c>
      <c r="B5776">
        <v>34</v>
      </c>
      <c r="C5776" t="str">
        <f>CHOOSE(MATCH(B5776, {20,25,30,35,40,45,50,55,60,65,70,75,80,85}, 1), "20-24", "25-29", "30-34", "35-39", "40-44", "45-49", "50-54", "55-59", "60-64", "65-69", "70-74", "75-79", "80-84", "85+")</f>
        <v>30-34</v>
      </c>
      <c r="D5776" t="s">
        <v>8</v>
      </c>
    </row>
    <row r="5777" spans="1:4">
      <c r="A5777" t="s">
        <v>6</v>
      </c>
      <c r="B5777">
        <v>65</v>
      </c>
      <c r="C5777" t="str">
        <f>CHOOSE(MATCH(B5777, {20,25,30,35,40,45,50,55,60,65,70,75,80,85}, 1), "20-24", "25-29", "30-34", "35-39", "40-44", "45-49", "50-54", "55-59", "60-64", "65-69", "70-74", "75-79", "80-84", "85+")</f>
        <v>65-69</v>
      </c>
      <c r="D5777" t="s">
        <v>8</v>
      </c>
    </row>
    <row r="5778" spans="1:4">
      <c r="A5778" t="s">
        <v>6</v>
      </c>
      <c r="B5778">
        <v>37</v>
      </c>
      <c r="C5778" t="str">
        <f>CHOOSE(MATCH(B5778, {20,25,30,35,40,45,50,55,60,65,70,75,80,85}, 1), "20-24", "25-29", "30-34", "35-39", "40-44", "45-49", "50-54", "55-59", "60-64", "65-69", "70-74", "75-79", "80-84", "85+")</f>
        <v>35-39</v>
      </c>
      <c r="D5778" t="s">
        <v>8</v>
      </c>
    </row>
    <row r="5779" spans="1:4">
      <c r="A5779" t="s">
        <v>6</v>
      </c>
      <c r="B5779">
        <v>27</v>
      </c>
      <c r="C5779" t="str">
        <f>CHOOSE(MATCH(B5779, {20,25,30,35,40,45,50,55,60,65,70,75,80,85}, 1), "20-24", "25-29", "30-34", "35-39", "40-44", "45-49", "50-54", "55-59", "60-64", "65-69", "70-74", "75-79", "80-84", "85+")</f>
        <v>25-29</v>
      </c>
      <c r="D5779" t="s">
        <v>7</v>
      </c>
    </row>
    <row r="5780" spans="1:4">
      <c r="A5780" t="s">
        <v>6</v>
      </c>
      <c r="B5780">
        <v>42</v>
      </c>
      <c r="C5780" t="str">
        <f>CHOOSE(MATCH(B5780, {20,25,30,35,40,45,50,55,60,65,70,75,80,85}, 1), "20-24", "25-29", "30-34", "35-39", "40-44", "45-49", "50-54", "55-59", "60-64", "65-69", "70-74", "75-79", "80-84", "85+")</f>
        <v>40-44</v>
      </c>
      <c r="D5780" t="s">
        <v>7</v>
      </c>
    </row>
    <row r="5781" spans="1:4">
      <c r="A5781" t="s">
        <v>6</v>
      </c>
      <c r="B5781">
        <v>38</v>
      </c>
      <c r="C5781" t="str">
        <f>CHOOSE(MATCH(B5781, {20,25,30,35,40,45,50,55,60,65,70,75,80,85}, 1), "20-24", "25-29", "30-34", "35-39", "40-44", "45-49", "50-54", "55-59", "60-64", "65-69", "70-74", "75-79", "80-84", "85+")</f>
        <v>35-39</v>
      </c>
      <c r="D5781" t="s">
        <v>7</v>
      </c>
    </row>
    <row r="5782" spans="1:4">
      <c r="A5782" t="s">
        <v>6</v>
      </c>
      <c r="B5782">
        <v>41</v>
      </c>
      <c r="C5782" t="str">
        <f>CHOOSE(MATCH(B5782, {20,25,30,35,40,45,50,55,60,65,70,75,80,85}, 1), "20-24", "25-29", "30-34", "35-39", "40-44", "45-49", "50-54", "55-59", "60-64", "65-69", "70-74", "75-79", "80-84", "85+")</f>
        <v>40-44</v>
      </c>
      <c r="D5782" t="s">
        <v>8</v>
      </c>
    </row>
    <row r="5783" spans="1:4">
      <c r="A5783" t="s">
        <v>6</v>
      </c>
      <c r="B5783">
        <v>56</v>
      </c>
      <c r="C5783" t="str">
        <f>CHOOSE(MATCH(B5783, {20,25,30,35,40,45,50,55,60,65,70,75,80,85}, 1), "20-24", "25-29", "30-34", "35-39", "40-44", "45-49", "50-54", "55-59", "60-64", "65-69", "70-74", "75-79", "80-84", "85+")</f>
        <v>55-59</v>
      </c>
      <c r="D5783" t="s">
        <v>7</v>
      </c>
    </row>
    <row r="5784" spans="1:4">
      <c r="A5784" t="s">
        <v>6</v>
      </c>
      <c r="B5784">
        <v>45</v>
      </c>
      <c r="C5784" t="str">
        <f>CHOOSE(MATCH(B5784, {20,25,30,35,40,45,50,55,60,65,70,75,80,85}, 1), "20-24", "25-29", "30-34", "35-39", "40-44", "45-49", "50-54", "55-59", "60-64", "65-69", "70-74", "75-79", "80-84", "85+")</f>
        <v>45-49</v>
      </c>
      <c r="D5784" t="s">
        <v>7</v>
      </c>
    </row>
    <row r="5785" spans="1:4">
      <c r="A5785" t="s">
        <v>6</v>
      </c>
      <c r="B5785">
        <v>33</v>
      </c>
      <c r="C5785" t="str">
        <f>CHOOSE(MATCH(B5785, {20,25,30,35,40,45,50,55,60,65,70,75,80,85}, 1), "20-24", "25-29", "30-34", "35-39", "40-44", "45-49", "50-54", "55-59", "60-64", "65-69", "70-74", "75-79", "80-84", "85+")</f>
        <v>30-34</v>
      </c>
      <c r="D5785" t="s">
        <v>7</v>
      </c>
    </row>
    <row r="5786" spans="1:4">
      <c r="A5786" t="s">
        <v>6</v>
      </c>
      <c r="B5786">
        <v>29</v>
      </c>
      <c r="C5786" t="str">
        <f>CHOOSE(MATCH(B5786, {20,25,30,35,40,45,50,55,60,65,70,75,80,85}, 1), "20-24", "25-29", "30-34", "35-39", "40-44", "45-49", "50-54", "55-59", "60-64", "65-69", "70-74", "75-79", "80-84", "85+")</f>
        <v>25-29</v>
      </c>
      <c r="D5786" t="s">
        <v>8</v>
      </c>
    </row>
    <row r="5787" spans="1:4">
      <c r="A5787" t="s">
        <v>6</v>
      </c>
      <c r="B5787">
        <v>25</v>
      </c>
      <c r="C5787" t="str">
        <f>CHOOSE(MATCH(B5787, {20,25,30,35,40,45,50,55,60,65,70,75,80,85}, 1), "20-24", "25-29", "30-34", "35-39", "40-44", "45-49", "50-54", "55-59", "60-64", "65-69", "70-74", "75-79", "80-84", "85+")</f>
        <v>25-29</v>
      </c>
      <c r="D5787" t="s">
        <v>8</v>
      </c>
    </row>
    <row r="5788" spans="1:4">
      <c r="A5788" t="s">
        <v>6</v>
      </c>
      <c r="B5788">
        <v>71</v>
      </c>
      <c r="C5788" t="str">
        <f>CHOOSE(MATCH(B5788, {20,25,30,35,40,45,50,55,60,65,70,75,80,85}, 1), "20-24", "25-29", "30-34", "35-39", "40-44", "45-49", "50-54", "55-59", "60-64", "65-69", "70-74", "75-79", "80-84", "85+")</f>
        <v>70-74</v>
      </c>
      <c r="D5788" t="s">
        <v>8</v>
      </c>
    </row>
    <row r="5789" spans="1:4">
      <c r="A5789" t="s">
        <v>6</v>
      </c>
      <c r="B5789">
        <v>63</v>
      </c>
      <c r="C5789" t="str">
        <f>CHOOSE(MATCH(B5789, {20,25,30,35,40,45,50,55,60,65,70,75,80,85}, 1), "20-24", "25-29", "30-34", "35-39", "40-44", "45-49", "50-54", "55-59", "60-64", "65-69", "70-74", "75-79", "80-84", "85+")</f>
        <v>60-64</v>
      </c>
      <c r="D5789" t="s">
        <v>7</v>
      </c>
    </row>
    <row r="5790" spans="1:4">
      <c r="A5790" t="s">
        <v>6</v>
      </c>
      <c r="B5790">
        <v>71</v>
      </c>
      <c r="C5790" t="str">
        <f>CHOOSE(MATCH(B5790, {20,25,30,35,40,45,50,55,60,65,70,75,80,85}, 1), "20-24", "25-29", "30-34", "35-39", "40-44", "45-49", "50-54", "55-59", "60-64", "65-69", "70-74", "75-79", "80-84", "85+")</f>
        <v>70-74</v>
      </c>
      <c r="D5790" t="s">
        <v>7</v>
      </c>
    </row>
    <row r="5791" spans="1:4">
      <c r="A5791" t="s">
        <v>6</v>
      </c>
      <c r="B5791">
        <v>54</v>
      </c>
      <c r="C5791" t="str">
        <f>CHOOSE(MATCH(B5791, {20,25,30,35,40,45,50,55,60,65,70,75,80,85}, 1), "20-24", "25-29", "30-34", "35-39", "40-44", "45-49", "50-54", "55-59", "60-64", "65-69", "70-74", "75-79", "80-84", "85+")</f>
        <v>50-54</v>
      </c>
      <c r="D5791" t="s">
        <v>7</v>
      </c>
    </row>
    <row r="5792" spans="1:4">
      <c r="A5792" t="s">
        <v>6</v>
      </c>
      <c r="B5792">
        <v>41</v>
      </c>
      <c r="C5792" t="str">
        <f>CHOOSE(MATCH(B5792, {20,25,30,35,40,45,50,55,60,65,70,75,80,85}, 1), "20-24", "25-29", "30-34", "35-39", "40-44", "45-49", "50-54", "55-59", "60-64", "65-69", "70-74", "75-79", "80-84", "85+")</f>
        <v>40-44</v>
      </c>
      <c r="D5792" t="s">
        <v>8</v>
      </c>
    </row>
    <row r="5793" spans="1:4">
      <c r="A5793" t="s">
        <v>6</v>
      </c>
      <c r="B5793">
        <v>50</v>
      </c>
      <c r="C5793" t="str">
        <f>CHOOSE(MATCH(B5793, {20,25,30,35,40,45,50,55,60,65,70,75,80,85}, 1), "20-24", "25-29", "30-34", "35-39", "40-44", "45-49", "50-54", "55-59", "60-64", "65-69", "70-74", "75-79", "80-84", "85+")</f>
        <v>50-54</v>
      </c>
      <c r="D5793" t="s">
        <v>7</v>
      </c>
    </row>
    <row r="5794" spans="1:4">
      <c r="A5794" t="s">
        <v>6</v>
      </c>
      <c r="B5794">
        <v>35</v>
      </c>
      <c r="C5794" t="str">
        <f>CHOOSE(MATCH(B5794, {20,25,30,35,40,45,50,55,60,65,70,75,80,85}, 1), "20-24", "25-29", "30-34", "35-39", "40-44", "45-49", "50-54", "55-59", "60-64", "65-69", "70-74", "75-79", "80-84", "85+")</f>
        <v>35-39</v>
      </c>
      <c r="D5794" t="s">
        <v>7</v>
      </c>
    </row>
    <row r="5795" spans="1:4">
      <c r="A5795" t="s">
        <v>6</v>
      </c>
      <c r="B5795">
        <v>38</v>
      </c>
      <c r="C5795" t="str">
        <f>CHOOSE(MATCH(B5795, {20,25,30,35,40,45,50,55,60,65,70,75,80,85}, 1), "20-24", "25-29", "30-34", "35-39", "40-44", "45-49", "50-54", "55-59", "60-64", "65-69", "70-74", "75-79", "80-84", "85+")</f>
        <v>35-39</v>
      </c>
      <c r="D5795" t="s">
        <v>8</v>
      </c>
    </row>
    <row r="5796" spans="1:4">
      <c r="A5796" t="s">
        <v>6</v>
      </c>
      <c r="B5796">
        <v>25</v>
      </c>
      <c r="C5796" t="str">
        <f>CHOOSE(MATCH(B5796, {20,25,30,35,40,45,50,55,60,65,70,75,80,85}, 1), "20-24", "25-29", "30-34", "35-39", "40-44", "45-49", "50-54", "55-59", "60-64", "65-69", "70-74", "75-79", "80-84", "85+")</f>
        <v>25-29</v>
      </c>
      <c r="D5796" t="s">
        <v>7</v>
      </c>
    </row>
    <row r="5797" spans="1:4">
      <c r="A5797" t="s">
        <v>6</v>
      </c>
      <c r="B5797">
        <v>53</v>
      </c>
      <c r="C5797" t="str">
        <f>CHOOSE(MATCH(B5797, {20,25,30,35,40,45,50,55,60,65,70,75,80,85}, 1), "20-24", "25-29", "30-34", "35-39", "40-44", "45-49", "50-54", "55-59", "60-64", "65-69", "70-74", "75-79", "80-84", "85+")</f>
        <v>50-54</v>
      </c>
      <c r="D5797" t="s">
        <v>7</v>
      </c>
    </row>
    <row r="5798" spans="1:4">
      <c r="A5798" t="s">
        <v>6</v>
      </c>
      <c r="B5798">
        <v>33</v>
      </c>
      <c r="C5798" t="str">
        <f>CHOOSE(MATCH(B5798, {20,25,30,35,40,45,50,55,60,65,70,75,80,85}, 1), "20-24", "25-29", "30-34", "35-39", "40-44", "45-49", "50-54", "55-59", "60-64", "65-69", "70-74", "75-79", "80-84", "85+")</f>
        <v>30-34</v>
      </c>
      <c r="D5798" t="s">
        <v>7</v>
      </c>
    </row>
    <row r="5799" spans="1:4">
      <c r="A5799" t="s">
        <v>6</v>
      </c>
      <c r="B5799">
        <v>31</v>
      </c>
      <c r="C5799" t="str">
        <f>CHOOSE(MATCH(B5799, {20,25,30,35,40,45,50,55,60,65,70,75,80,85}, 1), "20-24", "25-29", "30-34", "35-39", "40-44", "45-49", "50-54", "55-59", "60-64", "65-69", "70-74", "75-79", "80-84", "85+")</f>
        <v>30-34</v>
      </c>
      <c r="D5799" t="s">
        <v>8</v>
      </c>
    </row>
    <row r="5800" spans="1:4">
      <c r="A5800" t="s">
        <v>6</v>
      </c>
      <c r="B5800">
        <v>20</v>
      </c>
      <c r="C5800" t="str">
        <f>CHOOSE(MATCH(B5800, {20,25,30,35,40,45,50,55,60,65,70,75,80,85}, 1), "20-24", "25-29", "30-34", "35-39", "40-44", "45-49", "50-54", "55-59", "60-64", "65-69", "70-74", "75-79", "80-84", "85+")</f>
        <v>20-24</v>
      </c>
      <c r="D5800" t="s">
        <v>8</v>
      </c>
    </row>
    <row r="5801" spans="1:4">
      <c r="A5801" t="s">
        <v>6</v>
      </c>
      <c r="B5801">
        <v>28</v>
      </c>
      <c r="C5801" t="str">
        <f>CHOOSE(MATCH(B5801, {20,25,30,35,40,45,50,55,60,65,70,75,80,85}, 1), "20-24", "25-29", "30-34", "35-39", "40-44", "45-49", "50-54", "55-59", "60-64", "65-69", "70-74", "75-79", "80-84", "85+")</f>
        <v>25-29</v>
      </c>
      <c r="D5801" t="s">
        <v>7</v>
      </c>
    </row>
    <row r="5802" spans="1:4">
      <c r="A5802" t="s">
        <v>6</v>
      </c>
      <c r="B5802">
        <v>47</v>
      </c>
      <c r="C5802" t="str">
        <f>CHOOSE(MATCH(B5802, {20,25,30,35,40,45,50,55,60,65,70,75,80,85}, 1), "20-24", "25-29", "30-34", "35-39", "40-44", "45-49", "50-54", "55-59", "60-64", "65-69", "70-74", "75-79", "80-84", "85+")</f>
        <v>45-49</v>
      </c>
      <c r="D5802" t="s">
        <v>7</v>
      </c>
    </row>
    <row r="5803" spans="1:4">
      <c r="A5803" t="s">
        <v>6</v>
      </c>
      <c r="B5803">
        <v>34</v>
      </c>
      <c r="C5803" t="str">
        <f>CHOOSE(MATCH(B5803, {20,25,30,35,40,45,50,55,60,65,70,75,80,85}, 1), "20-24", "25-29", "30-34", "35-39", "40-44", "45-49", "50-54", "55-59", "60-64", "65-69", "70-74", "75-79", "80-84", "85+")</f>
        <v>30-34</v>
      </c>
      <c r="D5803" t="s">
        <v>7</v>
      </c>
    </row>
    <row r="5804" spans="1:4">
      <c r="A5804" t="s">
        <v>6</v>
      </c>
      <c r="B5804">
        <v>46</v>
      </c>
      <c r="C5804" t="str">
        <f>CHOOSE(MATCH(B5804, {20,25,30,35,40,45,50,55,60,65,70,75,80,85}, 1), "20-24", "25-29", "30-34", "35-39", "40-44", "45-49", "50-54", "55-59", "60-64", "65-69", "70-74", "75-79", "80-84", "85+")</f>
        <v>45-49</v>
      </c>
      <c r="D5804" t="s">
        <v>7</v>
      </c>
    </row>
    <row r="5805" spans="1:4">
      <c r="A5805" t="s">
        <v>6</v>
      </c>
      <c r="B5805">
        <v>65</v>
      </c>
      <c r="C5805" t="str">
        <f>CHOOSE(MATCH(B5805, {20,25,30,35,40,45,50,55,60,65,70,75,80,85}, 1), "20-24", "25-29", "30-34", "35-39", "40-44", "45-49", "50-54", "55-59", "60-64", "65-69", "70-74", "75-79", "80-84", "85+")</f>
        <v>65-69</v>
      </c>
      <c r="D5805" t="s">
        <v>7</v>
      </c>
    </row>
    <row r="5806" spans="1:4">
      <c r="A5806" t="s">
        <v>6</v>
      </c>
      <c r="B5806">
        <v>34</v>
      </c>
      <c r="C5806" t="str">
        <f>CHOOSE(MATCH(B5806, {20,25,30,35,40,45,50,55,60,65,70,75,80,85}, 1), "20-24", "25-29", "30-34", "35-39", "40-44", "45-49", "50-54", "55-59", "60-64", "65-69", "70-74", "75-79", "80-84", "85+")</f>
        <v>30-34</v>
      </c>
      <c r="D5806" t="s">
        <v>8</v>
      </c>
    </row>
    <row r="5807" spans="1:4">
      <c r="A5807" t="s">
        <v>6</v>
      </c>
      <c r="B5807">
        <v>58</v>
      </c>
      <c r="C5807" t="str">
        <f>CHOOSE(MATCH(B5807, {20,25,30,35,40,45,50,55,60,65,70,75,80,85}, 1), "20-24", "25-29", "30-34", "35-39", "40-44", "45-49", "50-54", "55-59", "60-64", "65-69", "70-74", "75-79", "80-84", "85+")</f>
        <v>55-59</v>
      </c>
      <c r="D5807" t="s">
        <v>8</v>
      </c>
    </row>
    <row r="5808" spans="1:4">
      <c r="A5808" t="s">
        <v>6</v>
      </c>
      <c r="B5808">
        <v>30</v>
      </c>
      <c r="C5808" t="str">
        <f>CHOOSE(MATCH(B5808, {20,25,30,35,40,45,50,55,60,65,70,75,80,85}, 1), "20-24", "25-29", "30-34", "35-39", "40-44", "45-49", "50-54", "55-59", "60-64", "65-69", "70-74", "75-79", "80-84", "85+")</f>
        <v>30-34</v>
      </c>
      <c r="D5808" t="s">
        <v>7</v>
      </c>
    </row>
    <row r="5809" spans="1:4">
      <c r="A5809" t="s">
        <v>6</v>
      </c>
      <c r="B5809">
        <v>40</v>
      </c>
      <c r="C5809" t="str">
        <f>CHOOSE(MATCH(B5809, {20,25,30,35,40,45,50,55,60,65,70,75,80,85}, 1), "20-24", "25-29", "30-34", "35-39", "40-44", "45-49", "50-54", "55-59", "60-64", "65-69", "70-74", "75-79", "80-84", "85+")</f>
        <v>40-44</v>
      </c>
      <c r="D5809" t="s">
        <v>8</v>
      </c>
    </row>
    <row r="5810" spans="1:4">
      <c r="A5810" t="s">
        <v>6</v>
      </c>
      <c r="B5810">
        <v>59</v>
      </c>
      <c r="C5810" t="str">
        <f>CHOOSE(MATCH(B5810, {20,25,30,35,40,45,50,55,60,65,70,75,80,85}, 1), "20-24", "25-29", "30-34", "35-39", "40-44", "45-49", "50-54", "55-59", "60-64", "65-69", "70-74", "75-79", "80-84", "85+")</f>
        <v>55-59</v>
      </c>
      <c r="D5810" t="s">
        <v>7</v>
      </c>
    </row>
    <row r="5811" spans="1:4">
      <c r="A5811" t="s">
        <v>6</v>
      </c>
      <c r="B5811">
        <v>34</v>
      </c>
      <c r="C5811" t="str">
        <f>CHOOSE(MATCH(B5811, {20,25,30,35,40,45,50,55,60,65,70,75,80,85}, 1), "20-24", "25-29", "30-34", "35-39", "40-44", "45-49", "50-54", "55-59", "60-64", "65-69", "70-74", "75-79", "80-84", "85+")</f>
        <v>30-34</v>
      </c>
      <c r="D5811" t="s">
        <v>7</v>
      </c>
    </row>
    <row r="5812" spans="1:4">
      <c r="A5812" t="s">
        <v>6</v>
      </c>
      <c r="B5812">
        <v>24</v>
      </c>
      <c r="C5812" t="str">
        <f>CHOOSE(MATCH(B5812, {20,25,30,35,40,45,50,55,60,65,70,75,80,85}, 1), "20-24", "25-29", "30-34", "35-39", "40-44", "45-49", "50-54", "55-59", "60-64", "65-69", "70-74", "75-79", "80-84", "85+")</f>
        <v>20-24</v>
      </c>
      <c r="D5812" t="s">
        <v>8</v>
      </c>
    </row>
    <row r="5813" spans="1:4">
      <c r="A5813" t="s">
        <v>6</v>
      </c>
      <c r="B5813">
        <v>29</v>
      </c>
      <c r="C5813" t="str">
        <f>CHOOSE(MATCH(B5813, {20,25,30,35,40,45,50,55,60,65,70,75,80,85}, 1), "20-24", "25-29", "30-34", "35-39", "40-44", "45-49", "50-54", "55-59", "60-64", "65-69", "70-74", "75-79", "80-84", "85+")</f>
        <v>25-29</v>
      </c>
      <c r="D5813" t="s">
        <v>7</v>
      </c>
    </row>
    <row r="5814" spans="1:4">
      <c r="A5814" t="s">
        <v>6</v>
      </c>
      <c r="B5814">
        <v>74</v>
      </c>
      <c r="C5814" t="str">
        <f>CHOOSE(MATCH(B5814, {20,25,30,35,40,45,50,55,60,65,70,75,80,85}, 1), "20-24", "25-29", "30-34", "35-39", "40-44", "45-49", "50-54", "55-59", "60-64", "65-69", "70-74", "75-79", "80-84", "85+")</f>
        <v>70-74</v>
      </c>
      <c r="D5814" t="s">
        <v>8</v>
      </c>
    </row>
    <row r="5815" spans="1:4">
      <c r="A5815" t="s">
        <v>6</v>
      </c>
      <c r="B5815">
        <v>25</v>
      </c>
      <c r="C5815" t="str">
        <f>CHOOSE(MATCH(B5815, {20,25,30,35,40,45,50,55,60,65,70,75,80,85}, 1), "20-24", "25-29", "30-34", "35-39", "40-44", "45-49", "50-54", "55-59", "60-64", "65-69", "70-74", "75-79", "80-84", "85+")</f>
        <v>25-29</v>
      </c>
      <c r="D5815" t="s">
        <v>7</v>
      </c>
    </row>
    <row r="5816" spans="1:4">
      <c r="A5816" t="s">
        <v>6</v>
      </c>
      <c r="B5816">
        <v>65</v>
      </c>
      <c r="C5816" t="str">
        <f>CHOOSE(MATCH(B5816, {20,25,30,35,40,45,50,55,60,65,70,75,80,85}, 1), "20-24", "25-29", "30-34", "35-39", "40-44", "45-49", "50-54", "55-59", "60-64", "65-69", "70-74", "75-79", "80-84", "85+")</f>
        <v>65-69</v>
      </c>
      <c r="D5816" t="s">
        <v>8</v>
      </c>
    </row>
    <row r="5817" spans="1:4">
      <c r="A5817" t="s">
        <v>6</v>
      </c>
      <c r="B5817">
        <v>62</v>
      </c>
      <c r="C5817" t="str">
        <f>CHOOSE(MATCH(B5817, {20,25,30,35,40,45,50,55,60,65,70,75,80,85}, 1), "20-24", "25-29", "30-34", "35-39", "40-44", "45-49", "50-54", "55-59", "60-64", "65-69", "70-74", "75-79", "80-84", "85+")</f>
        <v>60-64</v>
      </c>
      <c r="D5817" t="s">
        <v>7</v>
      </c>
    </row>
    <row r="5818" spans="1:4">
      <c r="A5818" t="s">
        <v>6</v>
      </c>
      <c r="B5818">
        <v>28</v>
      </c>
      <c r="C5818" t="str">
        <f>CHOOSE(MATCH(B5818, {20,25,30,35,40,45,50,55,60,65,70,75,80,85}, 1), "20-24", "25-29", "30-34", "35-39", "40-44", "45-49", "50-54", "55-59", "60-64", "65-69", "70-74", "75-79", "80-84", "85+")</f>
        <v>25-29</v>
      </c>
      <c r="D5818" t="s">
        <v>7</v>
      </c>
    </row>
    <row r="5819" spans="1:4">
      <c r="A5819" t="s">
        <v>6</v>
      </c>
      <c r="B5819">
        <v>73</v>
      </c>
      <c r="C5819" t="str">
        <f>CHOOSE(MATCH(B5819, {20,25,30,35,40,45,50,55,60,65,70,75,80,85}, 1), "20-24", "25-29", "30-34", "35-39", "40-44", "45-49", "50-54", "55-59", "60-64", "65-69", "70-74", "75-79", "80-84", "85+")</f>
        <v>70-74</v>
      </c>
      <c r="D5819" t="s">
        <v>8</v>
      </c>
    </row>
    <row r="5820" spans="1:4">
      <c r="A5820" t="s">
        <v>6</v>
      </c>
      <c r="B5820">
        <v>85</v>
      </c>
      <c r="C5820" t="str">
        <f>CHOOSE(MATCH(B5820, {20,25,30,35,40,45,50,55,60,65,70,75,80,85}, 1), "20-24", "25-29", "30-34", "35-39", "40-44", "45-49", "50-54", "55-59", "60-64", "65-69", "70-74", "75-79", "80-84", "85+")</f>
        <v>85+</v>
      </c>
      <c r="D5820" t="s">
        <v>7</v>
      </c>
    </row>
    <row r="5821" spans="1:4">
      <c r="A5821" t="s">
        <v>6</v>
      </c>
      <c r="B5821">
        <v>55</v>
      </c>
      <c r="C5821" t="str">
        <f>CHOOSE(MATCH(B5821, {20,25,30,35,40,45,50,55,60,65,70,75,80,85}, 1), "20-24", "25-29", "30-34", "35-39", "40-44", "45-49", "50-54", "55-59", "60-64", "65-69", "70-74", "75-79", "80-84", "85+")</f>
        <v>55-59</v>
      </c>
      <c r="D5821" t="s">
        <v>7</v>
      </c>
    </row>
    <row r="5822" spans="1:4">
      <c r="A5822" t="s">
        <v>6</v>
      </c>
      <c r="B5822">
        <v>31</v>
      </c>
      <c r="C5822" t="str">
        <f>CHOOSE(MATCH(B5822, {20,25,30,35,40,45,50,55,60,65,70,75,80,85}, 1), "20-24", "25-29", "30-34", "35-39", "40-44", "45-49", "50-54", "55-59", "60-64", "65-69", "70-74", "75-79", "80-84", "85+")</f>
        <v>30-34</v>
      </c>
      <c r="D5822" t="s">
        <v>8</v>
      </c>
    </row>
    <row r="5823" spans="1:4">
      <c r="A5823" t="s">
        <v>6</v>
      </c>
      <c r="B5823">
        <v>39</v>
      </c>
      <c r="C5823" t="str">
        <f>CHOOSE(MATCH(B5823, {20,25,30,35,40,45,50,55,60,65,70,75,80,85}, 1), "20-24", "25-29", "30-34", "35-39", "40-44", "45-49", "50-54", "55-59", "60-64", "65-69", "70-74", "75-79", "80-84", "85+")</f>
        <v>35-39</v>
      </c>
      <c r="D5823" t="s">
        <v>7</v>
      </c>
    </row>
    <row r="5824" spans="1:4">
      <c r="A5824" t="s">
        <v>6</v>
      </c>
      <c r="B5824">
        <v>30</v>
      </c>
      <c r="C5824" t="str">
        <f>CHOOSE(MATCH(B5824, {20,25,30,35,40,45,50,55,60,65,70,75,80,85}, 1), "20-24", "25-29", "30-34", "35-39", "40-44", "45-49", "50-54", "55-59", "60-64", "65-69", "70-74", "75-79", "80-84", "85+")</f>
        <v>30-34</v>
      </c>
      <c r="D5824" t="s">
        <v>7</v>
      </c>
    </row>
    <row r="5825" spans="1:4">
      <c r="A5825" t="s">
        <v>6</v>
      </c>
      <c r="B5825">
        <v>43</v>
      </c>
      <c r="C5825" t="str">
        <f>CHOOSE(MATCH(B5825, {20,25,30,35,40,45,50,55,60,65,70,75,80,85}, 1), "20-24", "25-29", "30-34", "35-39", "40-44", "45-49", "50-54", "55-59", "60-64", "65-69", "70-74", "75-79", "80-84", "85+")</f>
        <v>40-44</v>
      </c>
      <c r="D5825" t="s">
        <v>7</v>
      </c>
    </row>
    <row r="5826" spans="1:4">
      <c r="A5826" t="s">
        <v>6</v>
      </c>
      <c r="B5826">
        <v>34</v>
      </c>
      <c r="C5826" t="str">
        <f>CHOOSE(MATCH(B5826, {20,25,30,35,40,45,50,55,60,65,70,75,80,85}, 1), "20-24", "25-29", "30-34", "35-39", "40-44", "45-49", "50-54", "55-59", "60-64", "65-69", "70-74", "75-79", "80-84", "85+")</f>
        <v>30-34</v>
      </c>
      <c r="D5826" t="s">
        <v>8</v>
      </c>
    </row>
    <row r="5827" spans="1:4">
      <c r="A5827" t="s">
        <v>6</v>
      </c>
      <c r="B5827">
        <v>34</v>
      </c>
      <c r="C5827" t="str">
        <f>CHOOSE(MATCH(B5827, {20,25,30,35,40,45,50,55,60,65,70,75,80,85}, 1), "20-24", "25-29", "30-34", "35-39", "40-44", "45-49", "50-54", "55-59", "60-64", "65-69", "70-74", "75-79", "80-84", "85+")</f>
        <v>30-34</v>
      </c>
      <c r="D5827" t="s">
        <v>7</v>
      </c>
    </row>
    <row r="5828" spans="1:4">
      <c r="A5828" t="s">
        <v>6</v>
      </c>
      <c r="B5828">
        <v>55</v>
      </c>
      <c r="C5828" t="str">
        <f>CHOOSE(MATCH(B5828, {20,25,30,35,40,45,50,55,60,65,70,75,80,85}, 1), "20-24", "25-29", "30-34", "35-39", "40-44", "45-49", "50-54", "55-59", "60-64", "65-69", "70-74", "75-79", "80-84", "85+")</f>
        <v>55-59</v>
      </c>
      <c r="D5828" t="s">
        <v>7</v>
      </c>
    </row>
    <row r="5829" spans="1:4">
      <c r="A5829" t="s">
        <v>6</v>
      </c>
      <c r="B5829">
        <v>36</v>
      </c>
      <c r="C5829" t="str">
        <f>CHOOSE(MATCH(B5829, {20,25,30,35,40,45,50,55,60,65,70,75,80,85}, 1), "20-24", "25-29", "30-34", "35-39", "40-44", "45-49", "50-54", "55-59", "60-64", "65-69", "70-74", "75-79", "80-84", "85+")</f>
        <v>35-39</v>
      </c>
      <c r="D5829" t="s">
        <v>8</v>
      </c>
    </row>
    <row r="5830" spans="1:4">
      <c r="A5830" t="s">
        <v>6</v>
      </c>
      <c r="B5830">
        <v>28</v>
      </c>
      <c r="C5830" t="str">
        <f>CHOOSE(MATCH(B5830, {20,25,30,35,40,45,50,55,60,65,70,75,80,85}, 1), "20-24", "25-29", "30-34", "35-39", "40-44", "45-49", "50-54", "55-59", "60-64", "65-69", "70-74", "75-79", "80-84", "85+")</f>
        <v>25-29</v>
      </c>
      <c r="D5830" t="s">
        <v>8</v>
      </c>
    </row>
    <row r="5831" spans="1:4">
      <c r="A5831" t="s">
        <v>6</v>
      </c>
      <c r="B5831">
        <v>50</v>
      </c>
      <c r="C5831" t="str">
        <f>CHOOSE(MATCH(B5831, {20,25,30,35,40,45,50,55,60,65,70,75,80,85}, 1), "20-24", "25-29", "30-34", "35-39", "40-44", "45-49", "50-54", "55-59", "60-64", "65-69", "70-74", "75-79", "80-84", "85+")</f>
        <v>50-54</v>
      </c>
      <c r="D5831" t="s">
        <v>8</v>
      </c>
    </row>
    <row r="5832" spans="1:4">
      <c r="A5832" t="s">
        <v>6</v>
      </c>
      <c r="B5832">
        <v>63</v>
      </c>
      <c r="C5832" t="str">
        <f>CHOOSE(MATCH(B5832, {20,25,30,35,40,45,50,55,60,65,70,75,80,85}, 1), "20-24", "25-29", "30-34", "35-39", "40-44", "45-49", "50-54", "55-59", "60-64", "65-69", "70-74", "75-79", "80-84", "85+")</f>
        <v>60-64</v>
      </c>
      <c r="D5832" t="s">
        <v>7</v>
      </c>
    </row>
    <row r="5833" spans="1:4">
      <c r="A5833" t="s">
        <v>6</v>
      </c>
      <c r="B5833">
        <v>21</v>
      </c>
      <c r="C5833" t="str">
        <f>CHOOSE(MATCH(B5833, {20,25,30,35,40,45,50,55,60,65,70,75,80,85}, 1), "20-24", "25-29", "30-34", "35-39", "40-44", "45-49", "50-54", "55-59", "60-64", "65-69", "70-74", "75-79", "80-84", "85+")</f>
        <v>20-24</v>
      </c>
      <c r="D5833" t="s">
        <v>7</v>
      </c>
    </row>
    <row r="5834" spans="1:4">
      <c r="A5834" t="s">
        <v>6</v>
      </c>
      <c r="B5834">
        <v>30</v>
      </c>
      <c r="C5834" t="str">
        <f>CHOOSE(MATCH(B5834, {20,25,30,35,40,45,50,55,60,65,70,75,80,85}, 1), "20-24", "25-29", "30-34", "35-39", "40-44", "45-49", "50-54", "55-59", "60-64", "65-69", "70-74", "75-79", "80-84", "85+")</f>
        <v>30-34</v>
      </c>
      <c r="D5834" t="s">
        <v>7</v>
      </c>
    </row>
    <row r="5835" spans="1:4">
      <c r="A5835" t="s">
        <v>6</v>
      </c>
      <c r="B5835">
        <v>56</v>
      </c>
      <c r="C5835" t="str">
        <f>CHOOSE(MATCH(B5835, {20,25,30,35,40,45,50,55,60,65,70,75,80,85}, 1), "20-24", "25-29", "30-34", "35-39", "40-44", "45-49", "50-54", "55-59", "60-64", "65-69", "70-74", "75-79", "80-84", "85+")</f>
        <v>55-59</v>
      </c>
      <c r="D5835" t="s">
        <v>7</v>
      </c>
    </row>
    <row r="5836" spans="1:4">
      <c r="A5836" t="s">
        <v>6</v>
      </c>
      <c r="B5836">
        <v>53</v>
      </c>
      <c r="C5836" t="str">
        <f>CHOOSE(MATCH(B5836, {20,25,30,35,40,45,50,55,60,65,70,75,80,85}, 1), "20-24", "25-29", "30-34", "35-39", "40-44", "45-49", "50-54", "55-59", "60-64", "65-69", "70-74", "75-79", "80-84", "85+")</f>
        <v>50-54</v>
      </c>
      <c r="D5836" t="s">
        <v>7</v>
      </c>
    </row>
    <row r="5837" spans="1:4">
      <c r="A5837" t="s">
        <v>6</v>
      </c>
      <c r="B5837">
        <v>35</v>
      </c>
      <c r="C5837" t="str">
        <f>CHOOSE(MATCH(B5837, {20,25,30,35,40,45,50,55,60,65,70,75,80,85}, 1), "20-24", "25-29", "30-34", "35-39", "40-44", "45-49", "50-54", "55-59", "60-64", "65-69", "70-74", "75-79", "80-84", "85+")</f>
        <v>35-39</v>
      </c>
      <c r="D5837" t="s">
        <v>7</v>
      </c>
    </row>
    <row r="5838" spans="1:4">
      <c r="A5838" t="s">
        <v>6</v>
      </c>
      <c r="B5838">
        <v>44</v>
      </c>
      <c r="C5838" t="str">
        <f>CHOOSE(MATCH(B5838, {20,25,30,35,40,45,50,55,60,65,70,75,80,85}, 1), "20-24", "25-29", "30-34", "35-39", "40-44", "45-49", "50-54", "55-59", "60-64", "65-69", "70-74", "75-79", "80-84", "85+")</f>
        <v>40-44</v>
      </c>
      <c r="D5838" t="s">
        <v>7</v>
      </c>
    </row>
    <row r="5839" spans="1:4">
      <c r="A5839" t="s">
        <v>6</v>
      </c>
      <c r="B5839">
        <v>26</v>
      </c>
      <c r="C5839" t="str">
        <f>CHOOSE(MATCH(B5839, {20,25,30,35,40,45,50,55,60,65,70,75,80,85}, 1), "20-24", "25-29", "30-34", "35-39", "40-44", "45-49", "50-54", "55-59", "60-64", "65-69", "70-74", "75-79", "80-84", "85+")</f>
        <v>25-29</v>
      </c>
      <c r="D5839" t="s">
        <v>7</v>
      </c>
    </row>
    <row r="5840" spans="1:4">
      <c r="A5840" t="s">
        <v>6</v>
      </c>
      <c r="B5840">
        <v>64</v>
      </c>
      <c r="C5840" t="str">
        <f>CHOOSE(MATCH(B5840, {20,25,30,35,40,45,50,55,60,65,70,75,80,85}, 1), "20-24", "25-29", "30-34", "35-39", "40-44", "45-49", "50-54", "55-59", "60-64", "65-69", "70-74", "75-79", "80-84", "85+")</f>
        <v>60-64</v>
      </c>
      <c r="D5840" t="s">
        <v>8</v>
      </c>
    </row>
    <row r="5841" spans="1:4">
      <c r="A5841" t="s">
        <v>6</v>
      </c>
      <c r="B5841">
        <v>34</v>
      </c>
      <c r="C5841" t="str">
        <f>CHOOSE(MATCH(B5841, {20,25,30,35,40,45,50,55,60,65,70,75,80,85}, 1), "20-24", "25-29", "30-34", "35-39", "40-44", "45-49", "50-54", "55-59", "60-64", "65-69", "70-74", "75-79", "80-84", "85+")</f>
        <v>30-34</v>
      </c>
      <c r="D5841" t="s">
        <v>7</v>
      </c>
    </row>
    <row r="5842" spans="1:4">
      <c r="A5842" t="s">
        <v>6</v>
      </c>
      <c r="B5842">
        <v>88</v>
      </c>
      <c r="C5842" t="str">
        <f>CHOOSE(MATCH(B5842, {20,25,30,35,40,45,50,55,60,65,70,75,80,85}, 1), "20-24", "25-29", "30-34", "35-39", "40-44", "45-49", "50-54", "55-59", "60-64", "65-69", "70-74", "75-79", "80-84", "85+")</f>
        <v>85+</v>
      </c>
      <c r="D5842" t="s">
        <v>7</v>
      </c>
    </row>
    <row r="5843" spans="1:4">
      <c r="A5843" t="s">
        <v>6</v>
      </c>
      <c r="B5843">
        <v>42</v>
      </c>
      <c r="C5843" t="str">
        <f>CHOOSE(MATCH(B5843, {20,25,30,35,40,45,50,55,60,65,70,75,80,85}, 1), "20-24", "25-29", "30-34", "35-39", "40-44", "45-49", "50-54", "55-59", "60-64", "65-69", "70-74", "75-79", "80-84", "85+")</f>
        <v>40-44</v>
      </c>
      <c r="D5843" t="s">
        <v>7</v>
      </c>
    </row>
    <row r="5844" spans="1:4">
      <c r="A5844" t="s">
        <v>6</v>
      </c>
      <c r="B5844">
        <v>46</v>
      </c>
      <c r="C5844" t="str">
        <f>CHOOSE(MATCH(B5844, {20,25,30,35,40,45,50,55,60,65,70,75,80,85}, 1), "20-24", "25-29", "30-34", "35-39", "40-44", "45-49", "50-54", "55-59", "60-64", "65-69", "70-74", "75-79", "80-84", "85+")</f>
        <v>45-49</v>
      </c>
      <c r="D5844" t="s">
        <v>7</v>
      </c>
    </row>
    <row r="5845" spans="1:4">
      <c r="A5845" t="s">
        <v>6</v>
      </c>
      <c r="B5845">
        <v>26</v>
      </c>
      <c r="C5845" t="str">
        <f>CHOOSE(MATCH(B5845, {20,25,30,35,40,45,50,55,60,65,70,75,80,85}, 1), "20-24", "25-29", "30-34", "35-39", "40-44", "45-49", "50-54", "55-59", "60-64", "65-69", "70-74", "75-79", "80-84", "85+")</f>
        <v>25-29</v>
      </c>
      <c r="D5845" t="s">
        <v>8</v>
      </c>
    </row>
    <row r="5846" spans="1:4">
      <c r="A5846" t="s">
        <v>6</v>
      </c>
      <c r="B5846">
        <v>40</v>
      </c>
      <c r="C5846" t="str">
        <f>CHOOSE(MATCH(B5846, {20,25,30,35,40,45,50,55,60,65,70,75,80,85}, 1), "20-24", "25-29", "30-34", "35-39", "40-44", "45-49", "50-54", "55-59", "60-64", "65-69", "70-74", "75-79", "80-84", "85+")</f>
        <v>40-44</v>
      </c>
      <c r="D5846" t="s">
        <v>7</v>
      </c>
    </row>
    <row r="5847" spans="1:4">
      <c r="A5847" t="s">
        <v>6</v>
      </c>
      <c r="B5847">
        <v>44</v>
      </c>
      <c r="C5847" t="str">
        <f>CHOOSE(MATCH(B5847, {20,25,30,35,40,45,50,55,60,65,70,75,80,85}, 1), "20-24", "25-29", "30-34", "35-39", "40-44", "45-49", "50-54", "55-59", "60-64", "65-69", "70-74", "75-79", "80-84", "85+")</f>
        <v>40-44</v>
      </c>
      <c r="D5847" t="s">
        <v>7</v>
      </c>
    </row>
    <row r="5848" spans="1:4">
      <c r="A5848" t="s">
        <v>6</v>
      </c>
      <c r="B5848">
        <v>67</v>
      </c>
      <c r="C5848" t="str">
        <f>CHOOSE(MATCH(B5848, {20,25,30,35,40,45,50,55,60,65,70,75,80,85}, 1), "20-24", "25-29", "30-34", "35-39", "40-44", "45-49", "50-54", "55-59", "60-64", "65-69", "70-74", "75-79", "80-84", "85+")</f>
        <v>65-69</v>
      </c>
      <c r="D5848" t="s">
        <v>7</v>
      </c>
    </row>
    <row r="5849" spans="1:4">
      <c r="A5849" t="s">
        <v>6</v>
      </c>
      <c r="B5849">
        <v>32</v>
      </c>
      <c r="C5849" t="str">
        <f>CHOOSE(MATCH(B5849, {20,25,30,35,40,45,50,55,60,65,70,75,80,85}, 1), "20-24", "25-29", "30-34", "35-39", "40-44", "45-49", "50-54", "55-59", "60-64", "65-69", "70-74", "75-79", "80-84", "85+")</f>
        <v>30-34</v>
      </c>
      <c r="D5849" t="s">
        <v>7</v>
      </c>
    </row>
    <row r="5850" spans="1:4">
      <c r="A5850" t="s">
        <v>6</v>
      </c>
      <c r="B5850">
        <v>46</v>
      </c>
      <c r="C5850" t="str">
        <f>CHOOSE(MATCH(B5850, {20,25,30,35,40,45,50,55,60,65,70,75,80,85}, 1), "20-24", "25-29", "30-34", "35-39", "40-44", "45-49", "50-54", "55-59", "60-64", "65-69", "70-74", "75-79", "80-84", "85+")</f>
        <v>45-49</v>
      </c>
      <c r="D5850" t="s">
        <v>7</v>
      </c>
    </row>
    <row r="5851" spans="1:4">
      <c r="A5851" t="s">
        <v>6</v>
      </c>
      <c r="B5851">
        <v>77</v>
      </c>
      <c r="C5851" t="str">
        <f>CHOOSE(MATCH(B5851, {20,25,30,35,40,45,50,55,60,65,70,75,80,85}, 1), "20-24", "25-29", "30-34", "35-39", "40-44", "45-49", "50-54", "55-59", "60-64", "65-69", "70-74", "75-79", "80-84", "85+")</f>
        <v>75-79</v>
      </c>
      <c r="D5851" t="s">
        <v>7</v>
      </c>
    </row>
    <row r="5852" spans="1:4">
      <c r="A5852" t="s">
        <v>6</v>
      </c>
      <c r="B5852">
        <v>37</v>
      </c>
      <c r="C5852" t="str">
        <f>CHOOSE(MATCH(B5852, {20,25,30,35,40,45,50,55,60,65,70,75,80,85}, 1), "20-24", "25-29", "30-34", "35-39", "40-44", "45-49", "50-54", "55-59", "60-64", "65-69", "70-74", "75-79", "80-84", "85+")</f>
        <v>35-39</v>
      </c>
      <c r="D5852" t="s">
        <v>8</v>
      </c>
    </row>
    <row r="5853" spans="1:4">
      <c r="A5853" t="s">
        <v>6</v>
      </c>
      <c r="B5853">
        <v>42</v>
      </c>
      <c r="C5853" t="str">
        <f>CHOOSE(MATCH(B5853, {20,25,30,35,40,45,50,55,60,65,70,75,80,85}, 1), "20-24", "25-29", "30-34", "35-39", "40-44", "45-49", "50-54", "55-59", "60-64", "65-69", "70-74", "75-79", "80-84", "85+")</f>
        <v>40-44</v>
      </c>
      <c r="D5853" t="s">
        <v>8</v>
      </c>
    </row>
    <row r="5854" spans="1:4">
      <c r="A5854" t="s">
        <v>6</v>
      </c>
      <c r="B5854">
        <v>37</v>
      </c>
      <c r="C5854" t="str">
        <f>CHOOSE(MATCH(B5854, {20,25,30,35,40,45,50,55,60,65,70,75,80,85}, 1), "20-24", "25-29", "30-34", "35-39", "40-44", "45-49", "50-54", "55-59", "60-64", "65-69", "70-74", "75-79", "80-84", "85+")</f>
        <v>35-39</v>
      </c>
      <c r="D5854" t="s">
        <v>7</v>
      </c>
    </row>
    <row r="5855" spans="1:4">
      <c r="A5855" t="s">
        <v>6</v>
      </c>
      <c r="B5855">
        <v>39</v>
      </c>
      <c r="C5855" t="str">
        <f>CHOOSE(MATCH(B5855, {20,25,30,35,40,45,50,55,60,65,70,75,80,85}, 1), "20-24", "25-29", "30-34", "35-39", "40-44", "45-49", "50-54", "55-59", "60-64", "65-69", "70-74", "75-79", "80-84", "85+")</f>
        <v>35-39</v>
      </c>
      <c r="D5855" t="s">
        <v>8</v>
      </c>
    </row>
    <row r="5856" spans="1:4">
      <c r="A5856" t="s">
        <v>6</v>
      </c>
      <c r="B5856">
        <v>27</v>
      </c>
      <c r="C5856" t="str">
        <f>CHOOSE(MATCH(B5856, {20,25,30,35,40,45,50,55,60,65,70,75,80,85}, 1), "20-24", "25-29", "30-34", "35-39", "40-44", "45-49", "50-54", "55-59", "60-64", "65-69", "70-74", "75-79", "80-84", "85+")</f>
        <v>25-29</v>
      </c>
      <c r="D5856" t="s">
        <v>7</v>
      </c>
    </row>
    <row r="5857" spans="1:4">
      <c r="A5857" t="s">
        <v>6</v>
      </c>
      <c r="B5857">
        <v>26</v>
      </c>
      <c r="C5857" t="str">
        <f>CHOOSE(MATCH(B5857, {20,25,30,35,40,45,50,55,60,65,70,75,80,85}, 1), "20-24", "25-29", "30-34", "35-39", "40-44", "45-49", "50-54", "55-59", "60-64", "65-69", "70-74", "75-79", "80-84", "85+")</f>
        <v>25-29</v>
      </c>
      <c r="D5857" t="s">
        <v>7</v>
      </c>
    </row>
    <row r="5858" spans="1:4">
      <c r="A5858" t="s">
        <v>6</v>
      </c>
      <c r="B5858">
        <v>57</v>
      </c>
      <c r="C5858" t="str">
        <f>CHOOSE(MATCH(B5858, {20,25,30,35,40,45,50,55,60,65,70,75,80,85}, 1), "20-24", "25-29", "30-34", "35-39", "40-44", "45-49", "50-54", "55-59", "60-64", "65-69", "70-74", "75-79", "80-84", "85+")</f>
        <v>55-59</v>
      </c>
      <c r="D5858" t="s">
        <v>8</v>
      </c>
    </row>
    <row r="5859" spans="1:4">
      <c r="A5859" t="s">
        <v>6</v>
      </c>
      <c r="B5859">
        <v>29</v>
      </c>
      <c r="C5859" t="str">
        <f>CHOOSE(MATCH(B5859, {20,25,30,35,40,45,50,55,60,65,70,75,80,85}, 1), "20-24", "25-29", "30-34", "35-39", "40-44", "45-49", "50-54", "55-59", "60-64", "65-69", "70-74", "75-79", "80-84", "85+")</f>
        <v>25-29</v>
      </c>
      <c r="D5859" t="s">
        <v>7</v>
      </c>
    </row>
    <row r="5860" spans="1:4">
      <c r="A5860" t="s">
        <v>6</v>
      </c>
      <c r="B5860">
        <v>33</v>
      </c>
      <c r="C5860" t="str">
        <f>CHOOSE(MATCH(B5860, {20,25,30,35,40,45,50,55,60,65,70,75,80,85}, 1), "20-24", "25-29", "30-34", "35-39", "40-44", "45-49", "50-54", "55-59", "60-64", "65-69", "70-74", "75-79", "80-84", "85+")</f>
        <v>30-34</v>
      </c>
      <c r="D5860" t="s">
        <v>7</v>
      </c>
    </row>
    <row r="5861" spans="1:4">
      <c r="A5861" t="s">
        <v>6</v>
      </c>
      <c r="B5861">
        <v>27</v>
      </c>
      <c r="C5861" t="str">
        <f>CHOOSE(MATCH(B5861, {20,25,30,35,40,45,50,55,60,65,70,75,80,85}, 1), "20-24", "25-29", "30-34", "35-39", "40-44", "45-49", "50-54", "55-59", "60-64", "65-69", "70-74", "75-79", "80-84", "85+")</f>
        <v>25-29</v>
      </c>
      <c r="D5861" t="s">
        <v>7</v>
      </c>
    </row>
    <row r="5862" spans="1:4">
      <c r="A5862" t="s">
        <v>6</v>
      </c>
      <c r="B5862">
        <v>48</v>
      </c>
      <c r="C5862" t="str">
        <f>CHOOSE(MATCH(B5862, {20,25,30,35,40,45,50,55,60,65,70,75,80,85}, 1), "20-24", "25-29", "30-34", "35-39", "40-44", "45-49", "50-54", "55-59", "60-64", "65-69", "70-74", "75-79", "80-84", "85+")</f>
        <v>45-49</v>
      </c>
      <c r="D5862" t="s">
        <v>8</v>
      </c>
    </row>
    <row r="5863" spans="1:4">
      <c r="A5863" t="s">
        <v>6</v>
      </c>
      <c r="B5863">
        <v>25</v>
      </c>
      <c r="C5863" t="str">
        <f>CHOOSE(MATCH(B5863, {20,25,30,35,40,45,50,55,60,65,70,75,80,85}, 1), "20-24", "25-29", "30-34", "35-39", "40-44", "45-49", "50-54", "55-59", "60-64", "65-69", "70-74", "75-79", "80-84", "85+")</f>
        <v>25-29</v>
      </c>
      <c r="D5863" t="s">
        <v>7</v>
      </c>
    </row>
    <row r="5864" spans="1:4">
      <c r="A5864" t="s">
        <v>6</v>
      </c>
      <c r="B5864">
        <v>44</v>
      </c>
      <c r="C5864" t="str">
        <f>CHOOSE(MATCH(B5864, {20,25,30,35,40,45,50,55,60,65,70,75,80,85}, 1), "20-24", "25-29", "30-34", "35-39", "40-44", "45-49", "50-54", "55-59", "60-64", "65-69", "70-74", "75-79", "80-84", "85+")</f>
        <v>40-44</v>
      </c>
      <c r="D5864" t="s">
        <v>7</v>
      </c>
    </row>
    <row r="5865" spans="1:4">
      <c r="A5865" t="s">
        <v>6</v>
      </c>
      <c r="B5865">
        <v>65</v>
      </c>
      <c r="C5865" t="str">
        <f>CHOOSE(MATCH(B5865, {20,25,30,35,40,45,50,55,60,65,70,75,80,85}, 1), "20-24", "25-29", "30-34", "35-39", "40-44", "45-49", "50-54", "55-59", "60-64", "65-69", "70-74", "75-79", "80-84", "85+")</f>
        <v>65-69</v>
      </c>
      <c r="D5865" t="s">
        <v>7</v>
      </c>
    </row>
    <row r="5866" spans="1:4">
      <c r="A5866" t="s">
        <v>6</v>
      </c>
      <c r="B5866">
        <v>51</v>
      </c>
      <c r="C5866" t="str">
        <f>CHOOSE(MATCH(B5866, {20,25,30,35,40,45,50,55,60,65,70,75,80,85}, 1), "20-24", "25-29", "30-34", "35-39", "40-44", "45-49", "50-54", "55-59", "60-64", "65-69", "70-74", "75-79", "80-84", "85+")</f>
        <v>50-54</v>
      </c>
      <c r="D5866" t="s">
        <v>7</v>
      </c>
    </row>
    <row r="5867" spans="1:4">
      <c r="A5867" t="s">
        <v>6</v>
      </c>
      <c r="B5867">
        <v>43</v>
      </c>
      <c r="C5867" t="str">
        <f>CHOOSE(MATCH(B5867, {20,25,30,35,40,45,50,55,60,65,70,75,80,85}, 1), "20-24", "25-29", "30-34", "35-39", "40-44", "45-49", "50-54", "55-59", "60-64", "65-69", "70-74", "75-79", "80-84", "85+")</f>
        <v>40-44</v>
      </c>
      <c r="D5867" t="s">
        <v>8</v>
      </c>
    </row>
    <row r="5868" spans="1:4">
      <c r="A5868" t="s">
        <v>6</v>
      </c>
      <c r="B5868">
        <v>72</v>
      </c>
      <c r="C5868" t="str">
        <f>CHOOSE(MATCH(B5868, {20,25,30,35,40,45,50,55,60,65,70,75,80,85}, 1), "20-24", "25-29", "30-34", "35-39", "40-44", "45-49", "50-54", "55-59", "60-64", "65-69", "70-74", "75-79", "80-84", "85+")</f>
        <v>70-74</v>
      </c>
      <c r="D5868" t="s">
        <v>8</v>
      </c>
    </row>
    <row r="5869" spans="1:4">
      <c r="A5869" t="s">
        <v>6</v>
      </c>
      <c r="B5869">
        <v>29</v>
      </c>
      <c r="C5869" t="str">
        <f>CHOOSE(MATCH(B5869, {20,25,30,35,40,45,50,55,60,65,70,75,80,85}, 1), "20-24", "25-29", "30-34", "35-39", "40-44", "45-49", "50-54", "55-59", "60-64", "65-69", "70-74", "75-79", "80-84", "85+")</f>
        <v>25-29</v>
      </c>
      <c r="D5869" t="s">
        <v>8</v>
      </c>
    </row>
    <row r="5870" spans="1:4">
      <c r="A5870" t="s">
        <v>6</v>
      </c>
      <c r="B5870">
        <v>46</v>
      </c>
      <c r="C5870" t="str">
        <f>CHOOSE(MATCH(B5870, {20,25,30,35,40,45,50,55,60,65,70,75,80,85}, 1), "20-24", "25-29", "30-34", "35-39", "40-44", "45-49", "50-54", "55-59", "60-64", "65-69", "70-74", "75-79", "80-84", "85+")</f>
        <v>45-49</v>
      </c>
      <c r="D5870" t="s">
        <v>7</v>
      </c>
    </row>
    <row r="5871" spans="1:4">
      <c r="A5871" t="s">
        <v>6</v>
      </c>
      <c r="B5871">
        <v>44</v>
      </c>
      <c r="C5871" t="str">
        <f>CHOOSE(MATCH(B5871, {20,25,30,35,40,45,50,55,60,65,70,75,80,85}, 1), "20-24", "25-29", "30-34", "35-39", "40-44", "45-49", "50-54", "55-59", "60-64", "65-69", "70-74", "75-79", "80-84", "85+")</f>
        <v>40-44</v>
      </c>
      <c r="D5871" t="s">
        <v>7</v>
      </c>
    </row>
    <row r="5872" spans="1:4">
      <c r="A5872" t="s">
        <v>6</v>
      </c>
      <c r="B5872">
        <v>40</v>
      </c>
      <c r="C5872" t="str">
        <f>CHOOSE(MATCH(B5872, {20,25,30,35,40,45,50,55,60,65,70,75,80,85}, 1), "20-24", "25-29", "30-34", "35-39", "40-44", "45-49", "50-54", "55-59", "60-64", "65-69", "70-74", "75-79", "80-84", "85+")</f>
        <v>40-44</v>
      </c>
      <c r="D5872" t="s">
        <v>7</v>
      </c>
    </row>
    <row r="5873" spans="1:4">
      <c r="A5873" t="s">
        <v>6</v>
      </c>
      <c r="B5873">
        <v>56</v>
      </c>
      <c r="C5873" t="str">
        <f>CHOOSE(MATCH(B5873, {20,25,30,35,40,45,50,55,60,65,70,75,80,85}, 1), "20-24", "25-29", "30-34", "35-39", "40-44", "45-49", "50-54", "55-59", "60-64", "65-69", "70-74", "75-79", "80-84", "85+")</f>
        <v>55-59</v>
      </c>
      <c r="D5873" t="s">
        <v>8</v>
      </c>
    </row>
    <row r="5874" spans="1:4">
      <c r="A5874" t="s">
        <v>6</v>
      </c>
      <c r="B5874">
        <v>67</v>
      </c>
      <c r="C5874" t="str">
        <f>CHOOSE(MATCH(B5874, {20,25,30,35,40,45,50,55,60,65,70,75,80,85}, 1), "20-24", "25-29", "30-34", "35-39", "40-44", "45-49", "50-54", "55-59", "60-64", "65-69", "70-74", "75-79", "80-84", "85+")</f>
        <v>65-69</v>
      </c>
      <c r="D5874" t="s">
        <v>7</v>
      </c>
    </row>
    <row r="5875" spans="1:4">
      <c r="A5875" t="s">
        <v>6</v>
      </c>
      <c r="B5875">
        <v>28</v>
      </c>
      <c r="C5875" t="str">
        <f>CHOOSE(MATCH(B5875, {20,25,30,35,40,45,50,55,60,65,70,75,80,85}, 1), "20-24", "25-29", "30-34", "35-39", "40-44", "45-49", "50-54", "55-59", "60-64", "65-69", "70-74", "75-79", "80-84", "85+")</f>
        <v>25-29</v>
      </c>
      <c r="D5875" t="s">
        <v>7</v>
      </c>
    </row>
    <row r="5876" spans="1:4">
      <c r="A5876" t="s">
        <v>6</v>
      </c>
      <c r="B5876">
        <v>47</v>
      </c>
      <c r="C5876" t="str">
        <f>CHOOSE(MATCH(B5876, {20,25,30,35,40,45,50,55,60,65,70,75,80,85}, 1), "20-24", "25-29", "30-34", "35-39", "40-44", "45-49", "50-54", "55-59", "60-64", "65-69", "70-74", "75-79", "80-84", "85+")</f>
        <v>45-49</v>
      </c>
      <c r="D5876" t="s">
        <v>8</v>
      </c>
    </row>
    <row r="5877" spans="1:4">
      <c r="A5877" t="s">
        <v>6</v>
      </c>
      <c r="B5877">
        <v>65</v>
      </c>
      <c r="C5877" t="str">
        <f>CHOOSE(MATCH(B5877, {20,25,30,35,40,45,50,55,60,65,70,75,80,85}, 1), "20-24", "25-29", "30-34", "35-39", "40-44", "45-49", "50-54", "55-59", "60-64", "65-69", "70-74", "75-79", "80-84", "85+")</f>
        <v>65-69</v>
      </c>
      <c r="D5877" t="s">
        <v>7</v>
      </c>
    </row>
    <row r="5878" spans="1:4">
      <c r="A5878" t="s">
        <v>6</v>
      </c>
      <c r="B5878">
        <v>22</v>
      </c>
      <c r="C5878" t="str">
        <f>CHOOSE(MATCH(B5878, {20,25,30,35,40,45,50,55,60,65,70,75,80,85}, 1), "20-24", "25-29", "30-34", "35-39", "40-44", "45-49", "50-54", "55-59", "60-64", "65-69", "70-74", "75-79", "80-84", "85+")</f>
        <v>20-24</v>
      </c>
      <c r="D5878" t="s">
        <v>7</v>
      </c>
    </row>
    <row r="5879" spans="1:4">
      <c r="A5879" t="s">
        <v>6</v>
      </c>
      <c r="B5879">
        <v>35</v>
      </c>
      <c r="C5879" t="str">
        <f>CHOOSE(MATCH(B5879, {20,25,30,35,40,45,50,55,60,65,70,75,80,85}, 1), "20-24", "25-29", "30-34", "35-39", "40-44", "45-49", "50-54", "55-59", "60-64", "65-69", "70-74", "75-79", "80-84", "85+")</f>
        <v>35-39</v>
      </c>
      <c r="D5879" t="s">
        <v>8</v>
      </c>
    </row>
    <row r="5880" spans="1:4">
      <c r="A5880" t="s">
        <v>6</v>
      </c>
      <c r="B5880">
        <v>29</v>
      </c>
      <c r="C5880" t="str">
        <f>CHOOSE(MATCH(B5880, {20,25,30,35,40,45,50,55,60,65,70,75,80,85}, 1), "20-24", "25-29", "30-34", "35-39", "40-44", "45-49", "50-54", "55-59", "60-64", "65-69", "70-74", "75-79", "80-84", "85+")</f>
        <v>25-29</v>
      </c>
      <c r="D5880" t="s">
        <v>7</v>
      </c>
    </row>
    <row r="5881" spans="1:4">
      <c r="A5881" t="s">
        <v>6</v>
      </c>
      <c r="B5881">
        <v>27</v>
      </c>
      <c r="C5881" t="str">
        <f>CHOOSE(MATCH(B5881, {20,25,30,35,40,45,50,55,60,65,70,75,80,85}, 1), "20-24", "25-29", "30-34", "35-39", "40-44", "45-49", "50-54", "55-59", "60-64", "65-69", "70-74", "75-79", "80-84", "85+")</f>
        <v>25-29</v>
      </c>
      <c r="D5881" t="s">
        <v>7</v>
      </c>
    </row>
    <row r="5882" spans="1:4">
      <c r="A5882" t="s">
        <v>6</v>
      </c>
      <c r="B5882">
        <v>47</v>
      </c>
      <c r="C5882" t="str">
        <f>CHOOSE(MATCH(B5882, {20,25,30,35,40,45,50,55,60,65,70,75,80,85}, 1), "20-24", "25-29", "30-34", "35-39", "40-44", "45-49", "50-54", "55-59", "60-64", "65-69", "70-74", "75-79", "80-84", "85+")</f>
        <v>45-49</v>
      </c>
      <c r="D5882" t="s">
        <v>8</v>
      </c>
    </row>
    <row r="5883" spans="1:4">
      <c r="A5883" t="s">
        <v>6</v>
      </c>
      <c r="B5883">
        <v>53</v>
      </c>
      <c r="C5883" t="str">
        <f>CHOOSE(MATCH(B5883, {20,25,30,35,40,45,50,55,60,65,70,75,80,85}, 1), "20-24", "25-29", "30-34", "35-39", "40-44", "45-49", "50-54", "55-59", "60-64", "65-69", "70-74", "75-79", "80-84", "85+")</f>
        <v>50-54</v>
      </c>
      <c r="D5883" t="s">
        <v>7</v>
      </c>
    </row>
    <row r="5884" spans="1:4">
      <c r="A5884" t="s">
        <v>6</v>
      </c>
      <c r="B5884">
        <v>36</v>
      </c>
      <c r="C5884" t="str">
        <f>CHOOSE(MATCH(B5884, {20,25,30,35,40,45,50,55,60,65,70,75,80,85}, 1), "20-24", "25-29", "30-34", "35-39", "40-44", "45-49", "50-54", "55-59", "60-64", "65-69", "70-74", "75-79", "80-84", "85+")</f>
        <v>35-39</v>
      </c>
      <c r="D5884" t="s">
        <v>7</v>
      </c>
    </row>
    <row r="5885" spans="1:4">
      <c r="A5885" t="s">
        <v>6</v>
      </c>
      <c r="B5885">
        <v>22</v>
      </c>
      <c r="C5885" t="str">
        <f>CHOOSE(MATCH(B5885, {20,25,30,35,40,45,50,55,60,65,70,75,80,85}, 1), "20-24", "25-29", "30-34", "35-39", "40-44", "45-49", "50-54", "55-59", "60-64", "65-69", "70-74", "75-79", "80-84", "85+")</f>
        <v>20-24</v>
      </c>
      <c r="D5885" t="s">
        <v>8</v>
      </c>
    </row>
    <row r="5886" spans="1:4">
      <c r="A5886" t="s">
        <v>6</v>
      </c>
      <c r="B5886">
        <v>77</v>
      </c>
      <c r="C5886" t="str">
        <f>CHOOSE(MATCH(B5886, {20,25,30,35,40,45,50,55,60,65,70,75,80,85}, 1), "20-24", "25-29", "30-34", "35-39", "40-44", "45-49", "50-54", "55-59", "60-64", "65-69", "70-74", "75-79", "80-84", "85+")</f>
        <v>75-79</v>
      </c>
      <c r="D5886" t="s">
        <v>8</v>
      </c>
    </row>
    <row r="5887" spans="1:4">
      <c r="A5887" t="s">
        <v>6</v>
      </c>
      <c r="B5887">
        <v>37</v>
      </c>
      <c r="C5887" t="str">
        <f>CHOOSE(MATCH(B5887, {20,25,30,35,40,45,50,55,60,65,70,75,80,85}, 1), "20-24", "25-29", "30-34", "35-39", "40-44", "45-49", "50-54", "55-59", "60-64", "65-69", "70-74", "75-79", "80-84", "85+")</f>
        <v>35-39</v>
      </c>
      <c r="D5887" t="s">
        <v>8</v>
      </c>
    </row>
    <row r="5888" spans="1:4">
      <c r="A5888" t="s">
        <v>6</v>
      </c>
      <c r="B5888">
        <v>41</v>
      </c>
      <c r="C5888" t="str">
        <f>CHOOSE(MATCH(B5888, {20,25,30,35,40,45,50,55,60,65,70,75,80,85}, 1), "20-24", "25-29", "30-34", "35-39", "40-44", "45-49", "50-54", "55-59", "60-64", "65-69", "70-74", "75-79", "80-84", "85+")</f>
        <v>40-44</v>
      </c>
      <c r="D5888" t="s">
        <v>7</v>
      </c>
    </row>
    <row r="5889" spans="1:4">
      <c r="A5889" t="s">
        <v>6</v>
      </c>
      <c r="B5889">
        <v>35</v>
      </c>
      <c r="C5889" t="str">
        <f>CHOOSE(MATCH(B5889, {20,25,30,35,40,45,50,55,60,65,70,75,80,85}, 1), "20-24", "25-29", "30-34", "35-39", "40-44", "45-49", "50-54", "55-59", "60-64", "65-69", "70-74", "75-79", "80-84", "85+")</f>
        <v>35-39</v>
      </c>
      <c r="D5889" t="s">
        <v>7</v>
      </c>
    </row>
    <row r="5890" spans="1:4">
      <c r="A5890" t="s">
        <v>6</v>
      </c>
      <c r="B5890">
        <v>24</v>
      </c>
      <c r="C5890" t="str">
        <f>CHOOSE(MATCH(B5890, {20,25,30,35,40,45,50,55,60,65,70,75,80,85}, 1), "20-24", "25-29", "30-34", "35-39", "40-44", "45-49", "50-54", "55-59", "60-64", "65-69", "70-74", "75-79", "80-84", "85+")</f>
        <v>20-24</v>
      </c>
      <c r="D5890" t="s">
        <v>7</v>
      </c>
    </row>
    <row r="5891" spans="1:4">
      <c r="A5891" t="s">
        <v>6</v>
      </c>
      <c r="B5891">
        <v>26</v>
      </c>
      <c r="C5891" t="str">
        <f>CHOOSE(MATCH(B5891, {20,25,30,35,40,45,50,55,60,65,70,75,80,85}, 1), "20-24", "25-29", "30-34", "35-39", "40-44", "45-49", "50-54", "55-59", "60-64", "65-69", "70-74", "75-79", "80-84", "85+")</f>
        <v>25-29</v>
      </c>
      <c r="D5891" t="s">
        <v>7</v>
      </c>
    </row>
    <row r="5892" spans="1:4">
      <c r="A5892" t="s">
        <v>6</v>
      </c>
      <c r="B5892">
        <v>32</v>
      </c>
      <c r="C5892" t="str">
        <f>CHOOSE(MATCH(B5892, {20,25,30,35,40,45,50,55,60,65,70,75,80,85}, 1), "20-24", "25-29", "30-34", "35-39", "40-44", "45-49", "50-54", "55-59", "60-64", "65-69", "70-74", "75-79", "80-84", "85+")</f>
        <v>30-34</v>
      </c>
      <c r="D5892" t="s">
        <v>7</v>
      </c>
    </row>
    <row r="5893" spans="1:4">
      <c r="A5893" t="s">
        <v>6</v>
      </c>
      <c r="B5893">
        <v>44</v>
      </c>
      <c r="C5893" t="str">
        <f>CHOOSE(MATCH(B5893, {20,25,30,35,40,45,50,55,60,65,70,75,80,85}, 1), "20-24", "25-29", "30-34", "35-39", "40-44", "45-49", "50-54", "55-59", "60-64", "65-69", "70-74", "75-79", "80-84", "85+")</f>
        <v>40-44</v>
      </c>
      <c r="D5893" t="s">
        <v>8</v>
      </c>
    </row>
    <row r="5894" spans="1:4">
      <c r="A5894" t="s">
        <v>6</v>
      </c>
      <c r="B5894">
        <v>80</v>
      </c>
      <c r="C5894" t="str">
        <f>CHOOSE(MATCH(B5894, {20,25,30,35,40,45,50,55,60,65,70,75,80,85}, 1), "20-24", "25-29", "30-34", "35-39", "40-44", "45-49", "50-54", "55-59", "60-64", "65-69", "70-74", "75-79", "80-84", "85+")</f>
        <v>80-84</v>
      </c>
      <c r="D5894" t="s">
        <v>8</v>
      </c>
    </row>
    <row r="5895" spans="1:4">
      <c r="A5895" t="s">
        <v>6</v>
      </c>
      <c r="B5895">
        <v>46</v>
      </c>
      <c r="C5895" t="str">
        <f>CHOOSE(MATCH(B5895, {20,25,30,35,40,45,50,55,60,65,70,75,80,85}, 1), "20-24", "25-29", "30-34", "35-39", "40-44", "45-49", "50-54", "55-59", "60-64", "65-69", "70-74", "75-79", "80-84", "85+")</f>
        <v>45-49</v>
      </c>
      <c r="D5895" t="s">
        <v>7</v>
      </c>
    </row>
    <row r="5896" spans="1:4">
      <c r="A5896" t="s">
        <v>6</v>
      </c>
      <c r="B5896">
        <v>76</v>
      </c>
      <c r="C5896" t="str">
        <f>CHOOSE(MATCH(B5896, {20,25,30,35,40,45,50,55,60,65,70,75,80,85}, 1), "20-24", "25-29", "30-34", "35-39", "40-44", "45-49", "50-54", "55-59", "60-64", "65-69", "70-74", "75-79", "80-84", "85+")</f>
        <v>75-79</v>
      </c>
      <c r="D5896" t="s">
        <v>7</v>
      </c>
    </row>
    <row r="5897" spans="1:4">
      <c r="A5897" t="s">
        <v>6</v>
      </c>
      <c r="B5897">
        <v>46</v>
      </c>
      <c r="C5897" t="str">
        <f>CHOOSE(MATCH(B5897, {20,25,30,35,40,45,50,55,60,65,70,75,80,85}, 1), "20-24", "25-29", "30-34", "35-39", "40-44", "45-49", "50-54", "55-59", "60-64", "65-69", "70-74", "75-79", "80-84", "85+")</f>
        <v>45-49</v>
      </c>
      <c r="D5897" t="s">
        <v>7</v>
      </c>
    </row>
    <row r="5898" spans="1:4">
      <c r="A5898" t="s">
        <v>6</v>
      </c>
      <c r="B5898">
        <v>30</v>
      </c>
      <c r="C5898" t="str">
        <f>CHOOSE(MATCH(B5898, {20,25,30,35,40,45,50,55,60,65,70,75,80,85}, 1), "20-24", "25-29", "30-34", "35-39", "40-44", "45-49", "50-54", "55-59", "60-64", "65-69", "70-74", "75-79", "80-84", "85+")</f>
        <v>30-34</v>
      </c>
      <c r="D5898" t="s">
        <v>7</v>
      </c>
    </row>
    <row r="5899" spans="1:4">
      <c r="A5899" t="s">
        <v>6</v>
      </c>
      <c r="B5899">
        <v>28</v>
      </c>
      <c r="C5899" t="str">
        <f>CHOOSE(MATCH(B5899, {20,25,30,35,40,45,50,55,60,65,70,75,80,85}, 1), "20-24", "25-29", "30-34", "35-39", "40-44", "45-49", "50-54", "55-59", "60-64", "65-69", "70-74", "75-79", "80-84", "85+")</f>
        <v>25-29</v>
      </c>
      <c r="D5899" t="s">
        <v>8</v>
      </c>
    </row>
    <row r="5900" spans="1:4">
      <c r="A5900" t="s">
        <v>6</v>
      </c>
      <c r="B5900">
        <v>32</v>
      </c>
      <c r="C5900" t="str">
        <f>CHOOSE(MATCH(B5900, {20,25,30,35,40,45,50,55,60,65,70,75,80,85}, 1), "20-24", "25-29", "30-34", "35-39", "40-44", "45-49", "50-54", "55-59", "60-64", "65-69", "70-74", "75-79", "80-84", "85+")</f>
        <v>30-34</v>
      </c>
      <c r="D5900" t="s">
        <v>8</v>
      </c>
    </row>
    <row r="5901" spans="1:4">
      <c r="A5901" t="s">
        <v>6</v>
      </c>
      <c r="B5901">
        <v>36</v>
      </c>
      <c r="C5901" t="str">
        <f>CHOOSE(MATCH(B5901, {20,25,30,35,40,45,50,55,60,65,70,75,80,85}, 1), "20-24", "25-29", "30-34", "35-39", "40-44", "45-49", "50-54", "55-59", "60-64", "65-69", "70-74", "75-79", "80-84", "85+")</f>
        <v>35-39</v>
      </c>
      <c r="D5901" t="s">
        <v>7</v>
      </c>
    </row>
    <row r="5902" spans="1:4">
      <c r="A5902" t="s">
        <v>6</v>
      </c>
      <c r="B5902">
        <v>32</v>
      </c>
      <c r="C5902" t="str">
        <f>CHOOSE(MATCH(B5902, {20,25,30,35,40,45,50,55,60,65,70,75,80,85}, 1), "20-24", "25-29", "30-34", "35-39", "40-44", "45-49", "50-54", "55-59", "60-64", "65-69", "70-74", "75-79", "80-84", "85+")</f>
        <v>30-34</v>
      </c>
      <c r="D5902" t="s">
        <v>7</v>
      </c>
    </row>
    <row r="5903" spans="1:4">
      <c r="A5903" t="s">
        <v>6</v>
      </c>
      <c r="B5903">
        <v>36</v>
      </c>
      <c r="C5903" t="str">
        <f>CHOOSE(MATCH(B5903, {20,25,30,35,40,45,50,55,60,65,70,75,80,85}, 1), "20-24", "25-29", "30-34", "35-39", "40-44", "45-49", "50-54", "55-59", "60-64", "65-69", "70-74", "75-79", "80-84", "85+")</f>
        <v>35-39</v>
      </c>
      <c r="D5903" t="s">
        <v>8</v>
      </c>
    </row>
    <row r="5904" spans="1:4">
      <c r="A5904" t="s">
        <v>6</v>
      </c>
      <c r="B5904">
        <v>34</v>
      </c>
      <c r="C5904" t="str">
        <f>CHOOSE(MATCH(B5904, {20,25,30,35,40,45,50,55,60,65,70,75,80,85}, 1), "20-24", "25-29", "30-34", "35-39", "40-44", "45-49", "50-54", "55-59", "60-64", "65-69", "70-74", "75-79", "80-84", "85+")</f>
        <v>30-34</v>
      </c>
      <c r="D5904" t="s">
        <v>7</v>
      </c>
    </row>
    <row r="5905" spans="1:4">
      <c r="A5905" t="s">
        <v>6</v>
      </c>
      <c r="B5905">
        <v>48</v>
      </c>
      <c r="C5905" t="str">
        <f>CHOOSE(MATCH(B5905, {20,25,30,35,40,45,50,55,60,65,70,75,80,85}, 1), "20-24", "25-29", "30-34", "35-39", "40-44", "45-49", "50-54", "55-59", "60-64", "65-69", "70-74", "75-79", "80-84", "85+")</f>
        <v>45-49</v>
      </c>
      <c r="D5905" t="s">
        <v>8</v>
      </c>
    </row>
    <row r="5906" spans="1:4">
      <c r="A5906" t="s">
        <v>6</v>
      </c>
      <c r="B5906">
        <v>39</v>
      </c>
      <c r="C5906" t="str">
        <f>CHOOSE(MATCH(B5906, {20,25,30,35,40,45,50,55,60,65,70,75,80,85}, 1), "20-24", "25-29", "30-34", "35-39", "40-44", "45-49", "50-54", "55-59", "60-64", "65-69", "70-74", "75-79", "80-84", "85+")</f>
        <v>35-39</v>
      </c>
      <c r="D5906" t="s">
        <v>8</v>
      </c>
    </row>
    <row r="5907" spans="1:4">
      <c r="A5907" t="s">
        <v>6</v>
      </c>
      <c r="B5907">
        <v>48</v>
      </c>
      <c r="C5907" t="str">
        <f>CHOOSE(MATCH(B5907, {20,25,30,35,40,45,50,55,60,65,70,75,80,85}, 1), "20-24", "25-29", "30-34", "35-39", "40-44", "45-49", "50-54", "55-59", "60-64", "65-69", "70-74", "75-79", "80-84", "85+")</f>
        <v>45-49</v>
      </c>
      <c r="D5907" t="s">
        <v>7</v>
      </c>
    </row>
    <row r="5908" spans="1:4">
      <c r="A5908" t="s">
        <v>6</v>
      </c>
      <c r="B5908">
        <v>55</v>
      </c>
      <c r="C5908" t="str">
        <f>CHOOSE(MATCH(B5908, {20,25,30,35,40,45,50,55,60,65,70,75,80,85}, 1), "20-24", "25-29", "30-34", "35-39", "40-44", "45-49", "50-54", "55-59", "60-64", "65-69", "70-74", "75-79", "80-84", "85+")</f>
        <v>55-59</v>
      </c>
      <c r="D5908" t="s">
        <v>7</v>
      </c>
    </row>
    <row r="5909" spans="1:4">
      <c r="A5909" t="s">
        <v>6</v>
      </c>
      <c r="B5909">
        <v>42</v>
      </c>
      <c r="C5909" t="str">
        <f>CHOOSE(MATCH(B5909, {20,25,30,35,40,45,50,55,60,65,70,75,80,85}, 1), "20-24", "25-29", "30-34", "35-39", "40-44", "45-49", "50-54", "55-59", "60-64", "65-69", "70-74", "75-79", "80-84", "85+")</f>
        <v>40-44</v>
      </c>
      <c r="D5909" t="s">
        <v>8</v>
      </c>
    </row>
    <row r="5910" spans="1:4">
      <c r="A5910" t="s">
        <v>6</v>
      </c>
      <c r="B5910">
        <v>32</v>
      </c>
      <c r="C5910" t="str">
        <f>CHOOSE(MATCH(B5910, {20,25,30,35,40,45,50,55,60,65,70,75,80,85}, 1), "20-24", "25-29", "30-34", "35-39", "40-44", "45-49", "50-54", "55-59", "60-64", "65-69", "70-74", "75-79", "80-84", "85+")</f>
        <v>30-34</v>
      </c>
      <c r="D5910" t="s">
        <v>8</v>
      </c>
    </row>
    <row r="5911" spans="1:4">
      <c r="A5911" t="s">
        <v>6</v>
      </c>
      <c r="B5911">
        <v>69</v>
      </c>
      <c r="C5911" t="str">
        <f>CHOOSE(MATCH(B5911, {20,25,30,35,40,45,50,55,60,65,70,75,80,85}, 1), "20-24", "25-29", "30-34", "35-39", "40-44", "45-49", "50-54", "55-59", "60-64", "65-69", "70-74", "75-79", "80-84", "85+")</f>
        <v>65-69</v>
      </c>
      <c r="D5911" t="s">
        <v>7</v>
      </c>
    </row>
    <row r="5912" spans="1:4">
      <c r="A5912" t="s">
        <v>6</v>
      </c>
      <c r="B5912">
        <v>22</v>
      </c>
      <c r="C5912" t="str">
        <f>CHOOSE(MATCH(B5912, {20,25,30,35,40,45,50,55,60,65,70,75,80,85}, 1), "20-24", "25-29", "30-34", "35-39", "40-44", "45-49", "50-54", "55-59", "60-64", "65-69", "70-74", "75-79", "80-84", "85+")</f>
        <v>20-24</v>
      </c>
      <c r="D5912" t="s">
        <v>7</v>
      </c>
    </row>
    <row r="5913" spans="1:4">
      <c r="A5913" t="s">
        <v>6</v>
      </c>
      <c r="B5913">
        <v>50</v>
      </c>
      <c r="C5913" t="str">
        <f>CHOOSE(MATCH(B5913, {20,25,30,35,40,45,50,55,60,65,70,75,80,85}, 1), "20-24", "25-29", "30-34", "35-39", "40-44", "45-49", "50-54", "55-59", "60-64", "65-69", "70-74", "75-79", "80-84", "85+")</f>
        <v>50-54</v>
      </c>
      <c r="D5913" t="s">
        <v>7</v>
      </c>
    </row>
    <row r="5914" spans="1:4">
      <c r="A5914" t="s">
        <v>6</v>
      </c>
      <c r="B5914">
        <v>33</v>
      </c>
      <c r="C5914" t="str">
        <f>CHOOSE(MATCH(B5914, {20,25,30,35,40,45,50,55,60,65,70,75,80,85}, 1), "20-24", "25-29", "30-34", "35-39", "40-44", "45-49", "50-54", "55-59", "60-64", "65-69", "70-74", "75-79", "80-84", "85+")</f>
        <v>30-34</v>
      </c>
      <c r="D5914" t="s">
        <v>7</v>
      </c>
    </row>
    <row r="5915" spans="1:4">
      <c r="A5915" t="s">
        <v>6</v>
      </c>
      <c r="B5915">
        <v>57</v>
      </c>
      <c r="C5915" t="str">
        <f>CHOOSE(MATCH(B5915, {20,25,30,35,40,45,50,55,60,65,70,75,80,85}, 1), "20-24", "25-29", "30-34", "35-39", "40-44", "45-49", "50-54", "55-59", "60-64", "65-69", "70-74", "75-79", "80-84", "85+")</f>
        <v>55-59</v>
      </c>
      <c r="D5915" t="s">
        <v>8</v>
      </c>
    </row>
    <row r="5916" spans="1:4">
      <c r="A5916" t="s">
        <v>6</v>
      </c>
      <c r="B5916">
        <v>60</v>
      </c>
      <c r="C5916" t="str">
        <f>CHOOSE(MATCH(B5916, {20,25,30,35,40,45,50,55,60,65,70,75,80,85}, 1), "20-24", "25-29", "30-34", "35-39", "40-44", "45-49", "50-54", "55-59", "60-64", "65-69", "70-74", "75-79", "80-84", "85+")</f>
        <v>60-64</v>
      </c>
      <c r="D5916" t="s">
        <v>8</v>
      </c>
    </row>
    <row r="5917" spans="1:4">
      <c r="A5917" t="s">
        <v>6</v>
      </c>
      <c r="B5917">
        <v>57</v>
      </c>
      <c r="C5917" t="str">
        <f>CHOOSE(MATCH(B5917, {20,25,30,35,40,45,50,55,60,65,70,75,80,85}, 1), "20-24", "25-29", "30-34", "35-39", "40-44", "45-49", "50-54", "55-59", "60-64", "65-69", "70-74", "75-79", "80-84", "85+")</f>
        <v>55-59</v>
      </c>
      <c r="D5917" t="s">
        <v>7</v>
      </c>
    </row>
    <row r="5918" spans="1:4">
      <c r="A5918" t="s">
        <v>6</v>
      </c>
      <c r="B5918">
        <v>22</v>
      </c>
      <c r="C5918" t="str">
        <f>CHOOSE(MATCH(B5918, {20,25,30,35,40,45,50,55,60,65,70,75,80,85}, 1), "20-24", "25-29", "30-34", "35-39", "40-44", "45-49", "50-54", "55-59", "60-64", "65-69", "70-74", "75-79", "80-84", "85+")</f>
        <v>20-24</v>
      </c>
      <c r="D5918" t="s">
        <v>7</v>
      </c>
    </row>
    <row r="5919" spans="1:4">
      <c r="A5919" t="s">
        <v>6</v>
      </c>
      <c r="B5919">
        <v>35</v>
      </c>
      <c r="C5919" t="str">
        <f>CHOOSE(MATCH(B5919, {20,25,30,35,40,45,50,55,60,65,70,75,80,85}, 1), "20-24", "25-29", "30-34", "35-39", "40-44", "45-49", "50-54", "55-59", "60-64", "65-69", "70-74", "75-79", "80-84", "85+")</f>
        <v>35-39</v>
      </c>
      <c r="D5919" t="s">
        <v>7</v>
      </c>
    </row>
    <row r="5920" spans="1:4">
      <c r="A5920" t="s">
        <v>6</v>
      </c>
      <c r="B5920">
        <v>37</v>
      </c>
      <c r="C5920" t="str">
        <f>CHOOSE(MATCH(B5920, {20,25,30,35,40,45,50,55,60,65,70,75,80,85}, 1), "20-24", "25-29", "30-34", "35-39", "40-44", "45-49", "50-54", "55-59", "60-64", "65-69", "70-74", "75-79", "80-84", "85+")</f>
        <v>35-39</v>
      </c>
      <c r="D5920" t="s">
        <v>7</v>
      </c>
    </row>
    <row r="5921" spans="1:4">
      <c r="A5921" t="s">
        <v>6</v>
      </c>
      <c r="B5921">
        <v>36</v>
      </c>
      <c r="C5921" t="str">
        <f>CHOOSE(MATCH(B5921, {20,25,30,35,40,45,50,55,60,65,70,75,80,85}, 1), "20-24", "25-29", "30-34", "35-39", "40-44", "45-49", "50-54", "55-59", "60-64", "65-69", "70-74", "75-79", "80-84", "85+")</f>
        <v>35-39</v>
      </c>
      <c r="D5921" t="s">
        <v>7</v>
      </c>
    </row>
    <row r="5922" spans="1:4">
      <c r="A5922" t="s">
        <v>6</v>
      </c>
      <c r="B5922">
        <v>38</v>
      </c>
      <c r="C5922" t="str">
        <f>CHOOSE(MATCH(B5922, {20,25,30,35,40,45,50,55,60,65,70,75,80,85}, 1), "20-24", "25-29", "30-34", "35-39", "40-44", "45-49", "50-54", "55-59", "60-64", "65-69", "70-74", "75-79", "80-84", "85+")</f>
        <v>35-39</v>
      </c>
      <c r="D5922" t="s">
        <v>7</v>
      </c>
    </row>
    <row r="5923" spans="1:4">
      <c r="A5923" t="s">
        <v>6</v>
      </c>
      <c r="B5923">
        <v>78</v>
      </c>
      <c r="C5923" t="str">
        <f>CHOOSE(MATCH(B5923, {20,25,30,35,40,45,50,55,60,65,70,75,80,85}, 1), "20-24", "25-29", "30-34", "35-39", "40-44", "45-49", "50-54", "55-59", "60-64", "65-69", "70-74", "75-79", "80-84", "85+")</f>
        <v>75-79</v>
      </c>
      <c r="D5923" t="s">
        <v>8</v>
      </c>
    </row>
    <row r="5924" spans="1:4">
      <c r="A5924" t="s">
        <v>6</v>
      </c>
      <c r="B5924">
        <v>42</v>
      </c>
      <c r="C5924" t="str">
        <f>CHOOSE(MATCH(B5924, {20,25,30,35,40,45,50,55,60,65,70,75,80,85}, 1), "20-24", "25-29", "30-34", "35-39", "40-44", "45-49", "50-54", "55-59", "60-64", "65-69", "70-74", "75-79", "80-84", "85+")</f>
        <v>40-44</v>
      </c>
      <c r="D5924" t="s">
        <v>8</v>
      </c>
    </row>
    <row r="5925" spans="1:4">
      <c r="A5925" t="s">
        <v>6</v>
      </c>
      <c r="B5925">
        <v>32</v>
      </c>
      <c r="C5925" t="str">
        <f>CHOOSE(MATCH(B5925, {20,25,30,35,40,45,50,55,60,65,70,75,80,85}, 1), "20-24", "25-29", "30-34", "35-39", "40-44", "45-49", "50-54", "55-59", "60-64", "65-69", "70-74", "75-79", "80-84", "85+")</f>
        <v>30-34</v>
      </c>
      <c r="D5925" t="s">
        <v>7</v>
      </c>
    </row>
    <row r="5926" spans="1:4">
      <c r="A5926" t="s">
        <v>6</v>
      </c>
      <c r="B5926">
        <v>72</v>
      </c>
      <c r="C5926" t="str">
        <f>CHOOSE(MATCH(B5926, {20,25,30,35,40,45,50,55,60,65,70,75,80,85}, 1), "20-24", "25-29", "30-34", "35-39", "40-44", "45-49", "50-54", "55-59", "60-64", "65-69", "70-74", "75-79", "80-84", "85+")</f>
        <v>70-74</v>
      </c>
      <c r="D5926" t="s">
        <v>7</v>
      </c>
    </row>
    <row r="5927" spans="1:4">
      <c r="A5927" t="s">
        <v>6</v>
      </c>
      <c r="B5927">
        <v>26</v>
      </c>
      <c r="C5927" t="str">
        <f>CHOOSE(MATCH(B5927, {20,25,30,35,40,45,50,55,60,65,70,75,80,85}, 1), "20-24", "25-29", "30-34", "35-39", "40-44", "45-49", "50-54", "55-59", "60-64", "65-69", "70-74", "75-79", "80-84", "85+")</f>
        <v>25-29</v>
      </c>
      <c r="D5927" t="s">
        <v>7</v>
      </c>
    </row>
    <row r="5928" spans="1:4">
      <c r="A5928" t="s">
        <v>6</v>
      </c>
      <c r="B5928">
        <v>82</v>
      </c>
      <c r="C5928" t="str">
        <f>CHOOSE(MATCH(B5928, {20,25,30,35,40,45,50,55,60,65,70,75,80,85}, 1), "20-24", "25-29", "30-34", "35-39", "40-44", "45-49", "50-54", "55-59", "60-64", "65-69", "70-74", "75-79", "80-84", "85+")</f>
        <v>80-84</v>
      </c>
      <c r="D5928" t="s">
        <v>8</v>
      </c>
    </row>
    <row r="5929" spans="1:4">
      <c r="A5929" t="s">
        <v>6</v>
      </c>
      <c r="B5929">
        <v>39</v>
      </c>
      <c r="C5929" t="str">
        <f>CHOOSE(MATCH(B5929, {20,25,30,35,40,45,50,55,60,65,70,75,80,85}, 1), "20-24", "25-29", "30-34", "35-39", "40-44", "45-49", "50-54", "55-59", "60-64", "65-69", "70-74", "75-79", "80-84", "85+")</f>
        <v>35-39</v>
      </c>
      <c r="D5929" t="s">
        <v>8</v>
      </c>
    </row>
    <row r="5930" spans="1:4">
      <c r="A5930" t="s">
        <v>6</v>
      </c>
      <c r="B5930">
        <v>36</v>
      </c>
      <c r="C5930" t="str">
        <f>CHOOSE(MATCH(B5930, {20,25,30,35,40,45,50,55,60,65,70,75,80,85}, 1), "20-24", "25-29", "30-34", "35-39", "40-44", "45-49", "50-54", "55-59", "60-64", "65-69", "70-74", "75-79", "80-84", "85+")</f>
        <v>35-39</v>
      </c>
      <c r="D5930" t="s">
        <v>7</v>
      </c>
    </row>
    <row r="5931" spans="1:4">
      <c r="A5931" t="s">
        <v>6</v>
      </c>
      <c r="B5931">
        <v>52</v>
      </c>
      <c r="C5931" t="str">
        <f>CHOOSE(MATCH(B5931, {20,25,30,35,40,45,50,55,60,65,70,75,80,85}, 1), "20-24", "25-29", "30-34", "35-39", "40-44", "45-49", "50-54", "55-59", "60-64", "65-69", "70-74", "75-79", "80-84", "85+")</f>
        <v>50-54</v>
      </c>
      <c r="D5931" t="s">
        <v>8</v>
      </c>
    </row>
    <row r="5932" spans="1:4">
      <c r="A5932" t="s">
        <v>6</v>
      </c>
      <c r="B5932">
        <v>58</v>
      </c>
      <c r="C5932" t="str">
        <f>CHOOSE(MATCH(B5932, {20,25,30,35,40,45,50,55,60,65,70,75,80,85}, 1), "20-24", "25-29", "30-34", "35-39", "40-44", "45-49", "50-54", "55-59", "60-64", "65-69", "70-74", "75-79", "80-84", "85+")</f>
        <v>55-59</v>
      </c>
      <c r="D5932" t="s">
        <v>8</v>
      </c>
    </row>
    <row r="5933" spans="1:4">
      <c r="A5933" t="s">
        <v>6</v>
      </c>
      <c r="B5933">
        <v>43</v>
      </c>
      <c r="C5933" t="str">
        <f>CHOOSE(MATCH(B5933, {20,25,30,35,40,45,50,55,60,65,70,75,80,85}, 1), "20-24", "25-29", "30-34", "35-39", "40-44", "45-49", "50-54", "55-59", "60-64", "65-69", "70-74", "75-79", "80-84", "85+")</f>
        <v>40-44</v>
      </c>
      <c r="D5933" t="s">
        <v>8</v>
      </c>
    </row>
    <row r="5934" spans="1:4">
      <c r="A5934" t="s">
        <v>6</v>
      </c>
      <c r="B5934">
        <v>66</v>
      </c>
      <c r="C5934" t="str">
        <f>CHOOSE(MATCH(B5934, {20,25,30,35,40,45,50,55,60,65,70,75,80,85}, 1), "20-24", "25-29", "30-34", "35-39", "40-44", "45-49", "50-54", "55-59", "60-64", "65-69", "70-74", "75-79", "80-84", "85+")</f>
        <v>65-69</v>
      </c>
      <c r="D5934" t="s">
        <v>8</v>
      </c>
    </row>
    <row r="5935" spans="1:4">
      <c r="A5935" t="s">
        <v>6</v>
      </c>
      <c r="B5935">
        <v>44</v>
      </c>
      <c r="C5935" t="str">
        <f>CHOOSE(MATCH(B5935, {20,25,30,35,40,45,50,55,60,65,70,75,80,85}, 1), "20-24", "25-29", "30-34", "35-39", "40-44", "45-49", "50-54", "55-59", "60-64", "65-69", "70-74", "75-79", "80-84", "85+")</f>
        <v>40-44</v>
      </c>
      <c r="D5935" t="s">
        <v>7</v>
      </c>
    </row>
    <row r="5936" spans="1:4">
      <c r="A5936" t="s">
        <v>6</v>
      </c>
      <c r="B5936">
        <v>82</v>
      </c>
      <c r="C5936" t="str">
        <f>CHOOSE(MATCH(B5936, {20,25,30,35,40,45,50,55,60,65,70,75,80,85}, 1), "20-24", "25-29", "30-34", "35-39", "40-44", "45-49", "50-54", "55-59", "60-64", "65-69", "70-74", "75-79", "80-84", "85+")</f>
        <v>80-84</v>
      </c>
      <c r="D5936" t="s">
        <v>7</v>
      </c>
    </row>
    <row r="5937" spans="1:4">
      <c r="A5937" t="s">
        <v>6</v>
      </c>
      <c r="B5937">
        <v>70</v>
      </c>
      <c r="C5937" t="str">
        <f>CHOOSE(MATCH(B5937, {20,25,30,35,40,45,50,55,60,65,70,75,80,85}, 1), "20-24", "25-29", "30-34", "35-39", "40-44", "45-49", "50-54", "55-59", "60-64", "65-69", "70-74", "75-79", "80-84", "85+")</f>
        <v>70-74</v>
      </c>
      <c r="D5937" t="s">
        <v>8</v>
      </c>
    </row>
    <row r="5938" spans="1:4">
      <c r="A5938" t="s">
        <v>6</v>
      </c>
      <c r="B5938">
        <v>47</v>
      </c>
      <c r="C5938" t="str">
        <f>CHOOSE(MATCH(B5938, {20,25,30,35,40,45,50,55,60,65,70,75,80,85}, 1), "20-24", "25-29", "30-34", "35-39", "40-44", "45-49", "50-54", "55-59", "60-64", "65-69", "70-74", "75-79", "80-84", "85+")</f>
        <v>45-49</v>
      </c>
      <c r="D5938" t="s">
        <v>7</v>
      </c>
    </row>
    <row r="5939" spans="1:4">
      <c r="A5939" t="s">
        <v>6</v>
      </c>
      <c r="B5939">
        <v>33</v>
      </c>
      <c r="C5939" t="str">
        <f>CHOOSE(MATCH(B5939, {20,25,30,35,40,45,50,55,60,65,70,75,80,85}, 1), "20-24", "25-29", "30-34", "35-39", "40-44", "45-49", "50-54", "55-59", "60-64", "65-69", "70-74", "75-79", "80-84", "85+")</f>
        <v>30-34</v>
      </c>
      <c r="D5939" t="s">
        <v>7</v>
      </c>
    </row>
    <row r="5940" spans="1:4">
      <c r="A5940" t="s">
        <v>6</v>
      </c>
      <c r="B5940">
        <v>73</v>
      </c>
      <c r="C5940" t="str">
        <f>CHOOSE(MATCH(B5940, {20,25,30,35,40,45,50,55,60,65,70,75,80,85}, 1), "20-24", "25-29", "30-34", "35-39", "40-44", "45-49", "50-54", "55-59", "60-64", "65-69", "70-74", "75-79", "80-84", "85+")</f>
        <v>70-74</v>
      </c>
      <c r="D5940" t="s">
        <v>7</v>
      </c>
    </row>
    <row r="5941" spans="1:4">
      <c r="A5941" t="s">
        <v>6</v>
      </c>
      <c r="B5941">
        <v>22</v>
      </c>
      <c r="C5941" t="str">
        <f>CHOOSE(MATCH(B5941, {20,25,30,35,40,45,50,55,60,65,70,75,80,85}, 1), "20-24", "25-29", "30-34", "35-39", "40-44", "45-49", "50-54", "55-59", "60-64", "65-69", "70-74", "75-79", "80-84", "85+")</f>
        <v>20-24</v>
      </c>
      <c r="D5941" t="s">
        <v>8</v>
      </c>
    </row>
    <row r="5942" spans="1:4">
      <c r="A5942" t="s">
        <v>6</v>
      </c>
      <c r="B5942">
        <v>52</v>
      </c>
      <c r="C5942" t="str">
        <f>CHOOSE(MATCH(B5942, {20,25,30,35,40,45,50,55,60,65,70,75,80,85}, 1), "20-24", "25-29", "30-34", "35-39", "40-44", "45-49", "50-54", "55-59", "60-64", "65-69", "70-74", "75-79", "80-84", "85+")</f>
        <v>50-54</v>
      </c>
      <c r="D5942" t="s">
        <v>7</v>
      </c>
    </row>
    <row r="5943" spans="1:4">
      <c r="A5943" t="s">
        <v>6</v>
      </c>
      <c r="B5943">
        <v>28</v>
      </c>
      <c r="C5943" t="str">
        <f>CHOOSE(MATCH(B5943, {20,25,30,35,40,45,50,55,60,65,70,75,80,85}, 1), "20-24", "25-29", "30-34", "35-39", "40-44", "45-49", "50-54", "55-59", "60-64", "65-69", "70-74", "75-79", "80-84", "85+")</f>
        <v>25-29</v>
      </c>
      <c r="D5943" t="s">
        <v>7</v>
      </c>
    </row>
    <row r="5944" spans="1:4">
      <c r="A5944" t="s">
        <v>6</v>
      </c>
      <c r="B5944">
        <v>21</v>
      </c>
      <c r="C5944" t="str">
        <f>CHOOSE(MATCH(B5944, {20,25,30,35,40,45,50,55,60,65,70,75,80,85}, 1), "20-24", "25-29", "30-34", "35-39", "40-44", "45-49", "50-54", "55-59", "60-64", "65-69", "70-74", "75-79", "80-84", "85+")</f>
        <v>20-24</v>
      </c>
      <c r="D5944" t="s">
        <v>8</v>
      </c>
    </row>
    <row r="5945" spans="1:4">
      <c r="A5945" t="s">
        <v>6</v>
      </c>
      <c r="B5945">
        <v>49</v>
      </c>
      <c r="C5945" t="str">
        <f>CHOOSE(MATCH(B5945, {20,25,30,35,40,45,50,55,60,65,70,75,80,85}, 1), "20-24", "25-29", "30-34", "35-39", "40-44", "45-49", "50-54", "55-59", "60-64", "65-69", "70-74", "75-79", "80-84", "85+")</f>
        <v>45-49</v>
      </c>
      <c r="D5945" t="s">
        <v>8</v>
      </c>
    </row>
    <row r="5946" spans="1:4">
      <c r="A5946" t="s">
        <v>6</v>
      </c>
      <c r="B5946">
        <v>25</v>
      </c>
      <c r="C5946" t="str">
        <f>CHOOSE(MATCH(B5946, {20,25,30,35,40,45,50,55,60,65,70,75,80,85}, 1), "20-24", "25-29", "30-34", "35-39", "40-44", "45-49", "50-54", "55-59", "60-64", "65-69", "70-74", "75-79", "80-84", "85+")</f>
        <v>25-29</v>
      </c>
      <c r="D5946" t="s">
        <v>8</v>
      </c>
    </row>
    <row r="5947" spans="1:4">
      <c r="A5947" t="s">
        <v>6</v>
      </c>
      <c r="B5947">
        <v>30</v>
      </c>
      <c r="C5947" t="str">
        <f>CHOOSE(MATCH(B5947, {20,25,30,35,40,45,50,55,60,65,70,75,80,85}, 1), "20-24", "25-29", "30-34", "35-39", "40-44", "45-49", "50-54", "55-59", "60-64", "65-69", "70-74", "75-79", "80-84", "85+")</f>
        <v>30-34</v>
      </c>
      <c r="D5947" t="s">
        <v>7</v>
      </c>
    </row>
    <row r="5948" spans="1:4">
      <c r="A5948" t="s">
        <v>6</v>
      </c>
      <c r="B5948">
        <v>22</v>
      </c>
      <c r="C5948" t="str">
        <f>CHOOSE(MATCH(B5948, {20,25,30,35,40,45,50,55,60,65,70,75,80,85}, 1), "20-24", "25-29", "30-34", "35-39", "40-44", "45-49", "50-54", "55-59", "60-64", "65-69", "70-74", "75-79", "80-84", "85+")</f>
        <v>20-24</v>
      </c>
      <c r="D5948" t="s">
        <v>8</v>
      </c>
    </row>
    <row r="5949" spans="1:4">
      <c r="A5949" t="s">
        <v>6</v>
      </c>
      <c r="B5949">
        <v>50</v>
      </c>
      <c r="C5949" t="str">
        <f>CHOOSE(MATCH(B5949, {20,25,30,35,40,45,50,55,60,65,70,75,80,85}, 1), "20-24", "25-29", "30-34", "35-39", "40-44", "45-49", "50-54", "55-59", "60-64", "65-69", "70-74", "75-79", "80-84", "85+")</f>
        <v>50-54</v>
      </c>
      <c r="D5949" t="s">
        <v>8</v>
      </c>
    </row>
    <row r="5950" spans="1:4">
      <c r="A5950" t="s">
        <v>6</v>
      </c>
      <c r="B5950">
        <v>31</v>
      </c>
      <c r="C5950" t="str">
        <f>CHOOSE(MATCH(B5950, {20,25,30,35,40,45,50,55,60,65,70,75,80,85}, 1), "20-24", "25-29", "30-34", "35-39", "40-44", "45-49", "50-54", "55-59", "60-64", "65-69", "70-74", "75-79", "80-84", "85+")</f>
        <v>30-34</v>
      </c>
      <c r="D5950" t="s">
        <v>7</v>
      </c>
    </row>
    <row r="5951" spans="1:4">
      <c r="A5951" t="s">
        <v>6</v>
      </c>
      <c r="B5951">
        <v>39</v>
      </c>
      <c r="C5951" t="str">
        <f>CHOOSE(MATCH(B5951, {20,25,30,35,40,45,50,55,60,65,70,75,80,85}, 1), "20-24", "25-29", "30-34", "35-39", "40-44", "45-49", "50-54", "55-59", "60-64", "65-69", "70-74", "75-79", "80-84", "85+")</f>
        <v>35-39</v>
      </c>
      <c r="D5951" t="s">
        <v>7</v>
      </c>
    </row>
    <row r="5952" spans="1:4">
      <c r="A5952" t="s">
        <v>6</v>
      </c>
      <c r="B5952">
        <v>45</v>
      </c>
      <c r="C5952" t="str">
        <f>CHOOSE(MATCH(B5952, {20,25,30,35,40,45,50,55,60,65,70,75,80,85}, 1), "20-24", "25-29", "30-34", "35-39", "40-44", "45-49", "50-54", "55-59", "60-64", "65-69", "70-74", "75-79", "80-84", "85+")</f>
        <v>45-49</v>
      </c>
      <c r="D5952" t="s">
        <v>7</v>
      </c>
    </row>
    <row r="5953" spans="1:4">
      <c r="A5953" t="s">
        <v>6</v>
      </c>
      <c r="B5953">
        <v>59</v>
      </c>
      <c r="C5953" t="str">
        <f>CHOOSE(MATCH(B5953, {20,25,30,35,40,45,50,55,60,65,70,75,80,85}, 1), "20-24", "25-29", "30-34", "35-39", "40-44", "45-49", "50-54", "55-59", "60-64", "65-69", "70-74", "75-79", "80-84", "85+")</f>
        <v>55-59</v>
      </c>
      <c r="D5953" t="s">
        <v>8</v>
      </c>
    </row>
    <row r="5954" spans="1:4">
      <c r="A5954" t="s">
        <v>6</v>
      </c>
      <c r="B5954">
        <v>73</v>
      </c>
      <c r="C5954" t="str">
        <f>CHOOSE(MATCH(B5954, {20,25,30,35,40,45,50,55,60,65,70,75,80,85}, 1), "20-24", "25-29", "30-34", "35-39", "40-44", "45-49", "50-54", "55-59", "60-64", "65-69", "70-74", "75-79", "80-84", "85+")</f>
        <v>70-74</v>
      </c>
      <c r="D5954" t="s">
        <v>7</v>
      </c>
    </row>
    <row r="5955" spans="1:4">
      <c r="A5955" t="s">
        <v>6</v>
      </c>
      <c r="B5955">
        <v>38</v>
      </c>
      <c r="C5955" t="str">
        <f>CHOOSE(MATCH(B5955, {20,25,30,35,40,45,50,55,60,65,70,75,80,85}, 1), "20-24", "25-29", "30-34", "35-39", "40-44", "45-49", "50-54", "55-59", "60-64", "65-69", "70-74", "75-79", "80-84", "85+")</f>
        <v>35-39</v>
      </c>
      <c r="D5955" t="s">
        <v>7</v>
      </c>
    </row>
    <row r="5956" spans="1:4">
      <c r="A5956" t="s">
        <v>6</v>
      </c>
      <c r="B5956">
        <v>59</v>
      </c>
      <c r="C5956" t="str">
        <f>CHOOSE(MATCH(B5956, {20,25,30,35,40,45,50,55,60,65,70,75,80,85}, 1), "20-24", "25-29", "30-34", "35-39", "40-44", "45-49", "50-54", "55-59", "60-64", "65-69", "70-74", "75-79", "80-84", "85+")</f>
        <v>55-59</v>
      </c>
      <c r="D5956" t="s">
        <v>7</v>
      </c>
    </row>
    <row r="5957" spans="1:4">
      <c r="A5957" t="s">
        <v>6</v>
      </c>
      <c r="B5957">
        <v>43</v>
      </c>
      <c r="C5957" t="str">
        <f>CHOOSE(MATCH(B5957, {20,25,30,35,40,45,50,55,60,65,70,75,80,85}, 1), "20-24", "25-29", "30-34", "35-39", "40-44", "45-49", "50-54", "55-59", "60-64", "65-69", "70-74", "75-79", "80-84", "85+")</f>
        <v>40-44</v>
      </c>
      <c r="D5957" t="s">
        <v>8</v>
      </c>
    </row>
    <row r="5958" spans="1:4">
      <c r="A5958" t="s">
        <v>6</v>
      </c>
      <c r="B5958">
        <v>40</v>
      </c>
      <c r="C5958" t="str">
        <f>CHOOSE(MATCH(B5958, {20,25,30,35,40,45,50,55,60,65,70,75,80,85}, 1), "20-24", "25-29", "30-34", "35-39", "40-44", "45-49", "50-54", "55-59", "60-64", "65-69", "70-74", "75-79", "80-84", "85+")</f>
        <v>40-44</v>
      </c>
      <c r="D5958" t="s">
        <v>8</v>
      </c>
    </row>
    <row r="5959" spans="1:4">
      <c r="A5959" t="s">
        <v>6</v>
      </c>
      <c r="B5959">
        <v>55</v>
      </c>
      <c r="C5959" t="str">
        <f>CHOOSE(MATCH(B5959, {20,25,30,35,40,45,50,55,60,65,70,75,80,85}, 1), "20-24", "25-29", "30-34", "35-39", "40-44", "45-49", "50-54", "55-59", "60-64", "65-69", "70-74", "75-79", "80-84", "85+")</f>
        <v>55-59</v>
      </c>
      <c r="D5959" t="s">
        <v>8</v>
      </c>
    </row>
    <row r="5960" spans="1:4">
      <c r="A5960" t="s">
        <v>6</v>
      </c>
      <c r="B5960">
        <v>28</v>
      </c>
      <c r="C5960" t="str">
        <f>CHOOSE(MATCH(B5960, {20,25,30,35,40,45,50,55,60,65,70,75,80,85}, 1), "20-24", "25-29", "30-34", "35-39", "40-44", "45-49", "50-54", "55-59", "60-64", "65-69", "70-74", "75-79", "80-84", "85+")</f>
        <v>25-29</v>
      </c>
      <c r="D5960" t="s">
        <v>7</v>
      </c>
    </row>
    <row r="5961" spans="1:4">
      <c r="A5961" t="s">
        <v>6</v>
      </c>
      <c r="B5961">
        <v>33</v>
      </c>
      <c r="C5961" t="str">
        <f>CHOOSE(MATCH(B5961, {20,25,30,35,40,45,50,55,60,65,70,75,80,85}, 1), "20-24", "25-29", "30-34", "35-39", "40-44", "45-49", "50-54", "55-59", "60-64", "65-69", "70-74", "75-79", "80-84", "85+")</f>
        <v>30-34</v>
      </c>
      <c r="D5961" t="s">
        <v>7</v>
      </c>
    </row>
    <row r="5962" spans="1:4">
      <c r="A5962" t="s">
        <v>6</v>
      </c>
      <c r="B5962">
        <v>30</v>
      </c>
      <c r="C5962" t="str">
        <f>CHOOSE(MATCH(B5962, {20,25,30,35,40,45,50,55,60,65,70,75,80,85}, 1), "20-24", "25-29", "30-34", "35-39", "40-44", "45-49", "50-54", "55-59", "60-64", "65-69", "70-74", "75-79", "80-84", "85+")</f>
        <v>30-34</v>
      </c>
      <c r="D5962" t="s">
        <v>8</v>
      </c>
    </row>
    <row r="5963" spans="1:4">
      <c r="A5963" t="s">
        <v>6</v>
      </c>
      <c r="B5963">
        <v>36</v>
      </c>
      <c r="C5963" t="str">
        <f>CHOOSE(MATCH(B5963, {20,25,30,35,40,45,50,55,60,65,70,75,80,85}, 1), "20-24", "25-29", "30-34", "35-39", "40-44", "45-49", "50-54", "55-59", "60-64", "65-69", "70-74", "75-79", "80-84", "85+")</f>
        <v>35-39</v>
      </c>
      <c r="D5963" t="s">
        <v>7</v>
      </c>
    </row>
    <row r="5964" spans="1:4">
      <c r="A5964" t="s">
        <v>6</v>
      </c>
      <c r="B5964">
        <v>25</v>
      </c>
      <c r="C5964" t="str">
        <f>CHOOSE(MATCH(B5964, {20,25,30,35,40,45,50,55,60,65,70,75,80,85}, 1), "20-24", "25-29", "30-34", "35-39", "40-44", "45-49", "50-54", "55-59", "60-64", "65-69", "70-74", "75-79", "80-84", "85+")</f>
        <v>25-29</v>
      </c>
      <c r="D5964" t="s">
        <v>7</v>
      </c>
    </row>
    <row r="5965" spans="1:4">
      <c r="A5965" t="s">
        <v>6</v>
      </c>
      <c r="B5965">
        <v>27</v>
      </c>
      <c r="C5965" t="str">
        <f>CHOOSE(MATCH(B5965, {20,25,30,35,40,45,50,55,60,65,70,75,80,85}, 1), "20-24", "25-29", "30-34", "35-39", "40-44", "45-49", "50-54", "55-59", "60-64", "65-69", "70-74", "75-79", "80-84", "85+")</f>
        <v>25-29</v>
      </c>
      <c r="D5965" t="s">
        <v>7</v>
      </c>
    </row>
    <row r="5966" spans="1:4">
      <c r="A5966" t="s">
        <v>6</v>
      </c>
      <c r="B5966">
        <v>61</v>
      </c>
      <c r="C5966" t="str">
        <f>CHOOSE(MATCH(B5966, {20,25,30,35,40,45,50,55,60,65,70,75,80,85}, 1), "20-24", "25-29", "30-34", "35-39", "40-44", "45-49", "50-54", "55-59", "60-64", "65-69", "70-74", "75-79", "80-84", "85+")</f>
        <v>60-64</v>
      </c>
      <c r="D5966" t="s">
        <v>7</v>
      </c>
    </row>
    <row r="5967" spans="1:4">
      <c r="A5967" t="s">
        <v>6</v>
      </c>
      <c r="B5967">
        <v>99</v>
      </c>
      <c r="C5967" t="str">
        <f>CHOOSE(MATCH(B5967, {20,25,30,35,40,45,50,55,60,65,70,75,80,85}, 1), "20-24", "25-29", "30-34", "35-39", "40-44", "45-49", "50-54", "55-59", "60-64", "65-69", "70-74", "75-79", "80-84", "85+")</f>
        <v>85+</v>
      </c>
      <c r="D5967" t="s">
        <v>7</v>
      </c>
    </row>
    <row r="5968" spans="1:4">
      <c r="A5968" t="s">
        <v>6</v>
      </c>
      <c r="B5968">
        <v>31</v>
      </c>
      <c r="C5968" t="str">
        <f>CHOOSE(MATCH(B5968, {20,25,30,35,40,45,50,55,60,65,70,75,80,85}, 1), "20-24", "25-29", "30-34", "35-39", "40-44", "45-49", "50-54", "55-59", "60-64", "65-69", "70-74", "75-79", "80-84", "85+")</f>
        <v>30-34</v>
      </c>
      <c r="D5968" t="s">
        <v>7</v>
      </c>
    </row>
    <row r="5969" spans="1:4">
      <c r="A5969" t="s">
        <v>6</v>
      </c>
      <c r="B5969">
        <v>31</v>
      </c>
      <c r="C5969" t="str">
        <f>CHOOSE(MATCH(B5969, {20,25,30,35,40,45,50,55,60,65,70,75,80,85}, 1), "20-24", "25-29", "30-34", "35-39", "40-44", "45-49", "50-54", "55-59", "60-64", "65-69", "70-74", "75-79", "80-84", "85+")</f>
        <v>30-34</v>
      </c>
      <c r="D5969" t="s">
        <v>7</v>
      </c>
    </row>
    <row r="5970" spans="1:4">
      <c r="A5970" t="s">
        <v>6</v>
      </c>
      <c r="B5970">
        <v>66</v>
      </c>
      <c r="C5970" t="str">
        <f>CHOOSE(MATCH(B5970, {20,25,30,35,40,45,50,55,60,65,70,75,80,85}, 1), "20-24", "25-29", "30-34", "35-39", "40-44", "45-49", "50-54", "55-59", "60-64", "65-69", "70-74", "75-79", "80-84", "85+")</f>
        <v>65-69</v>
      </c>
      <c r="D5970" t="s">
        <v>8</v>
      </c>
    </row>
    <row r="5971" spans="1:4">
      <c r="A5971" t="s">
        <v>6</v>
      </c>
      <c r="B5971">
        <v>42</v>
      </c>
      <c r="C5971" t="str">
        <f>CHOOSE(MATCH(B5971, {20,25,30,35,40,45,50,55,60,65,70,75,80,85}, 1), "20-24", "25-29", "30-34", "35-39", "40-44", "45-49", "50-54", "55-59", "60-64", "65-69", "70-74", "75-79", "80-84", "85+")</f>
        <v>40-44</v>
      </c>
      <c r="D5971" t="s">
        <v>8</v>
      </c>
    </row>
    <row r="5972" spans="1:4">
      <c r="A5972" t="s">
        <v>6</v>
      </c>
      <c r="B5972">
        <v>31</v>
      </c>
      <c r="C5972" t="str">
        <f>CHOOSE(MATCH(B5972, {20,25,30,35,40,45,50,55,60,65,70,75,80,85}, 1), "20-24", "25-29", "30-34", "35-39", "40-44", "45-49", "50-54", "55-59", "60-64", "65-69", "70-74", "75-79", "80-84", "85+")</f>
        <v>30-34</v>
      </c>
      <c r="D5972" t="s">
        <v>8</v>
      </c>
    </row>
    <row r="5973" spans="1:4">
      <c r="A5973" t="s">
        <v>6</v>
      </c>
      <c r="B5973">
        <v>45</v>
      </c>
      <c r="C5973" t="str">
        <f>CHOOSE(MATCH(B5973, {20,25,30,35,40,45,50,55,60,65,70,75,80,85}, 1), "20-24", "25-29", "30-34", "35-39", "40-44", "45-49", "50-54", "55-59", "60-64", "65-69", "70-74", "75-79", "80-84", "85+")</f>
        <v>45-49</v>
      </c>
      <c r="D5973" t="s">
        <v>8</v>
      </c>
    </row>
    <row r="5974" spans="1:4">
      <c r="A5974" t="s">
        <v>6</v>
      </c>
      <c r="B5974">
        <v>41</v>
      </c>
      <c r="C5974" t="str">
        <f>CHOOSE(MATCH(B5974, {20,25,30,35,40,45,50,55,60,65,70,75,80,85}, 1), "20-24", "25-29", "30-34", "35-39", "40-44", "45-49", "50-54", "55-59", "60-64", "65-69", "70-74", "75-79", "80-84", "85+")</f>
        <v>40-44</v>
      </c>
      <c r="D5974" t="s">
        <v>7</v>
      </c>
    </row>
    <row r="5975" spans="1:4">
      <c r="A5975" t="s">
        <v>6</v>
      </c>
      <c r="B5975">
        <v>55</v>
      </c>
      <c r="C5975" t="str">
        <f>CHOOSE(MATCH(B5975, {20,25,30,35,40,45,50,55,60,65,70,75,80,85}, 1), "20-24", "25-29", "30-34", "35-39", "40-44", "45-49", "50-54", "55-59", "60-64", "65-69", "70-74", "75-79", "80-84", "85+")</f>
        <v>55-59</v>
      </c>
      <c r="D5975" t="s">
        <v>7</v>
      </c>
    </row>
    <row r="5976" spans="1:4">
      <c r="A5976" t="s">
        <v>6</v>
      </c>
      <c r="B5976">
        <v>38</v>
      </c>
      <c r="C5976" t="str">
        <f>CHOOSE(MATCH(B5976, {20,25,30,35,40,45,50,55,60,65,70,75,80,85}, 1), "20-24", "25-29", "30-34", "35-39", "40-44", "45-49", "50-54", "55-59", "60-64", "65-69", "70-74", "75-79", "80-84", "85+")</f>
        <v>35-39</v>
      </c>
      <c r="D5976" t="s">
        <v>7</v>
      </c>
    </row>
    <row r="5977" spans="1:4">
      <c r="A5977" t="s">
        <v>6</v>
      </c>
      <c r="B5977">
        <v>67</v>
      </c>
      <c r="C5977" t="str">
        <f>CHOOSE(MATCH(B5977, {20,25,30,35,40,45,50,55,60,65,70,75,80,85}, 1), "20-24", "25-29", "30-34", "35-39", "40-44", "45-49", "50-54", "55-59", "60-64", "65-69", "70-74", "75-79", "80-84", "85+")</f>
        <v>65-69</v>
      </c>
      <c r="D5977" t="s">
        <v>8</v>
      </c>
    </row>
    <row r="5978" spans="1:4">
      <c r="A5978" t="s">
        <v>6</v>
      </c>
      <c r="B5978">
        <v>35</v>
      </c>
      <c r="C5978" t="str">
        <f>CHOOSE(MATCH(B5978, {20,25,30,35,40,45,50,55,60,65,70,75,80,85}, 1), "20-24", "25-29", "30-34", "35-39", "40-44", "45-49", "50-54", "55-59", "60-64", "65-69", "70-74", "75-79", "80-84", "85+")</f>
        <v>35-39</v>
      </c>
      <c r="D5978" t="s">
        <v>7</v>
      </c>
    </row>
    <row r="5979" spans="1:4">
      <c r="A5979" t="s">
        <v>6</v>
      </c>
      <c r="B5979">
        <v>23</v>
      </c>
      <c r="C5979" t="str">
        <f>CHOOSE(MATCH(B5979, {20,25,30,35,40,45,50,55,60,65,70,75,80,85}, 1), "20-24", "25-29", "30-34", "35-39", "40-44", "45-49", "50-54", "55-59", "60-64", "65-69", "70-74", "75-79", "80-84", "85+")</f>
        <v>20-24</v>
      </c>
      <c r="D5979" t="s">
        <v>7</v>
      </c>
    </row>
    <row r="5980" spans="1:4">
      <c r="A5980" t="s">
        <v>6</v>
      </c>
      <c r="B5980">
        <v>49</v>
      </c>
      <c r="C5980" t="str">
        <f>CHOOSE(MATCH(B5980, {20,25,30,35,40,45,50,55,60,65,70,75,80,85}, 1), "20-24", "25-29", "30-34", "35-39", "40-44", "45-49", "50-54", "55-59", "60-64", "65-69", "70-74", "75-79", "80-84", "85+")</f>
        <v>45-49</v>
      </c>
      <c r="D5980" t="s">
        <v>8</v>
      </c>
    </row>
    <row r="5981" spans="1:4">
      <c r="A5981" t="s">
        <v>6</v>
      </c>
      <c r="B5981">
        <v>33</v>
      </c>
      <c r="C5981" t="str">
        <f>CHOOSE(MATCH(B5981, {20,25,30,35,40,45,50,55,60,65,70,75,80,85}, 1), "20-24", "25-29", "30-34", "35-39", "40-44", "45-49", "50-54", "55-59", "60-64", "65-69", "70-74", "75-79", "80-84", "85+")</f>
        <v>30-34</v>
      </c>
      <c r="D5981" t="s">
        <v>8</v>
      </c>
    </row>
    <row r="5982" spans="1:4">
      <c r="A5982" t="s">
        <v>6</v>
      </c>
      <c r="B5982">
        <v>28</v>
      </c>
      <c r="C5982" t="str">
        <f>CHOOSE(MATCH(B5982, {20,25,30,35,40,45,50,55,60,65,70,75,80,85}, 1), "20-24", "25-29", "30-34", "35-39", "40-44", "45-49", "50-54", "55-59", "60-64", "65-69", "70-74", "75-79", "80-84", "85+")</f>
        <v>25-29</v>
      </c>
      <c r="D5982" t="s">
        <v>7</v>
      </c>
    </row>
    <row r="5983" spans="1:4">
      <c r="A5983" t="s">
        <v>6</v>
      </c>
      <c r="B5983">
        <v>39</v>
      </c>
      <c r="C5983" t="str">
        <f>CHOOSE(MATCH(B5983, {20,25,30,35,40,45,50,55,60,65,70,75,80,85}, 1), "20-24", "25-29", "30-34", "35-39", "40-44", "45-49", "50-54", "55-59", "60-64", "65-69", "70-74", "75-79", "80-84", "85+")</f>
        <v>35-39</v>
      </c>
      <c r="D5983" t="s">
        <v>8</v>
      </c>
    </row>
    <row r="5984" spans="1:4">
      <c r="A5984" t="s">
        <v>6</v>
      </c>
      <c r="B5984">
        <v>29</v>
      </c>
      <c r="C5984" t="str">
        <f>CHOOSE(MATCH(B5984, {20,25,30,35,40,45,50,55,60,65,70,75,80,85}, 1), "20-24", "25-29", "30-34", "35-39", "40-44", "45-49", "50-54", "55-59", "60-64", "65-69", "70-74", "75-79", "80-84", "85+")</f>
        <v>25-29</v>
      </c>
      <c r="D5984" t="s">
        <v>7</v>
      </c>
    </row>
    <row r="5985" spans="1:4">
      <c r="A5985" t="s">
        <v>6</v>
      </c>
      <c r="B5985">
        <v>90</v>
      </c>
      <c r="C5985" t="str">
        <f>CHOOSE(MATCH(B5985, {20,25,30,35,40,45,50,55,60,65,70,75,80,85}, 1), "20-24", "25-29", "30-34", "35-39", "40-44", "45-49", "50-54", "55-59", "60-64", "65-69", "70-74", "75-79", "80-84", "85+")</f>
        <v>85+</v>
      </c>
      <c r="D5985" t="s">
        <v>7</v>
      </c>
    </row>
    <row r="5986" spans="1:4">
      <c r="A5986" t="s">
        <v>6</v>
      </c>
      <c r="B5986">
        <v>39</v>
      </c>
      <c r="C5986" t="str">
        <f>CHOOSE(MATCH(B5986, {20,25,30,35,40,45,50,55,60,65,70,75,80,85}, 1), "20-24", "25-29", "30-34", "35-39", "40-44", "45-49", "50-54", "55-59", "60-64", "65-69", "70-74", "75-79", "80-84", "85+")</f>
        <v>35-39</v>
      </c>
      <c r="D5986" t="s">
        <v>7</v>
      </c>
    </row>
    <row r="5987" spans="1:4">
      <c r="A5987" t="s">
        <v>6</v>
      </c>
      <c r="B5987">
        <v>47</v>
      </c>
      <c r="C5987" t="str">
        <f>CHOOSE(MATCH(B5987, {20,25,30,35,40,45,50,55,60,65,70,75,80,85}, 1), "20-24", "25-29", "30-34", "35-39", "40-44", "45-49", "50-54", "55-59", "60-64", "65-69", "70-74", "75-79", "80-84", "85+")</f>
        <v>45-49</v>
      </c>
      <c r="D5987" t="s">
        <v>7</v>
      </c>
    </row>
    <row r="5988" spans="1:4">
      <c r="A5988" t="s">
        <v>6</v>
      </c>
      <c r="B5988">
        <v>38</v>
      </c>
      <c r="C5988" t="str">
        <f>CHOOSE(MATCH(B5988, {20,25,30,35,40,45,50,55,60,65,70,75,80,85}, 1), "20-24", "25-29", "30-34", "35-39", "40-44", "45-49", "50-54", "55-59", "60-64", "65-69", "70-74", "75-79", "80-84", "85+")</f>
        <v>35-39</v>
      </c>
      <c r="D5988" t="s">
        <v>7</v>
      </c>
    </row>
    <row r="5989" spans="1:4">
      <c r="A5989" t="s">
        <v>6</v>
      </c>
      <c r="B5989">
        <v>63</v>
      </c>
      <c r="C5989" t="str">
        <f>CHOOSE(MATCH(B5989, {20,25,30,35,40,45,50,55,60,65,70,75,80,85}, 1), "20-24", "25-29", "30-34", "35-39", "40-44", "45-49", "50-54", "55-59", "60-64", "65-69", "70-74", "75-79", "80-84", "85+")</f>
        <v>60-64</v>
      </c>
      <c r="D5989" t="s">
        <v>7</v>
      </c>
    </row>
    <row r="5990" spans="1:4">
      <c r="A5990" t="s">
        <v>6</v>
      </c>
      <c r="B5990">
        <v>30</v>
      </c>
      <c r="C5990" t="str">
        <f>CHOOSE(MATCH(B5990, {20,25,30,35,40,45,50,55,60,65,70,75,80,85}, 1), "20-24", "25-29", "30-34", "35-39", "40-44", "45-49", "50-54", "55-59", "60-64", "65-69", "70-74", "75-79", "80-84", "85+")</f>
        <v>30-34</v>
      </c>
      <c r="D5990" t="s">
        <v>7</v>
      </c>
    </row>
    <row r="5991" spans="1:4">
      <c r="A5991" t="s">
        <v>6</v>
      </c>
      <c r="B5991">
        <v>45</v>
      </c>
      <c r="C5991" t="str">
        <f>CHOOSE(MATCH(B5991, {20,25,30,35,40,45,50,55,60,65,70,75,80,85}, 1), "20-24", "25-29", "30-34", "35-39", "40-44", "45-49", "50-54", "55-59", "60-64", "65-69", "70-74", "75-79", "80-84", "85+")</f>
        <v>45-49</v>
      </c>
      <c r="D5991" t="s">
        <v>7</v>
      </c>
    </row>
    <row r="5992" spans="1:4">
      <c r="A5992" t="s">
        <v>6</v>
      </c>
      <c r="B5992">
        <v>23</v>
      </c>
      <c r="C5992" t="str">
        <f>CHOOSE(MATCH(B5992, {20,25,30,35,40,45,50,55,60,65,70,75,80,85}, 1), "20-24", "25-29", "30-34", "35-39", "40-44", "45-49", "50-54", "55-59", "60-64", "65-69", "70-74", "75-79", "80-84", "85+")</f>
        <v>20-24</v>
      </c>
      <c r="D5992" t="s">
        <v>8</v>
      </c>
    </row>
    <row r="5993" spans="1:4">
      <c r="A5993" t="s">
        <v>6</v>
      </c>
      <c r="B5993">
        <v>34</v>
      </c>
      <c r="C5993" t="str">
        <f>CHOOSE(MATCH(B5993, {20,25,30,35,40,45,50,55,60,65,70,75,80,85}, 1), "20-24", "25-29", "30-34", "35-39", "40-44", "45-49", "50-54", "55-59", "60-64", "65-69", "70-74", "75-79", "80-84", "85+")</f>
        <v>30-34</v>
      </c>
      <c r="D5993" t="s">
        <v>7</v>
      </c>
    </row>
    <row r="5994" spans="1:4">
      <c r="A5994" t="s">
        <v>6</v>
      </c>
      <c r="B5994">
        <v>41</v>
      </c>
      <c r="C5994" t="str">
        <f>CHOOSE(MATCH(B5994, {20,25,30,35,40,45,50,55,60,65,70,75,80,85}, 1), "20-24", "25-29", "30-34", "35-39", "40-44", "45-49", "50-54", "55-59", "60-64", "65-69", "70-74", "75-79", "80-84", "85+")</f>
        <v>40-44</v>
      </c>
      <c r="D5994" t="s">
        <v>7</v>
      </c>
    </row>
    <row r="5995" spans="1:4">
      <c r="A5995" t="s">
        <v>6</v>
      </c>
      <c r="B5995">
        <v>56</v>
      </c>
      <c r="C5995" t="str">
        <f>CHOOSE(MATCH(B5995, {20,25,30,35,40,45,50,55,60,65,70,75,80,85}, 1), "20-24", "25-29", "30-34", "35-39", "40-44", "45-49", "50-54", "55-59", "60-64", "65-69", "70-74", "75-79", "80-84", "85+")</f>
        <v>55-59</v>
      </c>
      <c r="D5995" t="s">
        <v>7</v>
      </c>
    </row>
    <row r="5996" spans="1:4">
      <c r="A5996" t="s">
        <v>6</v>
      </c>
      <c r="B5996">
        <v>27</v>
      </c>
      <c r="C5996" t="str">
        <f>CHOOSE(MATCH(B5996, {20,25,30,35,40,45,50,55,60,65,70,75,80,85}, 1), "20-24", "25-29", "30-34", "35-39", "40-44", "45-49", "50-54", "55-59", "60-64", "65-69", "70-74", "75-79", "80-84", "85+")</f>
        <v>25-29</v>
      </c>
      <c r="D5996" t="s">
        <v>8</v>
      </c>
    </row>
    <row r="5997" spans="1:4">
      <c r="A5997" t="s">
        <v>6</v>
      </c>
      <c r="B5997">
        <v>28</v>
      </c>
      <c r="C5997" t="str">
        <f>CHOOSE(MATCH(B5997, {20,25,30,35,40,45,50,55,60,65,70,75,80,85}, 1), "20-24", "25-29", "30-34", "35-39", "40-44", "45-49", "50-54", "55-59", "60-64", "65-69", "70-74", "75-79", "80-84", "85+")</f>
        <v>25-29</v>
      </c>
      <c r="D5997" t="s">
        <v>7</v>
      </c>
    </row>
    <row r="5998" spans="1:4">
      <c r="A5998" t="s">
        <v>6</v>
      </c>
      <c r="B5998">
        <v>58</v>
      </c>
      <c r="C5998" t="str">
        <f>CHOOSE(MATCH(B5998, {20,25,30,35,40,45,50,55,60,65,70,75,80,85}, 1), "20-24", "25-29", "30-34", "35-39", "40-44", "45-49", "50-54", "55-59", "60-64", "65-69", "70-74", "75-79", "80-84", "85+")</f>
        <v>55-59</v>
      </c>
      <c r="D5998" t="s">
        <v>8</v>
      </c>
    </row>
    <row r="5999" spans="1:4">
      <c r="A5999" t="s">
        <v>6</v>
      </c>
      <c r="B5999">
        <v>81</v>
      </c>
      <c r="C5999" t="str">
        <f>CHOOSE(MATCH(B5999, {20,25,30,35,40,45,50,55,60,65,70,75,80,85}, 1), "20-24", "25-29", "30-34", "35-39", "40-44", "45-49", "50-54", "55-59", "60-64", "65-69", "70-74", "75-79", "80-84", "85+")</f>
        <v>80-84</v>
      </c>
      <c r="D5999" t="s">
        <v>8</v>
      </c>
    </row>
    <row r="6000" spans="1:4">
      <c r="A6000" t="s">
        <v>6</v>
      </c>
      <c r="B6000">
        <v>59</v>
      </c>
      <c r="C6000" t="str">
        <f>CHOOSE(MATCH(B6000, {20,25,30,35,40,45,50,55,60,65,70,75,80,85}, 1), "20-24", "25-29", "30-34", "35-39", "40-44", "45-49", "50-54", "55-59", "60-64", "65-69", "70-74", "75-79", "80-84", "85+")</f>
        <v>55-59</v>
      </c>
      <c r="D6000" t="s">
        <v>7</v>
      </c>
    </row>
    <row r="6001" spans="1:4">
      <c r="A6001" t="s">
        <v>6</v>
      </c>
      <c r="B6001">
        <v>41</v>
      </c>
      <c r="C6001" t="str">
        <f>CHOOSE(MATCH(B6001, {20,25,30,35,40,45,50,55,60,65,70,75,80,85}, 1), "20-24", "25-29", "30-34", "35-39", "40-44", "45-49", "50-54", "55-59", "60-64", "65-69", "70-74", "75-79", "80-84", "85+")</f>
        <v>40-44</v>
      </c>
      <c r="D6001" t="s">
        <v>8</v>
      </c>
    </row>
    <row r="6002" spans="1:4">
      <c r="A6002" t="s">
        <v>6</v>
      </c>
      <c r="B6002">
        <v>61</v>
      </c>
      <c r="C6002" t="str">
        <f>CHOOSE(MATCH(B6002, {20,25,30,35,40,45,50,55,60,65,70,75,80,85}, 1), "20-24", "25-29", "30-34", "35-39", "40-44", "45-49", "50-54", "55-59", "60-64", "65-69", "70-74", "75-79", "80-84", "85+")</f>
        <v>60-64</v>
      </c>
      <c r="D6002" t="s">
        <v>7</v>
      </c>
    </row>
    <row r="6003" spans="1:4">
      <c r="A6003" t="s">
        <v>6</v>
      </c>
      <c r="B6003">
        <v>66</v>
      </c>
      <c r="C6003" t="str">
        <f>CHOOSE(MATCH(B6003, {20,25,30,35,40,45,50,55,60,65,70,75,80,85}, 1), "20-24", "25-29", "30-34", "35-39", "40-44", "45-49", "50-54", "55-59", "60-64", "65-69", "70-74", "75-79", "80-84", "85+")</f>
        <v>65-69</v>
      </c>
      <c r="D6003" t="s">
        <v>7</v>
      </c>
    </row>
    <row r="6004" spans="1:4">
      <c r="A6004" t="s">
        <v>6</v>
      </c>
      <c r="B6004">
        <v>36</v>
      </c>
      <c r="C6004" t="str">
        <f>CHOOSE(MATCH(B6004, {20,25,30,35,40,45,50,55,60,65,70,75,80,85}, 1), "20-24", "25-29", "30-34", "35-39", "40-44", "45-49", "50-54", "55-59", "60-64", "65-69", "70-74", "75-79", "80-84", "85+")</f>
        <v>35-39</v>
      </c>
      <c r="D6004" t="s">
        <v>8</v>
      </c>
    </row>
    <row r="6005" spans="1:4">
      <c r="A6005" t="s">
        <v>6</v>
      </c>
      <c r="B6005">
        <v>26</v>
      </c>
      <c r="C6005" t="str">
        <f>CHOOSE(MATCH(B6005, {20,25,30,35,40,45,50,55,60,65,70,75,80,85}, 1), "20-24", "25-29", "30-34", "35-39", "40-44", "45-49", "50-54", "55-59", "60-64", "65-69", "70-74", "75-79", "80-84", "85+")</f>
        <v>25-29</v>
      </c>
      <c r="D6005" t="s">
        <v>8</v>
      </c>
    </row>
    <row r="6006" spans="1:4">
      <c r="A6006" t="s">
        <v>6</v>
      </c>
      <c r="B6006">
        <v>22</v>
      </c>
      <c r="C6006" t="str">
        <f>CHOOSE(MATCH(B6006, {20,25,30,35,40,45,50,55,60,65,70,75,80,85}, 1), "20-24", "25-29", "30-34", "35-39", "40-44", "45-49", "50-54", "55-59", "60-64", "65-69", "70-74", "75-79", "80-84", "85+")</f>
        <v>20-24</v>
      </c>
      <c r="D6006" t="s">
        <v>7</v>
      </c>
    </row>
    <row r="6007" spans="1:4">
      <c r="A6007" t="s">
        <v>6</v>
      </c>
      <c r="B6007">
        <v>26</v>
      </c>
      <c r="C6007" t="str">
        <f>CHOOSE(MATCH(B6007, {20,25,30,35,40,45,50,55,60,65,70,75,80,85}, 1), "20-24", "25-29", "30-34", "35-39", "40-44", "45-49", "50-54", "55-59", "60-64", "65-69", "70-74", "75-79", "80-84", "85+")</f>
        <v>25-29</v>
      </c>
      <c r="D6007" t="s">
        <v>8</v>
      </c>
    </row>
    <row r="6008" spans="1:4">
      <c r="A6008" t="s">
        <v>6</v>
      </c>
      <c r="B6008">
        <v>26</v>
      </c>
      <c r="C6008" t="str">
        <f>CHOOSE(MATCH(B6008, {20,25,30,35,40,45,50,55,60,65,70,75,80,85}, 1), "20-24", "25-29", "30-34", "35-39", "40-44", "45-49", "50-54", "55-59", "60-64", "65-69", "70-74", "75-79", "80-84", "85+")</f>
        <v>25-29</v>
      </c>
      <c r="D6008" t="s">
        <v>7</v>
      </c>
    </row>
    <row r="6009" spans="1:4">
      <c r="A6009" t="s">
        <v>6</v>
      </c>
      <c r="B6009">
        <v>61</v>
      </c>
      <c r="C6009" t="str">
        <f>CHOOSE(MATCH(B6009, {20,25,30,35,40,45,50,55,60,65,70,75,80,85}, 1), "20-24", "25-29", "30-34", "35-39", "40-44", "45-49", "50-54", "55-59", "60-64", "65-69", "70-74", "75-79", "80-84", "85+")</f>
        <v>60-64</v>
      </c>
      <c r="D6009" t="s">
        <v>8</v>
      </c>
    </row>
    <row r="6010" spans="1:4">
      <c r="A6010" t="s">
        <v>6</v>
      </c>
      <c r="B6010">
        <v>21</v>
      </c>
      <c r="C6010" t="str">
        <f>CHOOSE(MATCH(B6010, {20,25,30,35,40,45,50,55,60,65,70,75,80,85}, 1), "20-24", "25-29", "30-34", "35-39", "40-44", "45-49", "50-54", "55-59", "60-64", "65-69", "70-74", "75-79", "80-84", "85+")</f>
        <v>20-24</v>
      </c>
      <c r="D6010" t="s">
        <v>7</v>
      </c>
    </row>
    <row r="6011" spans="1:4">
      <c r="A6011" t="s">
        <v>6</v>
      </c>
      <c r="B6011">
        <v>31</v>
      </c>
      <c r="C6011" t="str">
        <f>CHOOSE(MATCH(B6011, {20,25,30,35,40,45,50,55,60,65,70,75,80,85}, 1), "20-24", "25-29", "30-34", "35-39", "40-44", "45-49", "50-54", "55-59", "60-64", "65-69", "70-74", "75-79", "80-84", "85+")</f>
        <v>30-34</v>
      </c>
      <c r="D6011" t="s">
        <v>7</v>
      </c>
    </row>
    <row r="6012" spans="1:4">
      <c r="A6012" t="s">
        <v>6</v>
      </c>
      <c r="B6012">
        <v>43</v>
      </c>
      <c r="C6012" t="str">
        <f>CHOOSE(MATCH(B6012, {20,25,30,35,40,45,50,55,60,65,70,75,80,85}, 1), "20-24", "25-29", "30-34", "35-39", "40-44", "45-49", "50-54", "55-59", "60-64", "65-69", "70-74", "75-79", "80-84", "85+")</f>
        <v>40-44</v>
      </c>
      <c r="D6012" t="s">
        <v>8</v>
      </c>
    </row>
    <row r="6013" spans="1:4">
      <c r="A6013" t="s">
        <v>6</v>
      </c>
      <c r="B6013">
        <v>50</v>
      </c>
      <c r="C6013" t="str">
        <f>CHOOSE(MATCH(B6013, {20,25,30,35,40,45,50,55,60,65,70,75,80,85}, 1), "20-24", "25-29", "30-34", "35-39", "40-44", "45-49", "50-54", "55-59", "60-64", "65-69", "70-74", "75-79", "80-84", "85+")</f>
        <v>50-54</v>
      </c>
      <c r="D6013" t="s">
        <v>8</v>
      </c>
    </row>
    <row r="6014" spans="1:4">
      <c r="A6014" t="s">
        <v>6</v>
      </c>
      <c r="B6014">
        <v>31</v>
      </c>
      <c r="C6014" t="str">
        <f>CHOOSE(MATCH(B6014, {20,25,30,35,40,45,50,55,60,65,70,75,80,85}, 1), "20-24", "25-29", "30-34", "35-39", "40-44", "45-49", "50-54", "55-59", "60-64", "65-69", "70-74", "75-79", "80-84", "85+")</f>
        <v>30-34</v>
      </c>
      <c r="D6014" t="s">
        <v>7</v>
      </c>
    </row>
    <row r="6015" spans="1:4">
      <c r="A6015" t="s">
        <v>6</v>
      </c>
      <c r="B6015">
        <v>30</v>
      </c>
      <c r="C6015" t="str">
        <f>CHOOSE(MATCH(B6015, {20,25,30,35,40,45,50,55,60,65,70,75,80,85}, 1), "20-24", "25-29", "30-34", "35-39", "40-44", "45-49", "50-54", "55-59", "60-64", "65-69", "70-74", "75-79", "80-84", "85+")</f>
        <v>30-34</v>
      </c>
      <c r="D6015" t="s">
        <v>7</v>
      </c>
    </row>
    <row r="6016" spans="1:4">
      <c r="A6016" t="s">
        <v>6</v>
      </c>
      <c r="B6016">
        <v>34</v>
      </c>
      <c r="C6016" t="str">
        <f>CHOOSE(MATCH(B6016, {20,25,30,35,40,45,50,55,60,65,70,75,80,85}, 1), "20-24", "25-29", "30-34", "35-39", "40-44", "45-49", "50-54", "55-59", "60-64", "65-69", "70-74", "75-79", "80-84", "85+")</f>
        <v>30-34</v>
      </c>
      <c r="D6016" t="s">
        <v>8</v>
      </c>
    </row>
    <row r="6017" spans="1:4">
      <c r="A6017" t="s">
        <v>6</v>
      </c>
      <c r="B6017">
        <v>25</v>
      </c>
      <c r="C6017" t="str">
        <f>CHOOSE(MATCH(B6017, {20,25,30,35,40,45,50,55,60,65,70,75,80,85}, 1), "20-24", "25-29", "30-34", "35-39", "40-44", "45-49", "50-54", "55-59", "60-64", "65-69", "70-74", "75-79", "80-84", "85+")</f>
        <v>25-29</v>
      </c>
      <c r="D6017" t="s">
        <v>8</v>
      </c>
    </row>
    <row r="6018" spans="1:4">
      <c r="A6018" t="s">
        <v>6</v>
      </c>
      <c r="B6018">
        <v>22</v>
      </c>
      <c r="C6018" t="str">
        <f>CHOOSE(MATCH(B6018, {20,25,30,35,40,45,50,55,60,65,70,75,80,85}, 1), "20-24", "25-29", "30-34", "35-39", "40-44", "45-49", "50-54", "55-59", "60-64", "65-69", "70-74", "75-79", "80-84", "85+")</f>
        <v>20-24</v>
      </c>
      <c r="D6018" t="s">
        <v>7</v>
      </c>
    </row>
    <row r="6019" spans="1:4">
      <c r="A6019" t="s">
        <v>6</v>
      </c>
      <c r="B6019">
        <v>24</v>
      </c>
      <c r="C6019" t="str">
        <f>CHOOSE(MATCH(B6019, {20,25,30,35,40,45,50,55,60,65,70,75,80,85}, 1), "20-24", "25-29", "30-34", "35-39", "40-44", "45-49", "50-54", "55-59", "60-64", "65-69", "70-74", "75-79", "80-84", "85+")</f>
        <v>20-24</v>
      </c>
      <c r="D6019" t="s">
        <v>8</v>
      </c>
    </row>
    <row r="6020" spans="1:4">
      <c r="A6020" t="s">
        <v>6</v>
      </c>
      <c r="B6020">
        <v>34</v>
      </c>
      <c r="C6020" t="str">
        <f>CHOOSE(MATCH(B6020, {20,25,30,35,40,45,50,55,60,65,70,75,80,85}, 1), "20-24", "25-29", "30-34", "35-39", "40-44", "45-49", "50-54", "55-59", "60-64", "65-69", "70-74", "75-79", "80-84", "85+")</f>
        <v>30-34</v>
      </c>
      <c r="D6020" t="s">
        <v>8</v>
      </c>
    </row>
    <row r="6021" spans="1:4">
      <c r="A6021" t="s">
        <v>6</v>
      </c>
      <c r="B6021">
        <v>26</v>
      </c>
      <c r="C6021" t="str">
        <f>CHOOSE(MATCH(B6021, {20,25,30,35,40,45,50,55,60,65,70,75,80,85}, 1), "20-24", "25-29", "30-34", "35-39", "40-44", "45-49", "50-54", "55-59", "60-64", "65-69", "70-74", "75-79", "80-84", "85+")</f>
        <v>25-29</v>
      </c>
      <c r="D6021" t="s">
        <v>7</v>
      </c>
    </row>
    <row r="6022" spans="1:4">
      <c r="A6022" t="s">
        <v>6</v>
      </c>
      <c r="B6022">
        <v>25</v>
      </c>
      <c r="C6022" t="str">
        <f>CHOOSE(MATCH(B6022, {20,25,30,35,40,45,50,55,60,65,70,75,80,85}, 1), "20-24", "25-29", "30-34", "35-39", "40-44", "45-49", "50-54", "55-59", "60-64", "65-69", "70-74", "75-79", "80-84", "85+")</f>
        <v>25-29</v>
      </c>
      <c r="D6022" t="s">
        <v>8</v>
      </c>
    </row>
    <row r="6023" spans="1:4">
      <c r="A6023" t="s">
        <v>6</v>
      </c>
      <c r="B6023">
        <v>42</v>
      </c>
      <c r="C6023" t="str">
        <f>CHOOSE(MATCH(B6023, {20,25,30,35,40,45,50,55,60,65,70,75,80,85}, 1), "20-24", "25-29", "30-34", "35-39", "40-44", "45-49", "50-54", "55-59", "60-64", "65-69", "70-74", "75-79", "80-84", "85+")</f>
        <v>40-44</v>
      </c>
      <c r="D6023" t="s">
        <v>7</v>
      </c>
    </row>
    <row r="6024" spans="1:4">
      <c r="A6024" t="s">
        <v>6</v>
      </c>
      <c r="B6024">
        <v>50</v>
      </c>
      <c r="C6024" t="str">
        <f>CHOOSE(MATCH(B6024, {20,25,30,35,40,45,50,55,60,65,70,75,80,85}, 1), "20-24", "25-29", "30-34", "35-39", "40-44", "45-49", "50-54", "55-59", "60-64", "65-69", "70-74", "75-79", "80-84", "85+")</f>
        <v>50-54</v>
      </c>
      <c r="D6024" t="s">
        <v>8</v>
      </c>
    </row>
    <row r="6025" spans="1:4">
      <c r="A6025" t="s">
        <v>6</v>
      </c>
      <c r="B6025">
        <v>31</v>
      </c>
      <c r="C6025" t="str">
        <f>CHOOSE(MATCH(B6025, {20,25,30,35,40,45,50,55,60,65,70,75,80,85}, 1), "20-24", "25-29", "30-34", "35-39", "40-44", "45-49", "50-54", "55-59", "60-64", "65-69", "70-74", "75-79", "80-84", "85+")</f>
        <v>30-34</v>
      </c>
      <c r="D6025" t="s">
        <v>8</v>
      </c>
    </row>
    <row r="6026" spans="1:4">
      <c r="A6026" t="s">
        <v>6</v>
      </c>
      <c r="B6026">
        <v>30</v>
      </c>
      <c r="C6026" t="str">
        <f>CHOOSE(MATCH(B6026, {20,25,30,35,40,45,50,55,60,65,70,75,80,85}, 1), "20-24", "25-29", "30-34", "35-39", "40-44", "45-49", "50-54", "55-59", "60-64", "65-69", "70-74", "75-79", "80-84", "85+")</f>
        <v>30-34</v>
      </c>
      <c r="D6026" t="s">
        <v>8</v>
      </c>
    </row>
    <row r="6027" spans="1:4">
      <c r="A6027" t="s">
        <v>6</v>
      </c>
      <c r="B6027">
        <v>28</v>
      </c>
      <c r="C6027" t="str">
        <f>CHOOSE(MATCH(B6027, {20,25,30,35,40,45,50,55,60,65,70,75,80,85}, 1), "20-24", "25-29", "30-34", "35-39", "40-44", "45-49", "50-54", "55-59", "60-64", "65-69", "70-74", "75-79", "80-84", "85+")</f>
        <v>25-29</v>
      </c>
      <c r="D6027" t="s">
        <v>7</v>
      </c>
    </row>
    <row r="6028" spans="1:4">
      <c r="A6028" t="s">
        <v>6</v>
      </c>
      <c r="B6028">
        <v>49</v>
      </c>
      <c r="C6028" t="str">
        <f>CHOOSE(MATCH(B6028, {20,25,30,35,40,45,50,55,60,65,70,75,80,85}, 1), "20-24", "25-29", "30-34", "35-39", "40-44", "45-49", "50-54", "55-59", "60-64", "65-69", "70-74", "75-79", "80-84", "85+")</f>
        <v>45-49</v>
      </c>
      <c r="D6028" t="s">
        <v>7</v>
      </c>
    </row>
    <row r="6029" spans="1:4">
      <c r="A6029" t="s">
        <v>6</v>
      </c>
      <c r="B6029">
        <v>30</v>
      </c>
      <c r="C6029" t="str">
        <f>CHOOSE(MATCH(B6029, {20,25,30,35,40,45,50,55,60,65,70,75,80,85}, 1), "20-24", "25-29", "30-34", "35-39", "40-44", "45-49", "50-54", "55-59", "60-64", "65-69", "70-74", "75-79", "80-84", "85+")</f>
        <v>30-34</v>
      </c>
      <c r="D6029" t="s">
        <v>8</v>
      </c>
    </row>
    <row r="6030" spans="1:4">
      <c r="A6030" t="s">
        <v>6</v>
      </c>
      <c r="B6030">
        <v>46</v>
      </c>
      <c r="C6030" t="str">
        <f>CHOOSE(MATCH(B6030, {20,25,30,35,40,45,50,55,60,65,70,75,80,85}, 1), "20-24", "25-29", "30-34", "35-39", "40-44", "45-49", "50-54", "55-59", "60-64", "65-69", "70-74", "75-79", "80-84", "85+")</f>
        <v>45-49</v>
      </c>
      <c r="D6030" t="s">
        <v>7</v>
      </c>
    </row>
    <row r="6031" spans="1:4">
      <c r="A6031" t="s">
        <v>6</v>
      </c>
      <c r="B6031">
        <v>42</v>
      </c>
      <c r="C6031" t="str">
        <f>CHOOSE(MATCH(B6031, {20,25,30,35,40,45,50,55,60,65,70,75,80,85}, 1), "20-24", "25-29", "30-34", "35-39", "40-44", "45-49", "50-54", "55-59", "60-64", "65-69", "70-74", "75-79", "80-84", "85+")</f>
        <v>40-44</v>
      </c>
      <c r="D6031" t="s">
        <v>7</v>
      </c>
    </row>
    <row r="6032" spans="1:4">
      <c r="A6032" t="s">
        <v>6</v>
      </c>
      <c r="B6032">
        <v>48</v>
      </c>
      <c r="C6032" t="str">
        <f>CHOOSE(MATCH(B6032, {20,25,30,35,40,45,50,55,60,65,70,75,80,85}, 1), "20-24", "25-29", "30-34", "35-39", "40-44", "45-49", "50-54", "55-59", "60-64", "65-69", "70-74", "75-79", "80-84", "85+")</f>
        <v>45-49</v>
      </c>
      <c r="D6032" t="s">
        <v>7</v>
      </c>
    </row>
    <row r="6033" spans="1:4">
      <c r="A6033" t="s">
        <v>6</v>
      </c>
      <c r="B6033">
        <v>72</v>
      </c>
      <c r="C6033" t="str">
        <f>CHOOSE(MATCH(B6033, {20,25,30,35,40,45,50,55,60,65,70,75,80,85}, 1), "20-24", "25-29", "30-34", "35-39", "40-44", "45-49", "50-54", "55-59", "60-64", "65-69", "70-74", "75-79", "80-84", "85+")</f>
        <v>70-74</v>
      </c>
      <c r="D6033" t="s">
        <v>8</v>
      </c>
    </row>
    <row r="6034" spans="1:4">
      <c r="A6034" t="s">
        <v>6</v>
      </c>
      <c r="B6034">
        <v>34</v>
      </c>
      <c r="C6034" t="str">
        <f>CHOOSE(MATCH(B6034, {20,25,30,35,40,45,50,55,60,65,70,75,80,85}, 1), "20-24", "25-29", "30-34", "35-39", "40-44", "45-49", "50-54", "55-59", "60-64", "65-69", "70-74", "75-79", "80-84", "85+")</f>
        <v>30-34</v>
      </c>
      <c r="D6034" t="s">
        <v>7</v>
      </c>
    </row>
    <row r="6035" spans="1:4">
      <c r="A6035" t="s">
        <v>6</v>
      </c>
      <c r="B6035">
        <v>39</v>
      </c>
      <c r="C6035" t="str">
        <f>CHOOSE(MATCH(B6035, {20,25,30,35,40,45,50,55,60,65,70,75,80,85}, 1), "20-24", "25-29", "30-34", "35-39", "40-44", "45-49", "50-54", "55-59", "60-64", "65-69", "70-74", "75-79", "80-84", "85+")</f>
        <v>35-39</v>
      </c>
      <c r="D6035" t="s">
        <v>8</v>
      </c>
    </row>
    <row r="6036" spans="1:4">
      <c r="A6036" t="s">
        <v>6</v>
      </c>
      <c r="B6036">
        <v>32</v>
      </c>
      <c r="C6036" t="str">
        <f>CHOOSE(MATCH(B6036, {20,25,30,35,40,45,50,55,60,65,70,75,80,85}, 1), "20-24", "25-29", "30-34", "35-39", "40-44", "45-49", "50-54", "55-59", "60-64", "65-69", "70-74", "75-79", "80-84", "85+")</f>
        <v>30-34</v>
      </c>
      <c r="D6036" t="s">
        <v>8</v>
      </c>
    </row>
    <row r="6037" spans="1:4">
      <c r="A6037" t="s">
        <v>6</v>
      </c>
      <c r="B6037">
        <v>31</v>
      </c>
      <c r="C6037" t="str">
        <f>CHOOSE(MATCH(B6037, {20,25,30,35,40,45,50,55,60,65,70,75,80,85}, 1), "20-24", "25-29", "30-34", "35-39", "40-44", "45-49", "50-54", "55-59", "60-64", "65-69", "70-74", "75-79", "80-84", "85+")</f>
        <v>30-34</v>
      </c>
      <c r="D6037" t="s">
        <v>7</v>
      </c>
    </row>
    <row r="6038" spans="1:4">
      <c r="A6038" t="s">
        <v>6</v>
      </c>
      <c r="B6038">
        <v>23</v>
      </c>
      <c r="C6038" t="str">
        <f>CHOOSE(MATCH(B6038, {20,25,30,35,40,45,50,55,60,65,70,75,80,85}, 1), "20-24", "25-29", "30-34", "35-39", "40-44", "45-49", "50-54", "55-59", "60-64", "65-69", "70-74", "75-79", "80-84", "85+")</f>
        <v>20-24</v>
      </c>
      <c r="D6038" t="s">
        <v>7</v>
      </c>
    </row>
    <row r="6039" spans="1:4">
      <c r="A6039" t="s">
        <v>6</v>
      </c>
      <c r="B6039">
        <v>31</v>
      </c>
      <c r="C6039" t="str">
        <f>CHOOSE(MATCH(B6039, {20,25,30,35,40,45,50,55,60,65,70,75,80,85}, 1), "20-24", "25-29", "30-34", "35-39", "40-44", "45-49", "50-54", "55-59", "60-64", "65-69", "70-74", "75-79", "80-84", "85+")</f>
        <v>30-34</v>
      </c>
      <c r="D6039" t="s">
        <v>8</v>
      </c>
    </row>
    <row r="6040" spans="1:4">
      <c r="A6040" t="s">
        <v>6</v>
      </c>
      <c r="B6040">
        <v>21</v>
      </c>
      <c r="C6040" t="str">
        <f>CHOOSE(MATCH(B6040, {20,25,30,35,40,45,50,55,60,65,70,75,80,85}, 1), "20-24", "25-29", "30-34", "35-39", "40-44", "45-49", "50-54", "55-59", "60-64", "65-69", "70-74", "75-79", "80-84", "85+")</f>
        <v>20-24</v>
      </c>
      <c r="D6040" t="s">
        <v>7</v>
      </c>
    </row>
    <row r="6041" spans="1:4">
      <c r="A6041" t="s">
        <v>6</v>
      </c>
      <c r="B6041">
        <v>24</v>
      </c>
      <c r="C6041" t="str">
        <f>CHOOSE(MATCH(B6041, {20,25,30,35,40,45,50,55,60,65,70,75,80,85}, 1), "20-24", "25-29", "30-34", "35-39", "40-44", "45-49", "50-54", "55-59", "60-64", "65-69", "70-74", "75-79", "80-84", "85+")</f>
        <v>20-24</v>
      </c>
      <c r="D6041" t="s">
        <v>8</v>
      </c>
    </row>
    <row r="6042" spans="1:4">
      <c r="A6042" t="s">
        <v>6</v>
      </c>
      <c r="B6042">
        <v>27</v>
      </c>
      <c r="C6042" t="str">
        <f>CHOOSE(MATCH(B6042, {20,25,30,35,40,45,50,55,60,65,70,75,80,85}, 1), "20-24", "25-29", "30-34", "35-39", "40-44", "45-49", "50-54", "55-59", "60-64", "65-69", "70-74", "75-79", "80-84", "85+")</f>
        <v>25-29</v>
      </c>
      <c r="D6042" t="s">
        <v>7</v>
      </c>
    </row>
    <row r="6043" spans="1:4">
      <c r="A6043" t="s">
        <v>6</v>
      </c>
      <c r="B6043">
        <v>30</v>
      </c>
      <c r="C6043" t="str">
        <f>CHOOSE(MATCH(B6043, {20,25,30,35,40,45,50,55,60,65,70,75,80,85}, 1), "20-24", "25-29", "30-34", "35-39", "40-44", "45-49", "50-54", "55-59", "60-64", "65-69", "70-74", "75-79", "80-84", "85+")</f>
        <v>30-34</v>
      </c>
      <c r="D6043" t="s">
        <v>7</v>
      </c>
    </row>
    <row r="6044" spans="1:4">
      <c r="A6044" t="s">
        <v>6</v>
      </c>
      <c r="B6044">
        <v>24</v>
      </c>
      <c r="C6044" t="str">
        <f>CHOOSE(MATCH(B6044, {20,25,30,35,40,45,50,55,60,65,70,75,80,85}, 1), "20-24", "25-29", "30-34", "35-39", "40-44", "45-49", "50-54", "55-59", "60-64", "65-69", "70-74", "75-79", "80-84", "85+")</f>
        <v>20-24</v>
      </c>
      <c r="D6044" t="s">
        <v>7</v>
      </c>
    </row>
    <row r="6045" spans="1:4">
      <c r="A6045" t="s">
        <v>6</v>
      </c>
      <c r="B6045">
        <v>25</v>
      </c>
      <c r="C6045" t="str">
        <f>CHOOSE(MATCH(B6045, {20,25,30,35,40,45,50,55,60,65,70,75,80,85}, 1), "20-24", "25-29", "30-34", "35-39", "40-44", "45-49", "50-54", "55-59", "60-64", "65-69", "70-74", "75-79", "80-84", "85+")</f>
        <v>25-29</v>
      </c>
      <c r="D6045" t="s">
        <v>8</v>
      </c>
    </row>
    <row r="6046" spans="1:4">
      <c r="A6046" t="s">
        <v>6</v>
      </c>
      <c r="B6046">
        <v>74</v>
      </c>
      <c r="C6046" t="str">
        <f>CHOOSE(MATCH(B6046, {20,25,30,35,40,45,50,55,60,65,70,75,80,85}, 1), "20-24", "25-29", "30-34", "35-39", "40-44", "45-49", "50-54", "55-59", "60-64", "65-69", "70-74", "75-79", "80-84", "85+")</f>
        <v>70-74</v>
      </c>
      <c r="D6046" t="s">
        <v>8</v>
      </c>
    </row>
    <row r="6047" spans="1:4">
      <c r="A6047" t="s">
        <v>6</v>
      </c>
      <c r="B6047">
        <v>23</v>
      </c>
      <c r="C6047" t="str">
        <f>CHOOSE(MATCH(B6047, {20,25,30,35,40,45,50,55,60,65,70,75,80,85}, 1), "20-24", "25-29", "30-34", "35-39", "40-44", "45-49", "50-54", "55-59", "60-64", "65-69", "70-74", "75-79", "80-84", "85+")</f>
        <v>20-24</v>
      </c>
      <c r="D6047" t="s">
        <v>8</v>
      </c>
    </row>
    <row r="6048" spans="1:4">
      <c r="A6048" t="s">
        <v>6</v>
      </c>
      <c r="B6048">
        <v>61</v>
      </c>
      <c r="C6048" t="str">
        <f>CHOOSE(MATCH(B6048, {20,25,30,35,40,45,50,55,60,65,70,75,80,85}, 1), "20-24", "25-29", "30-34", "35-39", "40-44", "45-49", "50-54", "55-59", "60-64", "65-69", "70-74", "75-79", "80-84", "85+")</f>
        <v>60-64</v>
      </c>
      <c r="D6048" t="s">
        <v>8</v>
      </c>
    </row>
    <row r="6049" spans="1:4">
      <c r="A6049" t="s">
        <v>6</v>
      </c>
      <c r="B6049">
        <v>37</v>
      </c>
      <c r="C6049" t="str">
        <f>CHOOSE(MATCH(B6049, {20,25,30,35,40,45,50,55,60,65,70,75,80,85}, 1), "20-24", "25-29", "30-34", "35-39", "40-44", "45-49", "50-54", "55-59", "60-64", "65-69", "70-74", "75-79", "80-84", "85+")</f>
        <v>35-39</v>
      </c>
      <c r="D6049" t="s">
        <v>7</v>
      </c>
    </row>
    <row r="6050" spans="1:4">
      <c r="A6050" t="s">
        <v>6</v>
      </c>
      <c r="B6050">
        <v>28</v>
      </c>
      <c r="C6050" t="str">
        <f>CHOOSE(MATCH(B6050, {20,25,30,35,40,45,50,55,60,65,70,75,80,85}, 1), "20-24", "25-29", "30-34", "35-39", "40-44", "45-49", "50-54", "55-59", "60-64", "65-69", "70-74", "75-79", "80-84", "85+")</f>
        <v>25-29</v>
      </c>
      <c r="D6050" t="s">
        <v>8</v>
      </c>
    </row>
    <row r="6051" spans="1:4">
      <c r="A6051" t="s">
        <v>6</v>
      </c>
      <c r="B6051">
        <v>40</v>
      </c>
      <c r="C6051" t="str">
        <f>CHOOSE(MATCH(B6051, {20,25,30,35,40,45,50,55,60,65,70,75,80,85}, 1), "20-24", "25-29", "30-34", "35-39", "40-44", "45-49", "50-54", "55-59", "60-64", "65-69", "70-74", "75-79", "80-84", "85+")</f>
        <v>40-44</v>
      </c>
      <c r="D6051" t="s">
        <v>7</v>
      </c>
    </row>
    <row r="6052" spans="1:4">
      <c r="A6052" t="s">
        <v>6</v>
      </c>
      <c r="B6052">
        <v>31</v>
      </c>
      <c r="C6052" t="str">
        <f>CHOOSE(MATCH(B6052, {20,25,30,35,40,45,50,55,60,65,70,75,80,85}, 1), "20-24", "25-29", "30-34", "35-39", "40-44", "45-49", "50-54", "55-59", "60-64", "65-69", "70-74", "75-79", "80-84", "85+")</f>
        <v>30-34</v>
      </c>
      <c r="D6052" t="s">
        <v>8</v>
      </c>
    </row>
    <row r="6053" spans="1:4">
      <c r="A6053" t="s">
        <v>6</v>
      </c>
      <c r="B6053">
        <v>29</v>
      </c>
      <c r="C6053" t="str">
        <f>CHOOSE(MATCH(B6053, {20,25,30,35,40,45,50,55,60,65,70,75,80,85}, 1), "20-24", "25-29", "30-34", "35-39", "40-44", "45-49", "50-54", "55-59", "60-64", "65-69", "70-74", "75-79", "80-84", "85+")</f>
        <v>25-29</v>
      </c>
      <c r="D6053" t="s">
        <v>7</v>
      </c>
    </row>
    <row r="6054" spans="1:4">
      <c r="A6054" t="s">
        <v>6</v>
      </c>
      <c r="B6054">
        <v>27</v>
      </c>
      <c r="C6054" t="str">
        <f>CHOOSE(MATCH(B6054, {20,25,30,35,40,45,50,55,60,65,70,75,80,85}, 1), "20-24", "25-29", "30-34", "35-39", "40-44", "45-49", "50-54", "55-59", "60-64", "65-69", "70-74", "75-79", "80-84", "85+")</f>
        <v>25-29</v>
      </c>
      <c r="D6054" t="s">
        <v>7</v>
      </c>
    </row>
    <row r="6055" spans="1:4">
      <c r="A6055" t="s">
        <v>6</v>
      </c>
      <c r="B6055">
        <v>27</v>
      </c>
      <c r="C6055" t="str">
        <f>CHOOSE(MATCH(B6055, {20,25,30,35,40,45,50,55,60,65,70,75,80,85}, 1), "20-24", "25-29", "30-34", "35-39", "40-44", "45-49", "50-54", "55-59", "60-64", "65-69", "70-74", "75-79", "80-84", "85+")</f>
        <v>25-29</v>
      </c>
      <c r="D6055" t="s">
        <v>7</v>
      </c>
    </row>
    <row r="6056" spans="1:4">
      <c r="A6056" t="s">
        <v>6</v>
      </c>
      <c r="B6056">
        <v>76</v>
      </c>
      <c r="C6056" t="str">
        <f>CHOOSE(MATCH(B6056, {20,25,30,35,40,45,50,55,60,65,70,75,80,85}, 1), "20-24", "25-29", "30-34", "35-39", "40-44", "45-49", "50-54", "55-59", "60-64", "65-69", "70-74", "75-79", "80-84", "85+")</f>
        <v>75-79</v>
      </c>
      <c r="D6056" t="s">
        <v>7</v>
      </c>
    </row>
    <row r="6057" spans="1:4">
      <c r="A6057" t="s">
        <v>6</v>
      </c>
      <c r="B6057">
        <v>30</v>
      </c>
      <c r="C6057" t="str">
        <f>CHOOSE(MATCH(B6057, {20,25,30,35,40,45,50,55,60,65,70,75,80,85}, 1), "20-24", "25-29", "30-34", "35-39", "40-44", "45-49", "50-54", "55-59", "60-64", "65-69", "70-74", "75-79", "80-84", "85+")</f>
        <v>30-34</v>
      </c>
      <c r="D6057" t="s">
        <v>7</v>
      </c>
    </row>
    <row r="6058" spans="1:4">
      <c r="A6058" t="s">
        <v>6</v>
      </c>
      <c r="B6058">
        <v>29</v>
      </c>
      <c r="C6058" t="str">
        <f>CHOOSE(MATCH(B6058, {20,25,30,35,40,45,50,55,60,65,70,75,80,85}, 1), "20-24", "25-29", "30-34", "35-39", "40-44", "45-49", "50-54", "55-59", "60-64", "65-69", "70-74", "75-79", "80-84", "85+")</f>
        <v>25-29</v>
      </c>
      <c r="D6058" t="s">
        <v>7</v>
      </c>
    </row>
    <row r="6059" spans="1:4">
      <c r="A6059" t="s">
        <v>6</v>
      </c>
      <c r="B6059">
        <v>47</v>
      </c>
      <c r="C6059" t="str">
        <f>CHOOSE(MATCH(B6059, {20,25,30,35,40,45,50,55,60,65,70,75,80,85}, 1), "20-24", "25-29", "30-34", "35-39", "40-44", "45-49", "50-54", "55-59", "60-64", "65-69", "70-74", "75-79", "80-84", "85+")</f>
        <v>45-49</v>
      </c>
      <c r="D6059" t="s">
        <v>8</v>
      </c>
    </row>
    <row r="6060" spans="1:4">
      <c r="A6060" t="s">
        <v>6</v>
      </c>
      <c r="B6060">
        <v>63</v>
      </c>
      <c r="C6060" t="str">
        <f>CHOOSE(MATCH(B6060, {20,25,30,35,40,45,50,55,60,65,70,75,80,85}, 1), "20-24", "25-29", "30-34", "35-39", "40-44", "45-49", "50-54", "55-59", "60-64", "65-69", "70-74", "75-79", "80-84", "85+")</f>
        <v>60-64</v>
      </c>
      <c r="D6060" t="s">
        <v>8</v>
      </c>
    </row>
    <row r="6061" spans="1:4">
      <c r="A6061" t="s">
        <v>6</v>
      </c>
      <c r="B6061">
        <v>56</v>
      </c>
      <c r="C6061" t="str">
        <f>CHOOSE(MATCH(B6061, {20,25,30,35,40,45,50,55,60,65,70,75,80,85}, 1), "20-24", "25-29", "30-34", "35-39", "40-44", "45-49", "50-54", "55-59", "60-64", "65-69", "70-74", "75-79", "80-84", "85+")</f>
        <v>55-59</v>
      </c>
      <c r="D6061" t="s">
        <v>8</v>
      </c>
    </row>
    <row r="6062" spans="1:4">
      <c r="A6062" t="s">
        <v>6</v>
      </c>
      <c r="B6062">
        <v>80</v>
      </c>
      <c r="C6062" t="str">
        <f>CHOOSE(MATCH(B6062, {20,25,30,35,40,45,50,55,60,65,70,75,80,85}, 1), "20-24", "25-29", "30-34", "35-39", "40-44", "45-49", "50-54", "55-59", "60-64", "65-69", "70-74", "75-79", "80-84", "85+")</f>
        <v>80-84</v>
      </c>
      <c r="D6062" t="s">
        <v>8</v>
      </c>
    </row>
    <row r="6063" spans="1:4">
      <c r="A6063" t="s">
        <v>6</v>
      </c>
      <c r="B6063">
        <v>48</v>
      </c>
      <c r="C6063" t="str">
        <f>CHOOSE(MATCH(B6063, {20,25,30,35,40,45,50,55,60,65,70,75,80,85}, 1), "20-24", "25-29", "30-34", "35-39", "40-44", "45-49", "50-54", "55-59", "60-64", "65-69", "70-74", "75-79", "80-84", "85+")</f>
        <v>45-49</v>
      </c>
      <c r="D6063" t="s">
        <v>8</v>
      </c>
    </row>
    <row r="6064" spans="1:4">
      <c r="A6064" t="s">
        <v>6</v>
      </c>
      <c r="B6064">
        <v>35</v>
      </c>
      <c r="C6064" t="str">
        <f>CHOOSE(MATCH(B6064, {20,25,30,35,40,45,50,55,60,65,70,75,80,85}, 1), "20-24", "25-29", "30-34", "35-39", "40-44", "45-49", "50-54", "55-59", "60-64", "65-69", "70-74", "75-79", "80-84", "85+")</f>
        <v>35-39</v>
      </c>
      <c r="D6064" t="s">
        <v>7</v>
      </c>
    </row>
    <row r="6065" spans="1:4">
      <c r="A6065" t="s">
        <v>6</v>
      </c>
      <c r="B6065">
        <v>32</v>
      </c>
      <c r="C6065" t="str">
        <f>CHOOSE(MATCH(B6065, {20,25,30,35,40,45,50,55,60,65,70,75,80,85}, 1), "20-24", "25-29", "30-34", "35-39", "40-44", "45-49", "50-54", "55-59", "60-64", "65-69", "70-74", "75-79", "80-84", "85+")</f>
        <v>30-34</v>
      </c>
      <c r="D6065" t="s">
        <v>8</v>
      </c>
    </row>
    <row r="6066" spans="1:4">
      <c r="A6066" t="s">
        <v>6</v>
      </c>
      <c r="B6066">
        <v>36</v>
      </c>
      <c r="C6066" t="str">
        <f>CHOOSE(MATCH(B6066, {20,25,30,35,40,45,50,55,60,65,70,75,80,85}, 1), "20-24", "25-29", "30-34", "35-39", "40-44", "45-49", "50-54", "55-59", "60-64", "65-69", "70-74", "75-79", "80-84", "85+")</f>
        <v>35-39</v>
      </c>
      <c r="D6066" t="s">
        <v>7</v>
      </c>
    </row>
    <row r="6067" spans="1:4">
      <c r="A6067" t="s">
        <v>6</v>
      </c>
      <c r="B6067">
        <v>29</v>
      </c>
      <c r="C6067" t="str">
        <f>CHOOSE(MATCH(B6067, {20,25,30,35,40,45,50,55,60,65,70,75,80,85}, 1), "20-24", "25-29", "30-34", "35-39", "40-44", "45-49", "50-54", "55-59", "60-64", "65-69", "70-74", "75-79", "80-84", "85+")</f>
        <v>25-29</v>
      </c>
      <c r="D6067" t="s">
        <v>8</v>
      </c>
    </row>
    <row r="6068" spans="1:4">
      <c r="A6068" t="s">
        <v>6</v>
      </c>
      <c r="B6068">
        <v>28</v>
      </c>
      <c r="C6068" t="str">
        <f>CHOOSE(MATCH(B6068, {20,25,30,35,40,45,50,55,60,65,70,75,80,85}, 1), "20-24", "25-29", "30-34", "35-39", "40-44", "45-49", "50-54", "55-59", "60-64", "65-69", "70-74", "75-79", "80-84", "85+")</f>
        <v>25-29</v>
      </c>
      <c r="D6068" t="s">
        <v>7</v>
      </c>
    </row>
    <row r="6069" spans="1:4">
      <c r="A6069" t="s">
        <v>6</v>
      </c>
      <c r="B6069">
        <v>65</v>
      </c>
      <c r="C6069" t="str">
        <f>CHOOSE(MATCH(B6069, {20,25,30,35,40,45,50,55,60,65,70,75,80,85}, 1), "20-24", "25-29", "30-34", "35-39", "40-44", "45-49", "50-54", "55-59", "60-64", "65-69", "70-74", "75-79", "80-84", "85+")</f>
        <v>65-69</v>
      </c>
      <c r="D6069" t="s">
        <v>7</v>
      </c>
    </row>
    <row r="6070" spans="1:4">
      <c r="A6070" t="s">
        <v>6</v>
      </c>
      <c r="B6070">
        <v>28</v>
      </c>
      <c r="C6070" t="str">
        <f>CHOOSE(MATCH(B6070, {20,25,30,35,40,45,50,55,60,65,70,75,80,85}, 1), "20-24", "25-29", "30-34", "35-39", "40-44", "45-49", "50-54", "55-59", "60-64", "65-69", "70-74", "75-79", "80-84", "85+")</f>
        <v>25-29</v>
      </c>
      <c r="D6070" t="s">
        <v>7</v>
      </c>
    </row>
    <row r="6071" spans="1:4">
      <c r="A6071" t="s">
        <v>6</v>
      </c>
      <c r="B6071">
        <v>28</v>
      </c>
      <c r="C6071" t="str">
        <f>CHOOSE(MATCH(B6071, {20,25,30,35,40,45,50,55,60,65,70,75,80,85}, 1), "20-24", "25-29", "30-34", "35-39", "40-44", "45-49", "50-54", "55-59", "60-64", "65-69", "70-74", "75-79", "80-84", "85+")</f>
        <v>25-29</v>
      </c>
      <c r="D6071" t="s">
        <v>8</v>
      </c>
    </row>
    <row r="6072" spans="1:4">
      <c r="A6072" t="s">
        <v>6</v>
      </c>
      <c r="B6072">
        <v>28</v>
      </c>
      <c r="C6072" t="str">
        <f>CHOOSE(MATCH(B6072, {20,25,30,35,40,45,50,55,60,65,70,75,80,85}, 1), "20-24", "25-29", "30-34", "35-39", "40-44", "45-49", "50-54", "55-59", "60-64", "65-69", "70-74", "75-79", "80-84", "85+")</f>
        <v>25-29</v>
      </c>
      <c r="D6072" t="s">
        <v>7</v>
      </c>
    </row>
    <row r="6073" spans="1:4">
      <c r="A6073" t="s">
        <v>6</v>
      </c>
      <c r="B6073">
        <v>21</v>
      </c>
      <c r="C6073" t="str">
        <f>CHOOSE(MATCH(B6073, {20,25,30,35,40,45,50,55,60,65,70,75,80,85}, 1), "20-24", "25-29", "30-34", "35-39", "40-44", "45-49", "50-54", "55-59", "60-64", "65-69", "70-74", "75-79", "80-84", "85+")</f>
        <v>20-24</v>
      </c>
      <c r="D6073" t="s">
        <v>8</v>
      </c>
    </row>
    <row r="6074" spans="1:4">
      <c r="A6074" t="s">
        <v>6</v>
      </c>
      <c r="B6074">
        <v>30</v>
      </c>
      <c r="C6074" t="str">
        <f>CHOOSE(MATCH(B6074, {20,25,30,35,40,45,50,55,60,65,70,75,80,85}, 1), "20-24", "25-29", "30-34", "35-39", "40-44", "45-49", "50-54", "55-59", "60-64", "65-69", "70-74", "75-79", "80-84", "85+")</f>
        <v>30-34</v>
      </c>
      <c r="D6074" t="s">
        <v>7</v>
      </c>
    </row>
    <row r="6075" spans="1:4">
      <c r="A6075" t="s">
        <v>6</v>
      </c>
      <c r="B6075">
        <v>33</v>
      </c>
      <c r="C6075" t="str">
        <f>CHOOSE(MATCH(B6075, {20,25,30,35,40,45,50,55,60,65,70,75,80,85}, 1), "20-24", "25-29", "30-34", "35-39", "40-44", "45-49", "50-54", "55-59", "60-64", "65-69", "70-74", "75-79", "80-84", "85+")</f>
        <v>30-34</v>
      </c>
      <c r="D6075" t="s">
        <v>8</v>
      </c>
    </row>
    <row r="6076" spans="1:4">
      <c r="A6076" t="s">
        <v>6</v>
      </c>
      <c r="B6076">
        <v>39</v>
      </c>
      <c r="C6076" t="str">
        <f>CHOOSE(MATCH(B6076, {20,25,30,35,40,45,50,55,60,65,70,75,80,85}, 1), "20-24", "25-29", "30-34", "35-39", "40-44", "45-49", "50-54", "55-59", "60-64", "65-69", "70-74", "75-79", "80-84", "85+")</f>
        <v>35-39</v>
      </c>
      <c r="D6076" t="s">
        <v>7</v>
      </c>
    </row>
    <row r="6077" spans="1:4">
      <c r="A6077" t="s">
        <v>6</v>
      </c>
      <c r="B6077">
        <v>38</v>
      </c>
      <c r="C6077" t="str">
        <f>CHOOSE(MATCH(B6077, {20,25,30,35,40,45,50,55,60,65,70,75,80,85}, 1), "20-24", "25-29", "30-34", "35-39", "40-44", "45-49", "50-54", "55-59", "60-64", "65-69", "70-74", "75-79", "80-84", "85+")</f>
        <v>35-39</v>
      </c>
      <c r="D6077" t="s">
        <v>7</v>
      </c>
    </row>
    <row r="6078" spans="1:4">
      <c r="A6078" t="s">
        <v>6</v>
      </c>
      <c r="B6078">
        <v>38</v>
      </c>
      <c r="C6078" t="str">
        <f>CHOOSE(MATCH(B6078, {20,25,30,35,40,45,50,55,60,65,70,75,80,85}, 1), "20-24", "25-29", "30-34", "35-39", "40-44", "45-49", "50-54", "55-59", "60-64", "65-69", "70-74", "75-79", "80-84", "85+")</f>
        <v>35-39</v>
      </c>
      <c r="D6078" t="s">
        <v>7</v>
      </c>
    </row>
    <row r="6079" spans="1:4">
      <c r="A6079" t="s">
        <v>6</v>
      </c>
      <c r="B6079">
        <v>64</v>
      </c>
      <c r="C6079" t="str">
        <f>CHOOSE(MATCH(B6079, {20,25,30,35,40,45,50,55,60,65,70,75,80,85}, 1), "20-24", "25-29", "30-34", "35-39", "40-44", "45-49", "50-54", "55-59", "60-64", "65-69", "70-74", "75-79", "80-84", "85+")</f>
        <v>60-64</v>
      </c>
      <c r="D6079" t="s">
        <v>8</v>
      </c>
    </row>
    <row r="6080" spans="1:4">
      <c r="A6080" t="s">
        <v>6</v>
      </c>
      <c r="B6080">
        <v>35</v>
      </c>
      <c r="C6080" t="str">
        <f>CHOOSE(MATCH(B6080, {20,25,30,35,40,45,50,55,60,65,70,75,80,85}, 1), "20-24", "25-29", "30-34", "35-39", "40-44", "45-49", "50-54", "55-59", "60-64", "65-69", "70-74", "75-79", "80-84", "85+")</f>
        <v>35-39</v>
      </c>
      <c r="D6080" t="s">
        <v>8</v>
      </c>
    </row>
    <row r="6081" spans="1:4">
      <c r="A6081" t="s">
        <v>6</v>
      </c>
      <c r="B6081">
        <v>47</v>
      </c>
      <c r="C6081" t="str">
        <f>CHOOSE(MATCH(B6081, {20,25,30,35,40,45,50,55,60,65,70,75,80,85}, 1), "20-24", "25-29", "30-34", "35-39", "40-44", "45-49", "50-54", "55-59", "60-64", "65-69", "70-74", "75-79", "80-84", "85+")</f>
        <v>45-49</v>
      </c>
      <c r="D6081" t="s">
        <v>7</v>
      </c>
    </row>
    <row r="6082" spans="1:4">
      <c r="A6082" t="s">
        <v>6</v>
      </c>
      <c r="B6082">
        <v>23</v>
      </c>
      <c r="C6082" t="str">
        <f>CHOOSE(MATCH(B6082, {20,25,30,35,40,45,50,55,60,65,70,75,80,85}, 1), "20-24", "25-29", "30-34", "35-39", "40-44", "45-49", "50-54", "55-59", "60-64", "65-69", "70-74", "75-79", "80-84", "85+")</f>
        <v>20-24</v>
      </c>
      <c r="D6082" t="s">
        <v>7</v>
      </c>
    </row>
    <row r="6083" spans="1:4">
      <c r="A6083" t="s">
        <v>6</v>
      </c>
      <c r="B6083">
        <v>31</v>
      </c>
      <c r="C6083" t="str">
        <f>CHOOSE(MATCH(B6083, {20,25,30,35,40,45,50,55,60,65,70,75,80,85}, 1), "20-24", "25-29", "30-34", "35-39", "40-44", "45-49", "50-54", "55-59", "60-64", "65-69", "70-74", "75-79", "80-84", "85+")</f>
        <v>30-34</v>
      </c>
      <c r="D6083" t="s">
        <v>7</v>
      </c>
    </row>
    <row r="6084" spans="1:4">
      <c r="A6084" t="s">
        <v>6</v>
      </c>
      <c r="B6084">
        <v>36</v>
      </c>
      <c r="C6084" t="str">
        <f>CHOOSE(MATCH(B6084, {20,25,30,35,40,45,50,55,60,65,70,75,80,85}, 1), "20-24", "25-29", "30-34", "35-39", "40-44", "45-49", "50-54", "55-59", "60-64", "65-69", "70-74", "75-79", "80-84", "85+")</f>
        <v>35-39</v>
      </c>
      <c r="D6084" t="s">
        <v>8</v>
      </c>
    </row>
    <row r="6085" spans="1:4">
      <c r="A6085" t="s">
        <v>6</v>
      </c>
      <c r="B6085">
        <v>32</v>
      </c>
      <c r="C6085" t="str">
        <f>CHOOSE(MATCH(B6085, {20,25,30,35,40,45,50,55,60,65,70,75,80,85}, 1), "20-24", "25-29", "30-34", "35-39", "40-44", "45-49", "50-54", "55-59", "60-64", "65-69", "70-74", "75-79", "80-84", "85+")</f>
        <v>30-34</v>
      </c>
      <c r="D6085" t="s">
        <v>7</v>
      </c>
    </row>
    <row r="6086" spans="1:4">
      <c r="A6086" t="s">
        <v>6</v>
      </c>
      <c r="B6086">
        <v>44</v>
      </c>
      <c r="C6086" t="str">
        <f>CHOOSE(MATCH(B6086, {20,25,30,35,40,45,50,55,60,65,70,75,80,85}, 1), "20-24", "25-29", "30-34", "35-39", "40-44", "45-49", "50-54", "55-59", "60-64", "65-69", "70-74", "75-79", "80-84", "85+")</f>
        <v>40-44</v>
      </c>
      <c r="D6086" t="s">
        <v>7</v>
      </c>
    </row>
    <row r="6087" spans="1:4">
      <c r="A6087" t="s">
        <v>6</v>
      </c>
      <c r="B6087">
        <v>27</v>
      </c>
      <c r="C6087" t="str">
        <f>CHOOSE(MATCH(B6087, {20,25,30,35,40,45,50,55,60,65,70,75,80,85}, 1), "20-24", "25-29", "30-34", "35-39", "40-44", "45-49", "50-54", "55-59", "60-64", "65-69", "70-74", "75-79", "80-84", "85+")</f>
        <v>25-29</v>
      </c>
      <c r="D6087" t="s">
        <v>7</v>
      </c>
    </row>
    <row r="6088" spans="1:4">
      <c r="A6088" t="s">
        <v>6</v>
      </c>
      <c r="B6088">
        <v>62</v>
      </c>
      <c r="C6088" t="str">
        <f>CHOOSE(MATCH(B6088, {20,25,30,35,40,45,50,55,60,65,70,75,80,85}, 1), "20-24", "25-29", "30-34", "35-39", "40-44", "45-49", "50-54", "55-59", "60-64", "65-69", "70-74", "75-79", "80-84", "85+")</f>
        <v>60-64</v>
      </c>
      <c r="D6088" t="s">
        <v>8</v>
      </c>
    </row>
    <row r="6089" spans="1:4">
      <c r="A6089" t="s">
        <v>6</v>
      </c>
      <c r="B6089">
        <v>36</v>
      </c>
      <c r="C6089" t="str">
        <f>CHOOSE(MATCH(B6089, {20,25,30,35,40,45,50,55,60,65,70,75,80,85}, 1), "20-24", "25-29", "30-34", "35-39", "40-44", "45-49", "50-54", "55-59", "60-64", "65-69", "70-74", "75-79", "80-84", "85+")</f>
        <v>35-39</v>
      </c>
      <c r="D6089" t="s">
        <v>7</v>
      </c>
    </row>
    <row r="6090" spans="1:4">
      <c r="A6090" t="s">
        <v>6</v>
      </c>
      <c r="B6090">
        <v>33</v>
      </c>
      <c r="C6090" t="str">
        <f>CHOOSE(MATCH(B6090, {20,25,30,35,40,45,50,55,60,65,70,75,80,85}, 1), "20-24", "25-29", "30-34", "35-39", "40-44", "45-49", "50-54", "55-59", "60-64", "65-69", "70-74", "75-79", "80-84", "85+")</f>
        <v>30-34</v>
      </c>
      <c r="D6090" t="s">
        <v>7</v>
      </c>
    </row>
    <row r="6091" spans="1:4">
      <c r="A6091" t="s">
        <v>6</v>
      </c>
      <c r="B6091">
        <v>31</v>
      </c>
      <c r="C6091" t="str">
        <f>CHOOSE(MATCH(B6091, {20,25,30,35,40,45,50,55,60,65,70,75,80,85}, 1), "20-24", "25-29", "30-34", "35-39", "40-44", "45-49", "50-54", "55-59", "60-64", "65-69", "70-74", "75-79", "80-84", "85+")</f>
        <v>30-34</v>
      </c>
      <c r="D6091" t="s">
        <v>7</v>
      </c>
    </row>
    <row r="6092" spans="1:4">
      <c r="A6092" t="s">
        <v>6</v>
      </c>
      <c r="B6092">
        <v>76</v>
      </c>
      <c r="C6092" t="str">
        <f>CHOOSE(MATCH(B6092, {20,25,30,35,40,45,50,55,60,65,70,75,80,85}, 1), "20-24", "25-29", "30-34", "35-39", "40-44", "45-49", "50-54", "55-59", "60-64", "65-69", "70-74", "75-79", "80-84", "85+")</f>
        <v>75-79</v>
      </c>
      <c r="D6092" t="s">
        <v>7</v>
      </c>
    </row>
    <row r="6093" spans="1:4">
      <c r="A6093" t="s">
        <v>6</v>
      </c>
      <c r="B6093">
        <v>39</v>
      </c>
      <c r="C6093" t="str">
        <f>CHOOSE(MATCH(B6093, {20,25,30,35,40,45,50,55,60,65,70,75,80,85}, 1), "20-24", "25-29", "30-34", "35-39", "40-44", "45-49", "50-54", "55-59", "60-64", "65-69", "70-74", "75-79", "80-84", "85+")</f>
        <v>35-39</v>
      </c>
      <c r="D6093" t="s">
        <v>8</v>
      </c>
    </row>
    <row r="6094" spans="1:4">
      <c r="A6094" t="s">
        <v>6</v>
      </c>
      <c r="B6094">
        <v>37</v>
      </c>
      <c r="C6094" t="str">
        <f>CHOOSE(MATCH(B6094, {20,25,30,35,40,45,50,55,60,65,70,75,80,85}, 1), "20-24", "25-29", "30-34", "35-39", "40-44", "45-49", "50-54", "55-59", "60-64", "65-69", "70-74", "75-79", "80-84", "85+")</f>
        <v>35-39</v>
      </c>
      <c r="D6094" t="s">
        <v>8</v>
      </c>
    </row>
    <row r="6095" spans="1:4">
      <c r="A6095" t="s">
        <v>6</v>
      </c>
      <c r="B6095">
        <v>42</v>
      </c>
      <c r="C6095" t="str">
        <f>CHOOSE(MATCH(B6095, {20,25,30,35,40,45,50,55,60,65,70,75,80,85}, 1), "20-24", "25-29", "30-34", "35-39", "40-44", "45-49", "50-54", "55-59", "60-64", "65-69", "70-74", "75-79", "80-84", "85+")</f>
        <v>40-44</v>
      </c>
      <c r="D6095" t="s">
        <v>8</v>
      </c>
    </row>
    <row r="6096" spans="1:4">
      <c r="A6096" t="s">
        <v>6</v>
      </c>
      <c r="B6096">
        <v>62</v>
      </c>
      <c r="C6096" t="str">
        <f>CHOOSE(MATCH(B6096, {20,25,30,35,40,45,50,55,60,65,70,75,80,85}, 1), "20-24", "25-29", "30-34", "35-39", "40-44", "45-49", "50-54", "55-59", "60-64", "65-69", "70-74", "75-79", "80-84", "85+")</f>
        <v>60-64</v>
      </c>
      <c r="D6096" t="s">
        <v>8</v>
      </c>
    </row>
    <row r="6097" spans="1:4">
      <c r="A6097" t="s">
        <v>6</v>
      </c>
      <c r="B6097">
        <v>33</v>
      </c>
      <c r="C6097" t="str">
        <f>CHOOSE(MATCH(B6097, {20,25,30,35,40,45,50,55,60,65,70,75,80,85}, 1), "20-24", "25-29", "30-34", "35-39", "40-44", "45-49", "50-54", "55-59", "60-64", "65-69", "70-74", "75-79", "80-84", "85+")</f>
        <v>30-34</v>
      </c>
      <c r="D6097" t="s">
        <v>7</v>
      </c>
    </row>
    <row r="6098" spans="1:4">
      <c r="A6098" t="s">
        <v>6</v>
      </c>
      <c r="B6098">
        <v>61</v>
      </c>
      <c r="C6098" t="str">
        <f>CHOOSE(MATCH(B6098, {20,25,30,35,40,45,50,55,60,65,70,75,80,85}, 1), "20-24", "25-29", "30-34", "35-39", "40-44", "45-49", "50-54", "55-59", "60-64", "65-69", "70-74", "75-79", "80-84", "85+")</f>
        <v>60-64</v>
      </c>
      <c r="D6098" t="s">
        <v>7</v>
      </c>
    </row>
    <row r="6099" spans="1:4">
      <c r="A6099" t="s">
        <v>6</v>
      </c>
      <c r="B6099">
        <v>88</v>
      </c>
      <c r="C6099" t="str">
        <f>CHOOSE(MATCH(B6099, {20,25,30,35,40,45,50,55,60,65,70,75,80,85}, 1), "20-24", "25-29", "30-34", "35-39", "40-44", "45-49", "50-54", "55-59", "60-64", "65-69", "70-74", "75-79", "80-84", "85+")</f>
        <v>85+</v>
      </c>
      <c r="D6099" t="s">
        <v>8</v>
      </c>
    </row>
    <row r="6100" spans="1:4">
      <c r="A6100" t="s">
        <v>6</v>
      </c>
      <c r="B6100">
        <v>57</v>
      </c>
      <c r="C6100" t="str">
        <f>CHOOSE(MATCH(B6100, {20,25,30,35,40,45,50,55,60,65,70,75,80,85}, 1), "20-24", "25-29", "30-34", "35-39", "40-44", "45-49", "50-54", "55-59", "60-64", "65-69", "70-74", "75-79", "80-84", "85+")</f>
        <v>55-59</v>
      </c>
      <c r="D6100" t="s">
        <v>8</v>
      </c>
    </row>
    <row r="6101" spans="1:4">
      <c r="A6101" t="s">
        <v>6</v>
      </c>
      <c r="B6101">
        <v>25</v>
      </c>
      <c r="C6101" t="str">
        <f>CHOOSE(MATCH(B6101, {20,25,30,35,40,45,50,55,60,65,70,75,80,85}, 1), "20-24", "25-29", "30-34", "35-39", "40-44", "45-49", "50-54", "55-59", "60-64", "65-69", "70-74", "75-79", "80-84", "85+")</f>
        <v>25-29</v>
      </c>
      <c r="D6101" t="s">
        <v>8</v>
      </c>
    </row>
    <row r="6102" spans="1:4">
      <c r="A6102" t="s">
        <v>6</v>
      </c>
      <c r="B6102">
        <v>37</v>
      </c>
      <c r="C6102" t="str">
        <f>CHOOSE(MATCH(B6102, {20,25,30,35,40,45,50,55,60,65,70,75,80,85}, 1), "20-24", "25-29", "30-34", "35-39", "40-44", "45-49", "50-54", "55-59", "60-64", "65-69", "70-74", "75-79", "80-84", "85+")</f>
        <v>35-39</v>
      </c>
      <c r="D6102" t="s">
        <v>7</v>
      </c>
    </row>
    <row r="6103" spans="1:4">
      <c r="A6103" t="s">
        <v>6</v>
      </c>
      <c r="B6103">
        <v>43</v>
      </c>
      <c r="C6103" t="str">
        <f>CHOOSE(MATCH(B6103, {20,25,30,35,40,45,50,55,60,65,70,75,80,85}, 1), "20-24", "25-29", "30-34", "35-39", "40-44", "45-49", "50-54", "55-59", "60-64", "65-69", "70-74", "75-79", "80-84", "85+")</f>
        <v>40-44</v>
      </c>
      <c r="D6103" t="s">
        <v>7</v>
      </c>
    </row>
    <row r="6104" spans="1:4">
      <c r="A6104" t="s">
        <v>6</v>
      </c>
      <c r="B6104">
        <v>31</v>
      </c>
      <c r="C6104" t="str">
        <f>CHOOSE(MATCH(B6104, {20,25,30,35,40,45,50,55,60,65,70,75,80,85}, 1), "20-24", "25-29", "30-34", "35-39", "40-44", "45-49", "50-54", "55-59", "60-64", "65-69", "70-74", "75-79", "80-84", "85+")</f>
        <v>30-34</v>
      </c>
      <c r="D6104" t="s">
        <v>7</v>
      </c>
    </row>
    <row r="6105" spans="1:4">
      <c r="A6105" t="s">
        <v>6</v>
      </c>
      <c r="B6105">
        <v>28</v>
      </c>
      <c r="C6105" t="str">
        <f>CHOOSE(MATCH(B6105, {20,25,30,35,40,45,50,55,60,65,70,75,80,85}, 1), "20-24", "25-29", "30-34", "35-39", "40-44", "45-49", "50-54", "55-59", "60-64", "65-69", "70-74", "75-79", "80-84", "85+")</f>
        <v>25-29</v>
      </c>
      <c r="D6105" t="s">
        <v>7</v>
      </c>
    </row>
    <row r="6106" spans="1:4">
      <c r="A6106" t="s">
        <v>6</v>
      </c>
      <c r="B6106">
        <v>29</v>
      </c>
      <c r="C6106" t="str">
        <f>CHOOSE(MATCH(B6106, {20,25,30,35,40,45,50,55,60,65,70,75,80,85}, 1), "20-24", "25-29", "30-34", "35-39", "40-44", "45-49", "50-54", "55-59", "60-64", "65-69", "70-74", "75-79", "80-84", "85+")</f>
        <v>25-29</v>
      </c>
      <c r="D6106" t="s">
        <v>7</v>
      </c>
    </row>
    <row r="6107" spans="1:4">
      <c r="A6107" t="s">
        <v>6</v>
      </c>
      <c r="B6107">
        <v>35</v>
      </c>
      <c r="C6107" t="str">
        <f>CHOOSE(MATCH(B6107, {20,25,30,35,40,45,50,55,60,65,70,75,80,85}, 1), "20-24", "25-29", "30-34", "35-39", "40-44", "45-49", "50-54", "55-59", "60-64", "65-69", "70-74", "75-79", "80-84", "85+")</f>
        <v>35-39</v>
      </c>
      <c r="D6107" t="s">
        <v>7</v>
      </c>
    </row>
    <row r="6108" spans="1:4">
      <c r="A6108" t="s">
        <v>6</v>
      </c>
      <c r="B6108">
        <v>42</v>
      </c>
      <c r="C6108" t="str">
        <f>CHOOSE(MATCH(B6108, {20,25,30,35,40,45,50,55,60,65,70,75,80,85}, 1), "20-24", "25-29", "30-34", "35-39", "40-44", "45-49", "50-54", "55-59", "60-64", "65-69", "70-74", "75-79", "80-84", "85+")</f>
        <v>40-44</v>
      </c>
      <c r="D6108" t="s">
        <v>8</v>
      </c>
    </row>
    <row r="6109" spans="1:4">
      <c r="A6109" t="s">
        <v>6</v>
      </c>
      <c r="B6109">
        <v>48</v>
      </c>
      <c r="C6109" t="str">
        <f>CHOOSE(MATCH(B6109, {20,25,30,35,40,45,50,55,60,65,70,75,80,85}, 1), "20-24", "25-29", "30-34", "35-39", "40-44", "45-49", "50-54", "55-59", "60-64", "65-69", "70-74", "75-79", "80-84", "85+")</f>
        <v>45-49</v>
      </c>
      <c r="D6109" t="s">
        <v>7</v>
      </c>
    </row>
    <row r="6110" spans="1:4">
      <c r="A6110" t="s">
        <v>6</v>
      </c>
      <c r="B6110">
        <v>50</v>
      </c>
      <c r="C6110" t="str">
        <f>CHOOSE(MATCH(B6110, {20,25,30,35,40,45,50,55,60,65,70,75,80,85}, 1), "20-24", "25-29", "30-34", "35-39", "40-44", "45-49", "50-54", "55-59", "60-64", "65-69", "70-74", "75-79", "80-84", "85+")</f>
        <v>50-54</v>
      </c>
      <c r="D6110" t="s">
        <v>8</v>
      </c>
    </row>
    <row r="6111" spans="1:4">
      <c r="A6111" t="s">
        <v>6</v>
      </c>
      <c r="B6111">
        <v>52</v>
      </c>
      <c r="C6111" t="str">
        <f>CHOOSE(MATCH(B6111, {20,25,30,35,40,45,50,55,60,65,70,75,80,85}, 1), "20-24", "25-29", "30-34", "35-39", "40-44", "45-49", "50-54", "55-59", "60-64", "65-69", "70-74", "75-79", "80-84", "85+")</f>
        <v>50-54</v>
      </c>
      <c r="D6111" t="s">
        <v>8</v>
      </c>
    </row>
    <row r="6112" spans="1:4">
      <c r="A6112" t="s">
        <v>6</v>
      </c>
      <c r="B6112">
        <v>37</v>
      </c>
      <c r="C6112" t="str">
        <f>CHOOSE(MATCH(B6112, {20,25,30,35,40,45,50,55,60,65,70,75,80,85}, 1), "20-24", "25-29", "30-34", "35-39", "40-44", "45-49", "50-54", "55-59", "60-64", "65-69", "70-74", "75-79", "80-84", "85+")</f>
        <v>35-39</v>
      </c>
      <c r="D6112" t="s">
        <v>7</v>
      </c>
    </row>
    <row r="6113" spans="1:4">
      <c r="A6113" t="s">
        <v>6</v>
      </c>
      <c r="B6113">
        <v>49</v>
      </c>
      <c r="C6113" t="str">
        <f>CHOOSE(MATCH(B6113, {20,25,30,35,40,45,50,55,60,65,70,75,80,85}, 1), "20-24", "25-29", "30-34", "35-39", "40-44", "45-49", "50-54", "55-59", "60-64", "65-69", "70-74", "75-79", "80-84", "85+")</f>
        <v>45-49</v>
      </c>
      <c r="D6113" t="s">
        <v>8</v>
      </c>
    </row>
    <row r="6114" spans="1:4">
      <c r="A6114" t="s">
        <v>6</v>
      </c>
      <c r="B6114">
        <v>26</v>
      </c>
      <c r="C6114" t="str">
        <f>CHOOSE(MATCH(B6114, {20,25,30,35,40,45,50,55,60,65,70,75,80,85}, 1), "20-24", "25-29", "30-34", "35-39", "40-44", "45-49", "50-54", "55-59", "60-64", "65-69", "70-74", "75-79", "80-84", "85+")</f>
        <v>25-29</v>
      </c>
      <c r="D6114" t="s">
        <v>7</v>
      </c>
    </row>
    <row r="6115" spans="1:4">
      <c r="A6115" t="s">
        <v>6</v>
      </c>
      <c r="B6115">
        <v>27</v>
      </c>
      <c r="C6115" t="str">
        <f>CHOOSE(MATCH(B6115, {20,25,30,35,40,45,50,55,60,65,70,75,80,85}, 1), "20-24", "25-29", "30-34", "35-39", "40-44", "45-49", "50-54", "55-59", "60-64", "65-69", "70-74", "75-79", "80-84", "85+")</f>
        <v>25-29</v>
      </c>
      <c r="D6115" t="s">
        <v>7</v>
      </c>
    </row>
    <row r="6116" spans="1:4">
      <c r="A6116" t="s">
        <v>6</v>
      </c>
      <c r="B6116">
        <v>29</v>
      </c>
      <c r="C6116" t="str">
        <f>CHOOSE(MATCH(B6116, {20,25,30,35,40,45,50,55,60,65,70,75,80,85}, 1), "20-24", "25-29", "30-34", "35-39", "40-44", "45-49", "50-54", "55-59", "60-64", "65-69", "70-74", "75-79", "80-84", "85+")</f>
        <v>25-29</v>
      </c>
      <c r="D6116" t="s">
        <v>7</v>
      </c>
    </row>
    <row r="6117" spans="1:4">
      <c r="A6117" t="s">
        <v>6</v>
      </c>
      <c r="B6117">
        <v>50</v>
      </c>
      <c r="C6117" t="str">
        <f>CHOOSE(MATCH(B6117, {20,25,30,35,40,45,50,55,60,65,70,75,80,85}, 1), "20-24", "25-29", "30-34", "35-39", "40-44", "45-49", "50-54", "55-59", "60-64", "65-69", "70-74", "75-79", "80-84", "85+")</f>
        <v>50-54</v>
      </c>
      <c r="D6117" t="s">
        <v>8</v>
      </c>
    </row>
    <row r="6118" spans="1:4">
      <c r="A6118" t="s">
        <v>6</v>
      </c>
      <c r="B6118">
        <v>29</v>
      </c>
      <c r="C6118" t="str">
        <f>CHOOSE(MATCH(B6118, {20,25,30,35,40,45,50,55,60,65,70,75,80,85}, 1), "20-24", "25-29", "30-34", "35-39", "40-44", "45-49", "50-54", "55-59", "60-64", "65-69", "70-74", "75-79", "80-84", "85+")</f>
        <v>25-29</v>
      </c>
      <c r="D6118" t="s">
        <v>8</v>
      </c>
    </row>
    <row r="6119" spans="1:4">
      <c r="A6119" t="s">
        <v>6</v>
      </c>
      <c r="B6119">
        <v>41</v>
      </c>
      <c r="C6119" t="str">
        <f>CHOOSE(MATCH(B6119, {20,25,30,35,40,45,50,55,60,65,70,75,80,85}, 1), "20-24", "25-29", "30-34", "35-39", "40-44", "45-49", "50-54", "55-59", "60-64", "65-69", "70-74", "75-79", "80-84", "85+")</f>
        <v>40-44</v>
      </c>
      <c r="D6119" t="s">
        <v>8</v>
      </c>
    </row>
    <row r="6120" spans="1:4">
      <c r="A6120" t="s">
        <v>6</v>
      </c>
      <c r="B6120">
        <v>27</v>
      </c>
      <c r="C6120" t="str">
        <f>CHOOSE(MATCH(B6120, {20,25,30,35,40,45,50,55,60,65,70,75,80,85}, 1), "20-24", "25-29", "30-34", "35-39", "40-44", "45-49", "50-54", "55-59", "60-64", "65-69", "70-74", "75-79", "80-84", "85+")</f>
        <v>25-29</v>
      </c>
      <c r="D6120" t="s">
        <v>7</v>
      </c>
    </row>
    <row r="6121" spans="1:4">
      <c r="A6121" t="s">
        <v>6</v>
      </c>
      <c r="B6121">
        <v>27</v>
      </c>
      <c r="C6121" t="str">
        <f>CHOOSE(MATCH(B6121, {20,25,30,35,40,45,50,55,60,65,70,75,80,85}, 1), "20-24", "25-29", "30-34", "35-39", "40-44", "45-49", "50-54", "55-59", "60-64", "65-69", "70-74", "75-79", "80-84", "85+")</f>
        <v>25-29</v>
      </c>
      <c r="D6121" t="s">
        <v>8</v>
      </c>
    </row>
    <row r="6122" spans="1:4">
      <c r="A6122" t="s">
        <v>6</v>
      </c>
      <c r="B6122">
        <v>25</v>
      </c>
      <c r="C6122" t="str">
        <f>CHOOSE(MATCH(B6122, {20,25,30,35,40,45,50,55,60,65,70,75,80,85}, 1), "20-24", "25-29", "30-34", "35-39", "40-44", "45-49", "50-54", "55-59", "60-64", "65-69", "70-74", "75-79", "80-84", "85+")</f>
        <v>25-29</v>
      </c>
      <c r="D6122" t="s">
        <v>7</v>
      </c>
    </row>
    <row r="6123" spans="1:4">
      <c r="A6123" t="s">
        <v>6</v>
      </c>
      <c r="B6123">
        <v>33</v>
      </c>
      <c r="C6123" t="str">
        <f>CHOOSE(MATCH(B6123, {20,25,30,35,40,45,50,55,60,65,70,75,80,85}, 1), "20-24", "25-29", "30-34", "35-39", "40-44", "45-49", "50-54", "55-59", "60-64", "65-69", "70-74", "75-79", "80-84", "85+")</f>
        <v>30-34</v>
      </c>
      <c r="D6123" t="s">
        <v>7</v>
      </c>
    </row>
    <row r="6124" spans="1:4">
      <c r="A6124" t="s">
        <v>6</v>
      </c>
      <c r="B6124">
        <v>35</v>
      </c>
      <c r="C6124" t="str">
        <f>CHOOSE(MATCH(B6124, {20,25,30,35,40,45,50,55,60,65,70,75,80,85}, 1), "20-24", "25-29", "30-34", "35-39", "40-44", "45-49", "50-54", "55-59", "60-64", "65-69", "70-74", "75-79", "80-84", "85+")</f>
        <v>35-39</v>
      </c>
      <c r="D6124" t="s">
        <v>7</v>
      </c>
    </row>
    <row r="6125" spans="1:4">
      <c r="A6125" t="s">
        <v>6</v>
      </c>
      <c r="B6125">
        <v>33</v>
      </c>
      <c r="C6125" t="str">
        <f>CHOOSE(MATCH(B6125, {20,25,30,35,40,45,50,55,60,65,70,75,80,85}, 1), "20-24", "25-29", "30-34", "35-39", "40-44", "45-49", "50-54", "55-59", "60-64", "65-69", "70-74", "75-79", "80-84", "85+")</f>
        <v>30-34</v>
      </c>
      <c r="D6125" t="s">
        <v>7</v>
      </c>
    </row>
    <row r="6126" spans="1:4">
      <c r="A6126" t="s">
        <v>6</v>
      </c>
      <c r="B6126">
        <v>37</v>
      </c>
      <c r="C6126" t="str">
        <f>CHOOSE(MATCH(B6126, {20,25,30,35,40,45,50,55,60,65,70,75,80,85}, 1), "20-24", "25-29", "30-34", "35-39", "40-44", "45-49", "50-54", "55-59", "60-64", "65-69", "70-74", "75-79", "80-84", "85+")</f>
        <v>35-39</v>
      </c>
      <c r="D6126" t="s">
        <v>7</v>
      </c>
    </row>
    <row r="6127" spans="1:4">
      <c r="A6127" t="s">
        <v>6</v>
      </c>
      <c r="B6127">
        <v>55</v>
      </c>
      <c r="C6127" t="str">
        <f>CHOOSE(MATCH(B6127, {20,25,30,35,40,45,50,55,60,65,70,75,80,85}, 1), "20-24", "25-29", "30-34", "35-39", "40-44", "45-49", "50-54", "55-59", "60-64", "65-69", "70-74", "75-79", "80-84", "85+")</f>
        <v>55-59</v>
      </c>
      <c r="D6127" t="s">
        <v>8</v>
      </c>
    </row>
    <row r="6128" spans="1:4">
      <c r="A6128" t="s">
        <v>6</v>
      </c>
      <c r="B6128">
        <v>72</v>
      </c>
      <c r="C6128" t="str">
        <f>CHOOSE(MATCH(B6128, {20,25,30,35,40,45,50,55,60,65,70,75,80,85}, 1), "20-24", "25-29", "30-34", "35-39", "40-44", "45-49", "50-54", "55-59", "60-64", "65-69", "70-74", "75-79", "80-84", "85+")</f>
        <v>70-74</v>
      </c>
      <c r="D6128" t="s">
        <v>7</v>
      </c>
    </row>
    <row r="6129" spans="1:4">
      <c r="A6129" t="s">
        <v>6</v>
      </c>
      <c r="B6129">
        <v>34</v>
      </c>
      <c r="C6129" t="str">
        <f>CHOOSE(MATCH(B6129, {20,25,30,35,40,45,50,55,60,65,70,75,80,85}, 1), "20-24", "25-29", "30-34", "35-39", "40-44", "45-49", "50-54", "55-59", "60-64", "65-69", "70-74", "75-79", "80-84", "85+")</f>
        <v>30-34</v>
      </c>
      <c r="D6129" t="s">
        <v>7</v>
      </c>
    </row>
    <row r="6130" spans="1:4">
      <c r="A6130" t="s">
        <v>6</v>
      </c>
      <c r="B6130">
        <v>25</v>
      </c>
      <c r="C6130" t="str">
        <f>CHOOSE(MATCH(B6130, {20,25,30,35,40,45,50,55,60,65,70,75,80,85}, 1), "20-24", "25-29", "30-34", "35-39", "40-44", "45-49", "50-54", "55-59", "60-64", "65-69", "70-74", "75-79", "80-84", "85+")</f>
        <v>25-29</v>
      </c>
      <c r="D6130" t="s">
        <v>7</v>
      </c>
    </row>
    <row r="6131" spans="1:4">
      <c r="A6131" t="s">
        <v>6</v>
      </c>
      <c r="B6131">
        <v>31</v>
      </c>
      <c r="C6131" t="str">
        <f>CHOOSE(MATCH(B6131, {20,25,30,35,40,45,50,55,60,65,70,75,80,85}, 1), "20-24", "25-29", "30-34", "35-39", "40-44", "45-49", "50-54", "55-59", "60-64", "65-69", "70-74", "75-79", "80-84", "85+")</f>
        <v>30-34</v>
      </c>
      <c r="D6131" t="s">
        <v>7</v>
      </c>
    </row>
    <row r="6132" spans="1:4">
      <c r="A6132" t="s">
        <v>6</v>
      </c>
      <c r="B6132">
        <v>33</v>
      </c>
      <c r="C6132" t="str">
        <f>CHOOSE(MATCH(B6132, {20,25,30,35,40,45,50,55,60,65,70,75,80,85}, 1), "20-24", "25-29", "30-34", "35-39", "40-44", "45-49", "50-54", "55-59", "60-64", "65-69", "70-74", "75-79", "80-84", "85+")</f>
        <v>30-34</v>
      </c>
      <c r="D6132" t="s">
        <v>8</v>
      </c>
    </row>
    <row r="6133" spans="1:4">
      <c r="A6133" t="s">
        <v>6</v>
      </c>
      <c r="B6133">
        <v>30</v>
      </c>
      <c r="C6133" t="str">
        <f>CHOOSE(MATCH(B6133, {20,25,30,35,40,45,50,55,60,65,70,75,80,85}, 1), "20-24", "25-29", "30-34", "35-39", "40-44", "45-49", "50-54", "55-59", "60-64", "65-69", "70-74", "75-79", "80-84", "85+")</f>
        <v>30-34</v>
      </c>
      <c r="D6133" t="s">
        <v>8</v>
      </c>
    </row>
    <row r="6134" spans="1:4">
      <c r="A6134" t="s">
        <v>6</v>
      </c>
      <c r="B6134">
        <v>51</v>
      </c>
      <c r="C6134" t="str">
        <f>CHOOSE(MATCH(B6134, {20,25,30,35,40,45,50,55,60,65,70,75,80,85}, 1), "20-24", "25-29", "30-34", "35-39", "40-44", "45-49", "50-54", "55-59", "60-64", "65-69", "70-74", "75-79", "80-84", "85+")</f>
        <v>50-54</v>
      </c>
      <c r="D6134" t="s">
        <v>8</v>
      </c>
    </row>
    <row r="6135" spans="1:4">
      <c r="A6135" t="s">
        <v>6</v>
      </c>
      <c r="B6135">
        <v>35</v>
      </c>
      <c r="C6135" t="str">
        <f>CHOOSE(MATCH(B6135, {20,25,30,35,40,45,50,55,60,65,70,75,80,85}, 1), "20-24", "25-29", "30-34", "35-39", "40-44", "45-49", "50-54", "55-59", "60-64", "65-69", "70-74", "75-79", "80-84", "85+")</f>
        <v>35-39</v>
      </c>
      <c r="D6135" t="s">
        <v>7</v>
      </c>
    </row>
    <row r="6136" spans="1:4">
      <c r="A6136" t="s">
        <v>6</v>
      </c>
      <c r="B6136">
        <v>38</v>
      </c>
      <c r="C6136" t="str">
        <f>CHOOSE(MATCH(B6136, {20,25,30,35,40,45,50,55,60,65,70,75,80,85}, 1), "20-24", "25-29", "30-34", "35-39", "40-44", "45-49", "50-54", "55-59", "60-64", "65-69", "70-74", "75-79", "80-84", "85+")</f>
        <v>35-39</v>
      </c>
      <c r="D6136" t="s">
        <v>7</v>
      </c>
    </row>
    <row r="6137" spans="1:4">
      <c r="A6137" t="s">
        <v>6</v>
      </c>
      <c r="B6137">
        <v>47</v>
      </c>
      <c r="C6137" t="str">
        <f>CHOOSE(MATCH(B6137, {20,25,30,35,40,45,50,55,60,65,70,75,80,85}, 1), "20-24", "25-29", "30-34", "35-39", "40-44", "45-49", "50-54", "55-59", "60-64", "65-69", "70-74", "75-79", "80-84", "85+")</f>
        <v>45-49</v>
      </c>
      <c r="D6137" t="s">
        <v>8</v>
      </c>
    </row>
    <row r="6138" spans="1:4">
      <c r="A6138" t="s">
        <v>6</v>
      </c>
      <c r="B6138">
        <v>28</v>
      </c>
      <c r="C6138" t="str">
        <f>CHOOSE(MATCH(B6138, {20,25,30,35,40,45,50,55,60,65,70,75,80,85}, 1), "20-24", "25-29", "30-34", "35-39", "40-44", "45-49", "50-54", "55-59", "60-64", "65-69", "70-74", "75-79", "80-84", "85+")</f>
        <v>25-29</v>
      </c>
      <c r="D6138" t="s">
        <v>7</v>
      </c>
    </row>
    <row r="6139" spans="1:4">
      <c r="A6139" t="s">
        <v>6</v>
      </c>
      <c r="B6139">
        <v>24</v>
      </c>
      <c r="C6139" t="str">
        <f>CHOOSE(MATCH(B6139, {20,25,30,35,40,45,50,55,60,65,70,75,80,85}, 1), "20-24", "25-29", "30-34", "35-39", "40-44", "45-49", "50-54", "55-59", "60-64", "65-69", "70-74", "75-79", "80-84", "85+")</f>
        <v>20-24</v>
      </c>
      <c r="D6139" t="s">
        <v>8</v>
      </c>
    </row>
    <row r="6140" spans="1:4">
      <c r="A6140" t="s">
        <v>6</v>
      </c>
      <c r="B6140">
        <v>41</v>
      </c>
      <c r="C6140" t="str">
        <f>CHOOSE(MATCH(B6140, {20,25,30,35,40,45,50,55,60,65,70,75,80,85}, 1), "20-24", "25-29", "30-34", "35-39", "40-44", "45-49", "50-54", "55-59", "60-64", "65-69", "70-74", "75-79", "80-84", "85+")</f>
        <v>40-44</v>
      </c>
      <c r="D6140" t="s">
        <v>8</v>
      </c>
    </row>
    <row r="6141" spans="1:4">
      <c r="A6141" t="s">
        <v>6</v>
      </c>
      <c r="B6141">
        <v>80</v>
      </c>
      <c r="C6141" t="str">
        <f>CHOOSE(MATCH(B6141, {20,25,30,35,40,45,50,55,60,65,70,75,80,85}, 1), "20-24", "25-29", "30-34", "35-39", "40-44", "45-49", "50-54", "55-59", "60-64", "65-69", "70-74", "75-79", "80-84", "85+")</f>
        <v>80-84</v>
      </c>
      <c r="D6141" t="s">
        <v>8</v>
      </c>
    </row>
    <row r="6142" spans="1:4">
      <c r="A6142" t="s">
        <v>6</v>
      </c>
      <c r="B6142">
        <v>41</v>
      </c>
      <c r="C6142" t="str">
        <f>CHOOSE(MATCH(B6142, {20,25,30,35,40,45,50,55,60,65,70,75,80,85}, 1), "20-24", "25-29", "30-34", "35-39", "40-44", "45-49", "50-54", "55-59", "60-64", "65-69", "70-74", "75-79", "80-84", "85+")</f>
        <v>40-44</v>
      </c>
      <c r="D6142" t="s">
        <v>8</v>
      </c>
    </row>
    <row r="6143" spans="1:4">
      <c r="A6143" t="s">
        <v>6</v>
      </c>
      <c r="B6143">
        <v>34</v>
      </c>
      <c r="C6143" t="str">
        <f>CHOOSE(MATCH(B6143, {20,25,30,35,40,45,50,55,60,65,70,75,80,85}, 1), "20-24", "25-29", "30-34", "35-39", "40-44", "45-49", "50-54", "55-59", "60-64", "65-69", "70-74", "75-79", "80-84", "85+")</f>
        <v>30-34</v>
      </c>
      <c r="D6143" t="s">
        <v>7</v>
      </c>
    </row>
    <row r="6144" spans="1:4">
      <c r="A6144" t="s">
        <v>6</v>
      </c>
      <c r="B6144">
        <v>27</v>
      </c>
      <c r="C6144" t="str">
        <f>CHOOSE(MATCH(B6144, {20,25,30,35,40,45,50,55,60,65,70,75,80,85}, 1), "20-24", "25-29", "30-34", "35-39", "40-44", "45-49", "50-54", "55-59", "60-64", "65-69", "70-74", "75-79", "80-84", "85+")</f>
        <v>25-29</v>
      </c>
      <c r="D6144" t="s">
        <v>7</v>
      </c>
    </row>
    <row r="6145" spans="1:4">
      <c r="A6145" t="s">
        <v>6</v>
      </c>
      <c r="B6145">
        <v>25</v>
      </c>
      <c r="C6145" t="str">
        <f>CHOOSE(MATCH(B6145, {20,25,30,35,40,45,50,55,60,65,70,75,80,85}, 1), "20-24", "25-29", "30-34", "35-39", "40-44", "45-49", "50-54", "55-59", "60-64", "65-69", "70-74", "75-79", "80-84", "85+")</f>
        <v>25-29</v>
      </c>
      <c r="D6145" t="s">
        <v>8</v>
      </c>
    </row>
    <row r="6146" spans="1:4">
      <c r="A6146" t="s">
        <v>6</v>
      </c>
      <c r="B6146">
        <v>20</v>
      </c>
      <c r="C6146" t="str">
        <f>CHOOSE(MATCH(B6146, {20,25,30,35,40,45,50,55,60,65,70,75,80,85}, 1), "20-24", "25-29", "30-34", "35-39", "40-44", "45-49", "50-54", "55-59", "60-64", "65-69", "70-74", "75-79", "80-84", "85+")</f>
        <v>20-24</v>
      </c>
      <c r="D6146" t="s">
        <v>8</v>
      </c>
    </row>
    <row r="6147" spans="1:4">
      <c r="A6147" t="s">
        <v>6</v>
      </c>
      <c r="B6147">
        <v>29</v>
      </c>
      <c r="C6147" t="str">
        <f>CHOOSE(MATCH(B6147, {20,25,30,35,40,45,50,55,60,65,70,75,80,85}, 1), "20-24", "25-29", "30-34", "35-39", "40-44", "45-49", "50-54", "55-59", "60-64", "65-69", "70-74", "75-79", "80-84", "85+")</f>
        <v>25-29</v>
      </c>
      <c r="D6147" t="s">
        <v>8</v>
      </c>
    </row>
    <row r="6148" spans="1:4">
      <c r="A6148" t="s">
        <v>6</v>
      </c>
      <c r="B6148">
        <v>54</v>
      </c>
      <c r="C6148" t="str">
        <f>CHOOSE(MATCH(B6148, {20,25,30,35,40,45,50,55,60,65,70,75,80,85}, 1), "20-24", "25-29", "30-34", "35-39", "40-44", "45-49", "50-54", "55-59", "60-64", "65-69", "70-74", "75-79", "80-84", "85+")</f>
        <v>50-54</v>
      </c>
      <c r="D6148" t="s">
        <v>8</v>
      </c>
    </row>
    <row r="6149" spans="1:4">
      <c r="A6149" t="s">
        <v>6</v>
      </c>
      <c r="B6149">
        <v>29</v>
      </c>
      <c r="C6149" t="str">
        <f>CHOOSE(MATCH(B6149, {20,25,30,35,40,45,50,55,60,65,70,75,80,85}, 1), "20-24", "25-29", "30-34", "35-39", "40-44", "45-49", "50-54", "55-59", "60-64", "65-69", "70-74", "75-79", "80-84", "85+")</f>
        <v>25-29</v>
      </c>
      <c r="D6149" t="s">
        <v>7</v>
      </c>
    </row>
    <row r="6150" spans="1:4">
      <c r="A6150" t="s">
        <v>6</v>
      </c>
      <c r="B6150">
        <v>23</v>
      </c>
      <c r="C6150" t="str">
        <f>CHOOSE(MATCH(B6150, {20,25,30,35,40,45,50,55,60,65,70,75,80,85}, 1), "20-24", "25-29", "30-34", "35-39", "40-44", "45-49", "50-54", "55-59", "60-64", "65-69", "70-74", "75-79", "80-84", "85+")</f>
        <v>20-24</v>
      </c>
      <c r="D6150" t="s">
        <v>7</v>
      </c>
    </row>
    <row r="6151" spans="1:4">
      <c r="A6151" t="s">
        <v>6</v>
      </c>
      <c r="B6151">
        <v>75</v>
      </c>
      <c r="C6151" t="str">
        <f>CHOOSE(MATCH(B6151, {20,25,30,35,40,45,50,55,60,65,70,75,80,85}, 1), "20-24", "25-29", "30-34", "35-39", "40-44", "45-49", "50-54", "55-59", "60-64", "65-69", "70-74", "75-79", "80-84", "85+")</f>
        <v>75-79</v>
      </c>
      <c r="D6151" t="s">
        <v>7</v>
      </c>
    </row>
    <row r="6152" spans="1:4">
      <c r="A6152" t="s">
        <v>6</v>
      </c>
      <c r="B6152">
        <v>47</v>
      </c>
      <c r="C6152" t="str">
        <f>CHOOSE(MATCH(B6152, {20,25,30,35,40,45,50,55,60,65,70,75,80,85}, 1), "20-24", "25-29", "30-34", "35-39", "40-44", "45-49", "50-54", "55-59", "60-64", "65-69", "70-74", "75-79", "80-84", "85+")</f>
        <v>45-49</v>
      </c>
      <c r="D6152" t="s">
        <v>8</v>
      </c>
    </row>
    <row r="6153" spans="1:4">
      <c r="A6153" t="s">
        <v>6</v>
      </c>
      <c r="B6153">
        <v>57</v>
      </c>
      <c r="C6153" t="str">
        <f>CHOOSE(MATCH(B6153, {20,25,30,35,40,45,50,55,60,65,70,75,80,85}, 1), "20-24", "25-29", "30-34", "35-39", "40-44", "45-49", "50-54", "55-59", "60-64", "65-69", "70-74", "75-79", "80-84", "85+")</f>
        <v>55-59</v>
      </c>
      <c r="D6153" t="s">
        <v>7</v>
      </c>
    </row>
    <row r="6154" spans="1:4">
      <c r="A6154" t="s">
        <v>6</v>
      </c>
      <c r="B6154">
        <v>26</v>
      </c>
      <c r="C6154" t="str">
        <f>CHOOSE(MATCH(B6154, {20,25,30,35,40,45,50,55,60,65,70,75,80,85}, 1), "20-24", "25-29", "30-34", "35-39", "40-44", "45-49", "50-54", "55-59", "60-64", "65-69", "70-74", "75-79", "80-84", "85+")</f>
        <v>25-29</v>
      </c>
      <c r="D6154" t="s">
        <v>7</v>
      </c>
    </row>
    <row r="6155" spans="1:4">
      <c r="A6155" t="s">
        <v>6</v>
      </c>
      <c r="B6155">
        <v>62</v>
      </c>
      <c r="C6155" t="str">
        <f>CHOOSE(MATCH(B6155, {20,25,30,35,40,45,50,55,60,65,70,75,80,85}, 1), "20-24", "25-29", "30-34", "35-39", "40-44", "45-49", "50-54", "55-59", "60-64", "65-69", "70-74", "75-79", "80-84", "85+")</f>
        <v>60-64</v>
      </c>
      <c r="D6155" t="s">
        <v>7</v>
      </c>
    </row>
    <row r="6156" spans="1:4">
      <c r="A6156" t="s">
        <v>6</v>
      </c>
      <c r="B6156">
        <v>28</v>
      </c>
      <c r="C6156" t="str">
        <f>CHOOSE(MATCH(B6156, {20,25,30,35,40,45,50,55,60,65,70,75,80,85}, 1), "20-24", "25-29", "30-34", "35-39", "40-44", "45-49", "50-54", "55-59", "60-64", "65-69", "70-74", "75-79", "80-84", "85+")</f>
        <v>25-29</v>
      </c>
      <c r="D6156" t="s">
        <v>7</v>
      </c>
    </row>
    <row r="6157" spans="1:4">
      <c r="A6157" t="s">
        <v>6</v>
      </c>
      <c r="B6157">
        <v>41</v>
      </c>
      <c r="C6157" t="str">
        <f>CHOOSE(MATCH(B6157, {20,25,30,35,40,45,50,55,60,65,70,75,80,85}, 1), "20-24", "25-29", "30-34", "35-39", "40-44", "45-49", "50-54", "55-59", "60-64", "65-69", "70-74", "75-79", "80-84", "85+")</f>
        <v>40-44</v>
      </c>
      <c r="D6157" t="s">
        <v>8</v>
      </c>
    </row>
    <row r="6158" spans="1:4">
      <c r="A6158" t="s">
        <v>6</v>
      </c>
      <c r="B6158">
        <v>42</v>
      </c>
      <c r="C6158" t="str">
        <f>CHOOSE(MATCH(B6158, {20,25,30,35,40,45,50,55,60,65,70,75,80,85}, 1), "20-24", "25-29", "30-34", "35-39", "40-44", "45-49", "50-54", "55-59", "60-64", "65-69", "70-74", "75-79", "80-84", "85+")</f>
        <v>40-44</v>
      </c>
      <c r="D6158" t="s">
        <v>8</v>
      </c>
    </row>
    <row r="6159" spans="1:4">
      <c r="A6159" t="s">
        <v>6</v>
      </c>
      <c r="B6159">
        <v>57</v>
      </c>
      <c r="C6159" t="str">
        <f>CHOOSE(MATCH(B6159, {20,25,30,35,40,45,50,55,60,65,70,75,80,85}, 1), "20-24", "25-29", "30-34", "35-39", "40-44", "45-49", "50-54", "55-59", "60-64", "65-69", "70-74", "75-79", "80-84", "85+")</f>
        <v>55-59</v>
      </c>
      <c r="D6159" t="s">
        <v>7</v>
      </c>
    </row>
    <row r="6160" spans="1:4">
      <c r="A6160" t="s">
        <v>6</v>
      </c>
      <c r="B6160">
        <v>39</v>
      </c>
      <c r="C6160" t="str">
        <f>CHOOSE(MATCH(B6160, {20,25,30,35,40,45,50,55,60,65,70,75,80,85}, 1), "20-24", "25-29", "30-34", "35-39", "40-44", "45-49", "50-54", "55-59", "60-64", "65-69", "70-74", "75-79", "80-84", "85+")</f>
        <v>35-39</v>
      </c>
      <c r="D6160" t="s">
        <v>7</v>
      </c>
    </row>
    <row r="6161" spans="1:4">
      <c r="A6161" t="s">
        <v>6</v>
      </c>
      <c r="B6161">
        <v>52</v>
      </c>
      <c r="C6161" t="str">
        <f>CHOOSE(MATCH(B6161, {20,25,30,35,40,45,50,55,60,65,70,75,80,85}, 1), "20-24", "25-29", "30-34", "35-39", "40-44", "45-49", "50-54", "55-59", "60-64", "65-69", "70-74", "75-79", "80-84", "85+")</f>
        <v>50-54</v>
      </c>
      <c r="D6161" t="s">
        <v>7</v>
      </c>
    </row>
    <row r="6162" spans="1:4">
      <c r="A6162" t="s">
        <v>6</v>
      </c>
      <c r="B6162">
        <v>30</v>
      </c>
      <c r="C6162" t="str">
        <f>CHOOSE(MATCH(B6162, {20,25,30,35,40,45,50,55,60,65,70,75,80,85}, 1), "20-24", "25-29", "30-34", "35-39", "40-44", "45-49", "50-54", "55-59", "60-64", "65-69", "70-74", "75-79", "80-84", "85+")</f>
        <v>30-34</v>
      </c>
      <c r="D6162" t="s">
        <v>7</v>
      </c>
    </row>
    <row r="6163" spans="1:4">
      <c r="A6163" t="s">
        <v>6</v>
      </c>
      <c r="B6163">
        <v>29</v>
      </c>
      <c r="C6163" t="str">
        <f>CHOOSE(MATCH(B6163, {20,25,30,35,40,45,50,55,60,65,70,75,80,85}, 1), "20-24", "25-29", "30-34", "35-39", "40-44", "45-49", "50-54", "55-59", "60-64", "65-69", "70-74", "75-79", "80-84", "85+")</f>
        <v>25-29</v>
      </c>
      <c r="D6163" t="s">
        <v>7</v>
      </c>
    </row>
    <row r="6164" spans="1:4">
      <c r="A6164" t="s">
        <v>6</v>
      </c>
      <c r="B6164">
        <v>30</v>
      </c>
      <c r="C6164" t="str">
        <f>CHOOSE(MATCH(B6164, {20,25,30,35,40,45,50,55,60,65,70,75,80,85}, 1), "20-24", "25-29", "30-34", "35-39", "40-44", "45-49", "50-54", "55-59", "60-64", "65-69", "70-74", "75-79", "80-84", "85+")</f>
        <v>30-34</v>
      </c>
      <c r="D6164" t="s">
        <v>8</v>
      </c>
    </row>
    <row r="6165" spans="1:4">
      <c r="A6165" t="s">
        <v>6</v>
      </c>
      <c r="B6165">
        <v>30</v>
      </c>
      <c r="C6165" t="str">
        <f>CHOOSE(MATCH(B6165, {20,25,30,35,40,45,50,55,60,65,70,75,80,85}, 1), "20-24", "25-29", "30-34", "35-39", "40-44", "45-49", "50-54", "55-59", "60-64", "65-69", "70-74", "75-79", "80-84", "85+")</f>
        <v>30-34</v>
      </c>
      <c r="D6165" t="s">
        <v>7</v>
      </c>
    </row>
    <row r="6166" spans="1:4">
      <c r="A6166" t="s">
        <v>6</v>
      </c>
      <c r="B6166">
        <v>28</v>
      </c>
      <c r="C6166" t="str">
        <f>CHOOSE(MATCH(B6166, {20,25,30,35,40,45,50,55,60,65,70,75,80,85}, 1), "20-24", "25-29", "30-34", "35-39", "40-44", "45-49", "50-54", "55-59", "60-64", "65-69", "70-74", "75-79", "80-84", "85+")</f>
        <v>25-29</v>
      </c>
      <c r="D6166" t="s">
        <v>7</v>
      </c>
    </row>
    <row r="6167" spans="1:4">
      <c r="A6167" t="s">
        <v>6</v>
      </c>
      <c r="B6167">
        <v>35</v>
      </c>
      <c r="C6167" t="str">
        <f>CHOOSE(MATCH(B6167, {20,25,30,35,40,45,50,55,60,65,70,75,80,85}, 1), "20-24", "25-29", "30-34", "35-39", "40-44", "45-49", "50-54", "55-59", "60-64", "65-69", "70-74", "75-79", "80-84", "85+")</f>
        <v>35-39</v>
      </c>
      <c r="D6167" t="s">
        <v>7</v>
      </c>
    </row>
    <row r="6168" spans="1:4">
      <c r="A6168" t="s">
        <v>6</v>
      </c>
      <c r="B6168">
        <v>74</v>
      </c>
      <c r="C6168" t="str">
        <f>CHOOSE(MATCH(B6168, {20,25,30,35,40,45,50,55,60,65,70,75,80,85}, 1), "20-24", "25-29", "30-34", "35-39", "40-44", "45-49", "50-54", "55-59", "60-64", "65-69", "70-74", "75-79", "80-84", "85+")</f>
        <v>70-74</v>
      </c>
      <c r="D6168" t="s">
        <v>8</v>
      </c>
    </row>
    <row r="6169" spans="1:4">
      <c r="A6169" t="s">
        <v>6</v>
      </c>
      <c r="B6169">
        <v>29</v>
      </c>
      <c r="C6169" t="str">
        <f>CHOOSE(MATCH(B6169, {20,25,30,35,40,45,50,55,60,65,70,75,80,85}, 1), "20-24", "25-29", "30-34", "35-39", "40-44", "45-49", "50-54", "55-59", "60-64", "65-69", "70-74", "75-79", "80-84", "85+")</f>
        <v>25-29</v>
      </c>
      <c r="D6169" t="s">
        <v>7</v>
      </c>
    </row>
    <row r="6170" spans="1:4">
      <c r="A6170" t="s">
        <v>6</v>
      </c>
      <c r="B6170">
        <v>30</v>
      </c>
      <c r="C6170" t="str">
        <f>CHOOSE(MATCH(B6170, {20,25,30,35,40,45,50,55,60,65,70,75,80,85}, 1), "20-24", "25-29", "30-34", "35-39", "40-44", "45-49", "50-54", "55-59", "60-64", "65-69", "70-74", "75-79", "80-84", "85+")</f>
        <v>30-34</v>
      </c>
      <c r="D6170" t="s">
        <v>8</v>
      </c>
    </row>
    <row r="6171" spans="1:4">
      <c r="A6171" t="s">
        <v>6</v>
      </c>
      <c r="B6171">
        <v>38</v>
      </c>
      <c r="C6171" t="str">
        <f>CHOOSE(MATCH(B6171, {20,25,30,35,40,45,50,55,60,65,70,75,80,85}, 1), "20-24", "25-29", "30-34", "35-39", "40-44", "45-49", "50-54", "55-59", "60-64", "65-69", "70-74", "75-79", "80-84", "85+")</f>
        <v>35-39</v>
      </c>
      <c r="D6171" t="s">
        <v>7</v>
      </c>
    </row>
    <row r="6172" spans="1:4">
      <c r="A6172" t="s">
        <v>6</v>
      </c>
      <c r="B6172">
        <v>81</v>
      </c>
      <c r="C6172" t="str">
        <f>CHOOSE(MATCH(B6172, {20,25,30,35,40,45,50,55,60,65,70,75,80,85}, 1), "20-24", "25-29", "30-34", "35-39", "40-44", "45-49", "50-54", "55-59", "60-64", "65-69", "70-74", "75-79", "80-84", "85+")</f>
        <v>80-84</v>
      </c>
      <c r="D6172" t="s">
        <v>7</v>
      </c>
    </row>
    <row r="6173" spans="1:4">
      <c r="A6173" t="s">
        <v>6</v>
      </c>
      <c r="B6173">
        <v>30</v>
      </c>
      <c r="C6173" t="str">
        <f>CHOOSE(MATCH(B6173, {20,25,30,35,40,45,50,55,60,65,70,75,80,85}, 1), "20-24", "25-29", "30-34", "35-39", "40-44", "45-49", "50-54", "55-59", "60-64", "65-69", "70-74", "75-79", "80-84", "85+")</f>
        <v>30-34</v>
      </c>
      <c r="D6173" t="s">
        <v>7</v>
      </c>
    </row>
    <row r="6174" spans="1:4">
      <c r="A6174" t="s">
        <v>6</v>
      </c>
      <c r="B6174">
        <v>56</v>
      </c>
      <c r="C6174" t="str">
        <f>CHOOSE(MATCH(B6174, {20,25,30,35,40,45,50,55,60,65,70,75,80,85}, 1), "20-24", "25-29", "30-34", "35-39", "40-44", "45-49", "50-54", "55-59", "60-64", "65-69", "70-74", "75-79", "80-84", "85+")</f>
        <v>55-59</v>
      </c>
      <c r="D6174" t="s">
        <v>8</v>
      </c>
    </row>
    <row r="6175" spans="1:4">
      <c r="A6175" t="s">
        <v>6</v>
      </c>
      <c r="B6175">
        <v>29</v>
      </c>
      <c r="C6175" t="str">
        <f>CHOOSE(MATCH(B6175, {20,25,30,35,40,45,50,55,60,65,70,75,80,85}, 1), "20-24", "25-29", "30-34", "35-39", "40-44", "45-49", "50-54", "55-59", "60-64", "65-69", "70-74", "75-79", "80-84", "85+")</f>
        <v>25-29</v>
      </c>
      <c r="D6175" t="s">
        <v>8</v>
      </c>
    </row>
    <row r="6176" spans="1:4">
      <c r="A6176" t="s">
        <v>6</v>
      </c>
      <c r="B6176">
        <v>68</v>
      </c>
      <c r="C6176" t="str">
        <f>CHOOSE(MATCH(B6176, {20,25,30,35,40,45,50,55,60,65,70,75,80,85}, 1), "20-24", "25-29", "30-34", "35-39", "40-44", "45-49", "50-54", "55-59", "60-64", "65-69", "70-74", "75-79", "80-84", "85+")</f>
        <v>65-69</v>
      </c>
      <c r="D6176" t="s">
        <v>7</v>
      </c>
    </row>
    <row r="6177" spans="1:4">
      <c r="A6177" t="s">
        <v>6</v>
      </c>
      <c r="B6177">
        <v>32</v>
      </c>
      <c r="C6177" t="str">
        <f>CHOOSE(MATCH(B6177, {20,25,30,35,40,45,50,55,60,65,70,75,80,85}, 1), "20-24", "25-29", "30-34", "35-39", "40-44", "45-49", "50-54", "55-59", "60-64", "65-69", "70-74", "75-79", "80-84", "85+")</f>
        <v>30-34</v>
      </c>
      <c r="D6177" t="s">
        <v>7</v>
      </c>
    </row>
    <row r="6178" spans="1:4">
      <c r="A6178" t="s">
        <v>6</v>
      </c>
      <c r="B6178">
        <v>36</v>
      </c>
      <c r="C6178" t="str">
        <f>CHOOSE(MATCH(B6178, {20,25,30,35,40,45,50,55,60,65,70,75,80,85}, 1), "20-24", "25-29", "30-34", "35-39", "40-44", "45-49", "50-54", "55-59", "60-64", "65-69", "70-74", "75-79", "80-84", "85+")</f>
        <v>35-39</v>
      </c>
      <c r="D6178" t="s">
        <v>8</v>
      </c>
    </row>
    <row r="6179" spans="1:4">
      <c r="A6179" t="s">
        <v>6</v>
      </c>
      <c r="B6179">
        <v>72</v>
      </c>
      <c r="C6179" t="str">
        <f>CHOOSE(MATCH(B6179, {20,25,30,35,40,45,50,55,60,65,70,75,80,85}, 1), "20-24", "25-29", "30-34", "35-39", "40-44", "45-49", "50-54", "55-59", "60-64", "65-69", "70-74", "75-79", "80-84", "85+")</f>
        <v>70-74</v>
      </c>
      <c r="D6179" t="s">
        <v>7</v>
      </c>
    </row>
    <row r="6180" spans="1:4">
      <c r="A6180" t="s">
        <v>6</v>
      </c>
      <c r="B6180">
        <v>53</v>
      </c>
      <c r="C6180" t="str">
        <f>CHOOSE(MATCH(B6180, {20,25,30,35,40,45,50,55,60,65,70,75,80,85}, 1), "20-24", "25-29", "30-34", "35-39", "40-44", "45-49", "50-54", "55-59", "60-64", "65-69", "70-74", "75-79", "80-84", "85+")</f>
        <v>50-54</v>
      </c>
      <c r="D6180" t="s">
        <v>8</v>
      </c>
    </row>
    <row r="6181" spans="1:4">
      <c r="A6181" t="s">
        <v>6</v>
      </c>
      <c r="B6181">
        <v>26</v>
      </c>
      <c r="C6181" t="str">
        <f>CHOOSE(MATCH(B6181, {20,25,30,35,40,45,50,55,60,65,70,75,80,85}, 1), "20-24", "25-29", "30-34", "35-39", "40-44", "45-49", "50-54", "55-59", "60-64", "65-69", "70-74", "75-79", "80-84", "85+")</f>
        <v>25-29</v>
      </c>
      <c r="D6181" t="s">
        <v>7</v>
      </c>
    </row>
    <row r="6182" spans="1:4">
      <c r="A6182" t="s">
        <v>6</v>
      </c>
      <c r="B6182">
        <v>22</v>
      </c>
      <c r="C6182" t="str">
        <f>CHOOSE(MATCH(B6182, {20,25,30,35,40,45,50,55,60,65,70,75,80,85}, 1), "20-24", "25-29", "30-34", "35-39", "40-44", "45-49", "50-54", "55-59", "60-64", "65-69", "70-74", "75-79", "80-84", "85+")</f>
        <v>20-24</v>
      </c>
      <c r="D6182" t="s">
        <v>8</v>
      </c>
    </row>
    <row r="6183" spans="1:4">
      <c r="A6183" t="s">
        <v>6</v>
      </c>
      <c r="B6183">
        <v>43</v>
      </c>
      <c r="C6183" t="str">
        <f>CHOOSE(MATCH(B6183, {20,25,30,35,40,45,50,55,60,65,70,75,80,85}, 1), "20-24", "25-29", "30-34", "35-39", "40-44", "45-49", "50-54", "55-59", "60-64", "65-69", "70-74", "75-79", "80-84", "85+")</f>
        <v>40-44</v>
      </c>
      <c r="D6183" t="s">
        <v>8</v>
      </c>
    </row>
    <row r="6184" spans="1:4">
      <c r="A6184" t="s">
        <v>6</v>
      </c>
      <c r="B6184">
        <v>33</v>
      </c>
      <c r="C6184" t="str">
        <f>CHOOSE(MATCH(B6184, {20,25,30,35,40,45,50,55,60,65,70,75,80,85}, 1), "20-24", "25-29", "30-34", "35-39", "40-44", "45-49", "50-54", "55-59", "60-64", "65-69", "70-74", "75-79", "80-84", "85+")</f>
        <v>30-34</v>
      </c>
      <c r="D6184" t="s">
        <v>7</v>
      </c>
    </row>
    <row r="6185" spans="1:4">
      <c r="A6185" t="s">
        <v>6</v>
      </c>
      <c r="B6185">
        <v>23</v>
      </c>
      <c r="C6185" t="str">
        <f>CHOOSE(MATCH(B6185, {20,25,30,35,40,45,50,55,60,65,70,75,80,85}, 1), "20-24", "25-29", "30-34", "35-39", "40-44", "45-49", "50-54", "55-59", "60-64", "65-69", "70-74", "75-79", "80-84", "85+")</f>
        <v>20-24</v>
      </c>
      <c r="D6185" t="s">
        <v>7</v>
      </c>
    </row>
    <row r="6186" spans="1:4">
      <c r="A6186" t="s">
        <v>6</v>
      </c>
      <c r="B6186">
        <v>34</v>
      </c>
      <c r="C6186" t="str">
        <f>CHOOSE(MATCH(B6186, {20,25,30,35,40,45,50,55,60,65,70,75,80,85}, 1), "20-24", "25-29", "30-34", "35-39", "40-44", "45-49", "50-54", "55-59", "60-64", "65-69", "70-74", "75-79", "80-84", "85+")</f>
        <v>30-34</v>
      </c>
      <c r="D6186" t="s">
        <v>8</v>
      </c>
    </row>
    <row r="6187" spans="1:4">
      <c r="A6187" t="s">
        <v>6</v>
      </c>
      <c r="B6187">
        <v>26</v>
      </c>
      <c r="C6187" t="str">
        <f>CHOOSE(MATCH(B6187, {20,25,30,35,40,45,50,55,60,65,70,75,80,85}, 1), "20-24", "25-29", "30-34", "35-39", "40-44", "45-49", "50-54", "55-59", "60-64", "65-69", "70-74", "75-79", "80-84", "85+")</f>
        <v>25-29</v>
      </c>
      <c r="D6187" t="s">
        <v>8</v>
      </c>
    </row>
    <row r="6188" spans="1:4">
      <c r="A6188" t="s">
        <v>6</v>
      </c>
      <c r="B6188">
        <v>24</v>
      </c>
      <c r="C6188" t="str">
        <f>CHOOSE(MATCH(B6188, {20,25,30,35,40,45,50,55,60,65,70,75,80,85}, 1), "20-24", "25-29", "30-34", "35-39", "40-44", "45-49", "50-54", "55-59", "60-64", "65-69", "70-74", "75-79", "80-84", "85+")</f>
        <v>20-24</v>
      </c>
      <c r="D6188" t="s">
        <v>7</v>
      </c>
    </row>
    <row r="6189" spans="1:4">
      <c r="A6189" t="s">
        <v>6</v>
      </c>
      <c r="B6189">
        <v>69</v>
      </c>
      <c r="C6189" t="str">
        <f>CHOOSE(MATCH(B6189, {20,25,30,35,40,45,50,55,60,65,70,75,80,85}, 1), "20-24", "25-29", "30-34", "35-39", "40-44", "45-49", "50-54", "55-59", "60-64", "65-69", "70-74", "75-79", "80-84", "85+")</f>
        <v>65-69</v>
      </c>
      <c r="D6189" t="s">
        <v>8</v>
      </c>
    </row>
    <row r="6190" spans="1:4">
      <c r="A6190" t="s">
        <v>6</v>
      </c>
      <c r="B6190">
        <v>35</v>
      </c>
      <c r="C6190" t="str">
        <f>CHOOSE(MATCH(B6190, {20,25,30,35,40,45,50,55,60,65,70,75,80,85}, 1), "20-24", "25-29", "30-34", "35-39", "40-44", "45-49", "50-54", "55-59", "60-64", "65-69", "70-74", "75-79", "80-84", "85+")</f>
        <v>35-39</v>
      </c>
      <c r="D6190" t="s">
        <v>8</v>
      </c>
    </row>
    <row r="6191" spans="1:4">
      <c r="A6191" t="s">
        <v>6</v>
      </c>
      <c r="B6191">
        <v>33</v>
      </c>
      <c r="C6191" t="str">
        <f>CHOOSE(MATCH(B6191, {20,25,30,35,40,45,50,55,60,65,70,75,80,85}, 1), "20-24", "25-29", "30-34", "35-39", "40-44", "45-49", "50-54", "55-59", "60-64", "65-69", "70-74", "75-79", "80-84", "85+")</f>
        <v>30-34</v>
      </c>
      <c r="D6191" t="s">
        <v>8</v>
      </c>
    </row>
    <row r="6192" spans="1:4">
      <c r="A6192" t="s">
        <v>6</v>
      </c>
      <c r="B6192">
        <v>46</v>
      </c>
      <c r="C6192" t="str">
        <f>CHOOSE(MATCH(B6192, {20,25,30,35,40,45,50,55,60,65,70,75,80,85}, 1), "20-24", "25-29", "30-34", "35-39", "40-44", "45-49", "50-54", "55-59", "60-64", "65-69", "70-74", "75-79", "80-84", "85+")</f>
        <v>45-49</v>
      </c>
      <c r="D6192" t="s">
        <v>7</v>
      </c>
    </row>
    <row r="6193" spans="1:4">
      <c r="A6193" t="s">
        <v>6</v>
      </c>
      <c r="B6193">
        <v>27</v>
      </c>
      <c r="C6193" t="str">
        <f>CHOOSE(MATCH(B6193, {20,25,30,35,40,45,50,55,60,65,70,75,80,85}, 1), "20-24", "25-29", "30-34", "35-39", "40-44", "45-49", "50-54", "55-59", "60-64", "65-69", "70-74", "75-79", "80-84", "85+")</f>
        <v>25-29</v>
      </c>
      <c r="D6193" t="s">
        <v>8</v>
      </c>
    </row>
    <row r="6194" spans="1:4">
      <c r="A6194" t="s">
        <v>6</v>
      </c>
      <c r="B6194">
        <v>60</v>
      </c>
      <c r="C6194" t="str">
        <f>CHOOSE(MATCH(B6194, {20,25,30,35,40,45,50,55,60,65,70,75,80,85}, 1), "20-24", "25-29", "30-34", "35-39", "40-44", "45-49", "50-54", "55-59", "60-64", "65-69", "70-74", "75-79", "80-84", "85+")</f>
        <v>60-64</v>
      </c>
      <c r="D6194" t="s">
        <v>7</v>
      </c>
    </row>
    <row r="6195" spans="1:4">
      <c r="A6195" t="s">
        <v>6</v>
      </c>
      <c r="B6195">
        <v>45</v>
      </c>
      <c r="C6195" t="str">
        <f>CHOOSE(MATCH(B6195, {20,25,30,35,40,45,50,55,60,65,70,75,80,85}, 1), "20-24", "25-29", "30-34", "35-39", "40-44", "45-49", "50-54", "55-59", "60-64", "65-69", "70-74", "75-79", "80-84", "85+")</f>
        <v>45-49</v>
      </c>
      <c r="D6195" t="s">
        <v>7</v>
      </c>
    </row>
    <row r="6196" spans="1:4">
      <c r="A6196" t="s">
        <v>6</v>
      </c>
      <c r="B6196">
        <v>37</v>
      </c>
      <c r="C6196" t="str">
        <f>CHOOSE(MATCH(B6196, {20,25,30,35,40,45,50,55,60,65,70,75,80,85}, 1), "20-24", "25-29", "30-34", "35-39", "40-44", "45-49", "50-54", "55-59", "60-64", "65-69", "70-74", "75-79", "80-84", "85+")</f>
        <v>35-39</v>
      </c>
      <c r="D6196" t="s">
        <v>7</v>
      </c>
    </row>
    <row r="6197" spans="1:4">
      <c r="A6197" t="s">
        <v>6</v>
      </c>
      <c r="B6197">
        <v>37</v>
      </c>
      <c r="C6197" t="str">
        <f>CHOOSE(MATCH(B6197, {20,25,30,35,40,45,50,55,60,65,70,75,80,85}, 1), "20-24", "25-29", "30-34", "35-39", "40-44", "45-49", "50-54", "55-59", "60-64", "65-69", "70-74", "75-79", "80-84", "85+")</f>
        <v>35-39</v>
      </c>
      <c r="D6197" t="s">
        <v>7</v>
      </c>
    </row>
    <row r="6198" spans="1:4">
      <c r="A6198" t="s">
        <v>6</v>
      </c>
      <c r="B6198">
        <v>38</v>
      </c>
      <c r="C6198" t="str">
        <f>CHOOSE(MATCH(B6198, {20,25,30,35,40,45,50,55,60,65,70,75,80,85}, 1), "20-24", "25-29", "30-34", "35-39", "40-44", "45-49", "50-54", "55-59", "60-64", "65-69", "70-74", "75-79", "80-84", "85+")</f>
        <v>35-39</v>
      </c>
      <c r="D6198" t="s">
        <v>8</v>
      </c>
    </row>
    <row r="6199" spans="1:4">
      <c r="A6199" t="s">
        <v>6</v>
      </c>
      <c r="B6199">
        <v>68</v>
      </c>
      <c r="C6199" t="str">
        <f>CHOOSE(MATCH(B6199, {20,25,30,35,40,45,50,55,60,65,70,75,80,85}, 1), "20-24", "25-29", "30-34", "35-39", "40-44", "45-49", "50-54", "55-59", "60-64", "65-69", "70-74", "75-79", "80-84", "85+")</f>
        <v>65-69</v>
      </c>
      <c r="D6199" t="s">
        <v>8</v>
      </c>
    </row>
    <row r="6200" spans="1:4">
      <c r="A6200" t="s">
        <v>6</v>
      </c>
      <c r="B6200">
        <v>36</v>
      </c>
      <c r="C6200" t="str">
        <f>CHOOSE(MATCH(B6200, {20,25,30,35,40,45,50,55,60,65,70,75,80,85}, 1), "20-24", "25-29", "30-34", "35-39", "40-44", "45-49", "50-54", "55-59", "60-64", "65-69", "70-74", "75-79", "80-84", "85+")</f>
        <v>35-39</v>
      </c>
      <c r="D6200" t="s">
        <v>7</v>
      </c>
    </row>
    <row r="6201" spans="1:4">
      <c r="A6201" t="s">
        <v>6</v>
      </c>
      <c r="B6201">
        <v>74</v>
      </c>
      <c r="C6201" t="str">
        <f>CHOOSE(MATCH(B6201, {20,25,30,35,40,45,50,55,60,65,70,75,80,85}, 1), "20-24", "25-29", "30-34", "35-39", "40-44", "45-49", "50-54", "55-59", "60-64", "65-69", "70-74", "75-79", "80-84", "85+")</f>
        <v>70-74</v>
      </c>
      <c r="D6201" t="s">
        <v>7</v>
      </c>
    </row>
    <row r="6202" spans="1:4">
      <c r="A6202" t="s">
        <v>6</v>
      </c>
      <c r="B6202">
        <v>27</v>
      </c>
      <c r="C6202" t="str">
        <f>CHOOSE(MATCH(B6202, {20,25,30,35,40,45,50,55,60,65,70,75,80,85}, 1), "20-24", "25-29", "30-34", "35-39", "40-44", "45-49", "50-54", "55-59", "60-64", "65-69", "70-74", "75-79", "80-84", "85+")</f>
        <v>25-29</v>
      </c>
      <c r="D6202" t="s">
        <v>8</v>
      </c>
    </row>
    <row r="6203" spans="1:4">
      <c r="A6203" t="s">
        <v>6</v>
      </c>
      <c r="B6203">
        <v>41</v>
      </c>
      <c r="C6203" t="str">
        <f>CHOOSE(MATCH(B6203, {20,25,30,35,40,45,50,55,60,65,70,75,80,85}, 1), "20-24", "25-29", "30-34", "35-39", "40-44", "45-49", "50-54", "55-59", "60-64", "65-69", "70-74", "75-79", "80-84", "85+")</f>
        <v>40-44</v>
      </c>
      <c r="D6203" t="s">
        <v>7</v>
      </c>
    </row>
    <row r="6204" spans="1:4">
      <c r="A6204" t="s">
        <v>6</v>
      </c>
      <c r="B6204">
        <v>57</v>
      </c>
      <c r="C6204" t="str">
        <f>CHOOSE(MATCH(B6204, {20,25,30,35,40,45,50,55,60,65,70,75,80,85}, 1), "20-24", "25-29", "30-34", "35-39", "40-44", "45-49", "50-54", "55-59", "60-64", "65-69", "70-74", "75-79", "80-84", "85+")</f>
        <v>55-59</v>
      </c>
      <c r="D6204" t="s">
        <v>8</v>
      </c>
    </row>
    <row r="6205" spans="1:4">
      <c r="A6205" t="s">
        <v>6</v>
      </c>
      <c r="B6205">
        <v>67</v>
      </c>
      <c r="C6205" t="str">
        <f>CHOOSE(MATCH(B6205, {20,25,30,35,40,45,50,55,60,65,70,75,80,85}, 1), "20-24", "25-29", "30-34", "35-39", "40-44", "45-49", "50-54", "55-59", "60-64", "65-69", "70-74", "75-79", "80-84", "85+")</f>
        <v>65-69</v>
      </c>
      <c r="D6205" t="s">
        <v>8</v>
      </c>
    </row>
    <row r="6206" spans="1:4">
      <c r="A6206" t="s">
        <v>6</v>
      </c>
      <c r="B6206">
        <v>31</v>
      </c>
      <c r="C6206" t="str">
        <f>CHOOSE(MATCH(B6206, {20,25,30,35,40,45,50,55,60,65,70,75,80,85}, 1), "20-24", "25-29", "30-34", "35-39", "40-44", "45-49", "50-54", "55-59", "60-64", "65-69", "70-74", "75-79", "80-84", "85+")</f>
        <v>30-34</v>
      </c>
      <c r="D6206" t="s">
        <v>8</v>
      </c>
    </row>
    <row r="6207" spans="1:4">
      <c r="A6207" t="s">
        <v>6</v>
      </c>
      <c r="B6207">
        <v>28</v>
      </c>
      <c r="C6207" t="str">
        <f>CHOOSE(MATCH(B6207, {20,25,30,35,40,45,50,55,60,65,70,75,80,85}, 1), "20-24", "25-29", "30-34", "35-39", "40-44", "45-49", "50-54", "55-59", "60-64", "65-69", "70-74", "75-79", "80-84", "85+")</f>
        <v>25-29</v>
      </c>
      <c r="D6207" t="s">
        <v>7</v>
      </c>
    </row>
    <row r="6208" spans="1:4">
      <c r="A6208" t="s">
        <v>6</v>
      </c>
      <c r="B6208">
        <v>39</v>
      </c>
      <c r="C6208" t="str">
        <f>CHOOSE(MATCH(B6208, {20,25,30,35,40,45,50,55,60,65,70,75,80,85}, 1), "20-24", "25-29", "30-34", "35-39", "40-44", "45-49", "50-54", "55-59", "60-64", "65-69", "70-74", "75-79", "80-84", "85+")</f>
        <v>35-39</v>
      </c>
      <c r="D6208" t="s">
        <v>7</v>
      </c>
    </row>
    <row r="6209" spans="1:4">
      <c r="A6209" t="s">
        <v>6</v>
      </c>
      <c r="B6209">
        <v>30</v>
      </c>
      <c r="C6209" t="str">
        <f>CHOOSE(MATCH(B6209, {20,25,30,35,40,45,50,55,60,65,70,75,80,85}, 1), "20-24", "25-29", "30-34", "35-39", "40-44", "45-49", "50-54", "55-59", "60-64", "65-69", "70-74", "75-79", "80-84", "85+")</f>
        <v>30-34</v>
      </c>
      <c r="D6209" t="s">
        <v>7</v>
      </c>
    </row>
    <row r="6210" spans="1:4">
      <c r="A6210" t="s">
        <v>6</v>
      </c>
      <c r="B6210">
        <v>25</v>
      </c>
      <c r="C6210" t="str">
        <f>CHOOSE(MATCH(B6210, {20,25,30,35,40,45,50,55,60,65,70,75,80,85}, 1), "20-24", "25-29", "30-34", "35-39", "40-44", "45-49", "50-54", "55-59", "60-64", "65-69", "70-74", "75-79", "80-84", "85+")</f>
        <v>25-29</v>
      </c>
      <c r="D6210" t="s">
        <v>7</v>
      </c>
    </row>
    <row r="6211" spans="1:4">
      <c r="A6211" t="s">
        <v>6</v>
      </c>
      <c r="B6211">
        <v>27</v>
      </c>
      <c r="C6211" t="str">
        <f>CHOOSE(MATCH(B6211, {20,25,30,35,40,45,50,55,60,65,70,75,80,85}, 1), "20-24", "25-29", "30-34", "35-39", "40-44", "45-49", "50-54", "55-59", "60-64", "65-69", "70-74", "75-79", "80-84", "85+")</f>
        <v>25-29</v>
      </c>
      <c r="D6211" t="s">
        <v>7</v>
      </c>
    </row>
    <row r="6212" spans="1:4">
      <c r="A6212" t="s">
        <v>6</v>
      </c>
      <c r="B6212">
        <v>36</v>
      </c>
      <c r="C6212" t="str">
        <f>CHOOSE(MATCH(B6212, {20,25,30,35,40,45,50,55,60,65,70,75,80,85}, 1), "20-24", "25-29", "30-34", "35-39", "40-44", "45-49", "50-54", "55-59", "60-64", "65-69", "70-74", "75-79", "80-84", "85+")</f>
        <v>35-39</v>
      </c>
      <c r="D6212" t="s">
        <v>8</v>
      </c>
    </row>
    <row r="6213" spans="1:4">
      <c r="A6213" t="s">
        <v>6</v>
      </c>
      <c r="B6213">
        <v>33</v>
      </c>
      <c r="C6213" t="str">
        <f>CHOOSE(MATCH(B6213, {20,25,30,35,40,45,50,55,60,65,70,75,80,85}, 1), "20-24", "25-29", "30-34", "35-39", "40-44", "45-49", "50-54", "55-59", "60-64", "65-69", "70-74", "75-79", "80-84", "85+")</f>
        <v>30-34</v>
      </c>
      <c r="D6213" t="s">
        <v>7</v>
      </c>
    </row>
    <row r="6214" spans="1:4">
      <c r="A6214" t="s">
        <v>6</v>
      </c>
      <c r="B6214">
        <v>24</v>
      </c>
      <c r="C6214" t="str">
        <f>CHOOSE(MATCH(B6214, {20,25,30,35,40,45,50,55,60,65,70,75,80,85}, 1), "20-24", "25-29", "30-34", "35-39", "40-44", "45-49", "50-54", "55-59", "60-64", "65-69", "70-74", "75-79", "80-84", "85+")</f>
        <v>20-24</v>
      </c>
      <c r="D6214" t="s">
        <v>7</v>
      </c>
    </row>
    <row r="6215" spans="1:4">
      <c r="A6215" t="s">
        <v>6</v>
      </c>
      <c r="B6215">
        <v>25</v>
      </c>
      <c r="C6215" t="str">
        <f>CHOOSE(MATCH(B6215, {20,25,30,35,40,45,50,55,60,65,70,75,80,85}, 1), "20-24", "25-29", "30-34", "35-39", "40-44", "45-49", "50-54", "55-59", "60-64", "65-69", "70-74", "75-79", "80-84", "85+")</f>
        <v>25-29</v>
      </c>
      <c r="D6215" t="s">
        <v>8</v>
      </c>
    </row>
    <row r="6216" spans="1:4">
      <c r="A6216" t="s">
        <v>6</v>
      </c>
      <c r="B6216">
        <v>33</v>
      </c>
      <c r="C6216" t="str">
        <f>CHOOSE(MATCH(B6216, {20,25,30,35,40,45,50,55,60,65,70,75,80,85}, 1), "20-24", "25-29", "30-34", "35-39", "40-44", "45-49", "50-54", "55-59", "60-64", "65-69", "70-74", "75-79", "80-84", "85+")</f>
        <v>30-34</v>
      </c>
      <c r="D6216" t="s">
        <v>7</v>
      </c>
    </row>
    <row r="6217" spans="1:4">
      <c r="A6217" t="s">
        <v>6</v>
      </c>
      <c r="B6217">
        <v>78</v>
      </c>
      <c r="C6217" t="str">
        <f>CHOOSE(MATCH(B6217, {20,25,30,35,40,45,50,55,60,65,70,75,80,85}, 1), "20-24", "25-29", "30-34", "35-39", "40-44", "45-49", "50-54", "55-59", "60-64", "65-69", "70-74", "75-79", "80-84", "85+")</f>
        <v>75-79</v>
      </c>
      <c r="D6217" t="s">
        <v>8</v>
      </c>
    </row>
    <row r="6218" spans="1:4">
      <c r="A6218" t="s">
        <v>6</v>
      </c>
      <c r="B6218">
        <v>35</v>
      </c>
      <c r="C6218" t="str">
        <f>CHOOSE(MATCH(B6218, {20,25,30,35,40,45,50,55,60,65,70,75,80,85}, 1), "20-24", "25-29", "30-34", "35-39", "40-44", "45-49", "50-54", "55-59", "60-64", "65-69", "70-74", "75-79", "80-84", "85+")</f>
        <v>35-39</v>
      </c>
      <c r="D6218" t="s">
        <v>7</v>
      </c>
    </row>
    <row r="6219" spans="1:4">
      <c r="A6219" t="s">
        <v>6</v>
      </c>
      <c r="B6219">
        <v>42</v>
      </c>
      <c r="C6219" t="str">
        <f>CHOOSE(MATCH(B6219, {20,25,30,35,40,45,50,55,60,65,70,75,80,85}, 1), "20-24", "25-29", "30-34", "35-39", "40-44", "45-49", "50-54", "55-59", "60-64", "65-69", "70-74", "75-79", "80-84", "85+")</f>
        <v>40-44</v>
      </c>
      <c r="D6219" t="s">
        <v>8</v>
      </c>
    </row>
    <row r="6220" spans="1:4">
      <c r="A6220" t="s">
        <v>6</v>
      </c>
      <c r="B6220">
        <v>31</v>
      </c>
      <c r="C6220" t="str">
        <f>CHOOSE(MATCH(B6220, {20,25,30,35,40,45,50,55,60,65,70,75,80,85}, 1), "20-24", "25-29", "30-34", "35-39", "40-44", "45-49", "50-54", "55-59", "60-64", "65-69", "70-74", "75-79", "80-84", "85+")</f>
        <v>30-34</v>
      </c>
      <c r="D6220" t="s">
        <v>7</v>
      </c>
    </row>
    <row r="6221" spans="1:4">
      <c r="A6221" t="s">
        <v>6</v>
      </c>
      <c r="B6221">
        <v>31</v>
      </c>
      <c r="C6221" t="str">
        <f>CHOOSE(MATCH(B6221, {20,25,30,35,40,45,50,55,60,65,70,75,80,85}, 1), "20-24", "25-29", "30-34", "35-39", "40-44", "45-49", "50-54", "55-59", "60-64", "65-69", "70-74", "75-79", "80-84", "85+")</f>
        <v>30-34</v>
      </c>
      <c r="D6221" t="s">
        <v>8</v>
      </c>
    </row>
    <row r="6222" spans="1:4">
      <c r="A6222" t="s">
        <v>6</v>
      </c>
      <c r="B6222">
        <v>30</v>
      </c>
      <c r="C6222" t="str">
        <f>CHOOSE(MATCH(B6222, {20,25,30,35,40,45,50,55,60,65,70,75,80,85}, 1), "20-24", "25-29", "30-34", "35-39", "40-44", "45-49", "50-54", "55-59", "60-64", "65-69", "70-74", "75-79", "80-84", "85+")</f>
        <v>30-34</v>
      </c>
      <c r="D6222" t="s">
        <v>7</v>
      </c>
    </row>
    <row r="6223" spans="1:4">
      <c r="A6223" t="s">
        <v>6</v>
      </c>
      <c r="B6223">
        <v>30</v>
      </c>
      <c r="C6223" t="str">
        <f>CHOOSE(MATCH(B6223, {20,25,30,35,40,45,50,55,60,65,70,75,80,85}, 1), "20-24", "25-29", "30-34", "35-39", "40-44", "45-49", "50-54", "55-59", "60-64", "65-69", "70-74", "75-79", "80-84", "85+")</f>
        <v>30-34</v>
      </c>
      <c r="D6223" t="s">
        <v>7</v>
      </c>
    </row>
    <row r="6224" spans="1:4">
      <c r="A6224" t="s">
        <v>6</v>
      </c>
      <c r="B6224">
        <v>35</v>
      </c>
      <c r="C6224" t="str">
        <f>CHOOSE(MATCH(B6224, {20,25,30,35,40,45,50,55,60,65,70,75,80,85}, 1), "20-24", "25-29", "30-34", "35-39", "40-44", "45-49", "50-54", "55-59", "60-64", "65-69", "70-74", "75-79", "80-84", "85+")</f>
        <v>35-39</v>
      </c>
      <c r="D6224" t="s">
        <v>8</v>
      </c>
    </row>
    <row r="6225" spans="1:4">
      <c r="A6225" t="s">
        <v>6</v>
      </c>
      <c r="B6225">
        <v>23</v>
      </c>
      <c r="C6225" t="str">
        <f>CHOOSE(MATCH(B6225, {20,25,30,35,40,45,50,55,60,65,70,75,80,85}, 1), "20-24", "25-29", "30-34", "35-39", "40-44", "45-49", "50-54", "55-59", "60-64", "65-69", "70-74", "75-79", "80-84", "85+")</f>
        <v>20-24</v>
      </c>
      <c r="D6225" t="s">
        <v>7</v>
      </c>
    </row>
    <row r="6226" spans="1:4">
      <c r="A6226" t="s">
        <v>6</v>
      </c>
      <c r="B6226">
        <v>35</v>
      </c>
      <c r="C6226" t="str">
        <f>CHOOSE(MATCH(B6226, {20,25,30,35,40,45,50,55,60,65,70,75,80,85}, 1), "20-24", "25-29", "30-34", "35-39", "40-44", "45-49", "50-54", "55-59", "60-64", "65-69", "70-74", "75-79", "80-84", "85+")</f>
        <v>35-39</v>
      </c>
      <c r="D6226" t="s">
        <v>7</v>
      </c>
    </row>
    <row r="6227" spans="1:4">
      <c r="A6227" t="s">
        <v>6</v>
      </c>
      <c r="B6227">
        <v>36</v>
      </c>
      <c r="C6227" t="str">
        <f>CHOOSE(MATCH(B6227, {20,25,30,35,40,45,50,55,60,65,70,75,80,85}, 1), "20-24", "25-29", "30-34", "35-39", "40-44", "45-49", "50-54", "55-59", "60-64", "65-69", "70-74", "75-79", "80-84", "85+")</f>
        <v>35-39</v>
      </c>
      <c r="D6227" t="s">
        <v>7</v>
      </c>
    </row>
    <row r="6228" spans="1:4">
      <c r="A6228" t="s">
        <v>6</v>
      </c>
      <c r="B6228">
        <v>44</v>
      </c>
      <c r="C6228" t="str">
        <f>CHOOSE(MATCH(B6228, {20,25,30,35,40,45,50,55,60,65,70,75,80,85}, 1), "20-24", "25-29", "30-34", "35-39", "40-44", "45-49", "50-54", "55-59", "60-64", "65-69", "70-74", "75-79", "80-84", "85+")</f>
        <v>40-44</v>
      </c>
      <c r="D6228" t="s">
        <v>7</v>
      </c>
    </row>
    <row r="6229" spans="1:4">
      <c r="A6229" t="s">
        <v>6</v>
      </c>
      <c r="B6229">
        <v>34</v>
      </c>
      <c r="C6229" t="str">
        <f>CHOOSE(MATCH(B6229, {20,25,30,35,40,45,50,55,60,65,70,75,80,85}, 1), "20-24", "25-29", "30-34", "35-39", "40-44", "45-49", "50-54", "55-59", "60-64", "65-69", "70-74", "75-79", "80-84", "85+")</f>
        <v>30-34</v>
      </c>
      <c r="D6229" t="s">
        <v>7</v>
      </c>
    </row>
    <row r="6230" spans="1:4">
      <c r="A6230" t="s">
        <v>6</v>
      </c>
      <c r="B6230">
        <v>29</v>
      </c>
      <c r="C6230" t="str">
        <f>CHOOSE(MATCH(B6230, {20,25,30,35,40,45,50,55,60,65,70,75,80,85}, 1), "20-24", "25-29", "30-34", "35-39", "40-44", "45-49", "50-54", "55-59", "60-64", "65-69", "70-74", "75-79", "80-84", "85+")</f>
        <v>25-29</v>
      </c>
      <c r="D6230" t="s">
        <v>7</v>
      </c>
    </row>
    <row r="6231" spans="1:4">
      <c r="A6231" t="s">
        <v>6</v>
      </c>
      <c r="B6231">
        <v>63</v>
      </c>
      <c r="C6231" t="str">
        <f>CHOOSE(MATCH(B6231, {20,25,30,35,40,45,50,55,60,65,70,75,80,85}, 1), "20-24", "25-29", "30-34", "35-39", "40-44", "45-49", "50-54", "55-59", "60-64", "65-69", "70-74", "75-79", "80-84", "85+")</f>
        <v>60-64</v>
      </c>
      <c r="D6231" t="s">
        <v>7</v>
      </c>
    </row>
    <row r="6232" spans="1:4">
      <c r="A6232" t="s">
        <v>6</v>
      </c>
      <c r="B6232">
        <v>76</v>
      </c>
      <c r="C6232" t="str">
        <f>CHOOSE(MATCH(B6232, {20,25,30,35,40,45,50,55,60,65,70,75,80,85}, 1), "20-24", "25-29", "30-34", "35-39", "40-44", "45-49", "50-54", "55-59", "60-64", "65-69", "70-74", "75-79", "80-84", "85+")</f>
        <v>75-79</v>
      </c>
      <c r="D6232" t="s">
        <v>8</v>
      </c>
    </row>
    <row r="6233" spans="1:4">
      <c r="A6233" t="s">
        <v>6</v>
      </c>
      <c r="B6233">
        <v>43</v>
      </c>
      <c r="C6233" t="str">
        <f>CHOOSE(MATCH(B6233, {20,25,30,35,40,45,50,55,60,65,70,75,80,85}, 1), "20-24", "25-29", "30-34", "35-39", "40-44", "45-49", "50-54", "55-59", "60-64", "65-69", "70-74", "75-79", "80-84", "85+")</f>
        <v>40-44</v>
      </c>
      <c r="D6233" t="s">
        <v>8</v>
      </c>
    </row>
    <row r="6234" spans="1:4">
      <c r="A6234" t="s">
        <v>6</v>
      </c>
      <c r="B6234">
        <v>62</v>
      </c>
      <c r="C6234" t="str">
        <f>CHOOSE(MATCH(B6234, {20,25,30,35,40,45,50,55,60,65,70,75,80,85}, 1), "20-24", "25-29", "30-34", "35-39", "40-44", "45-49", "50-54", "55-59", "60-64", "65-69", "70-74", "75-79", "80-84", "85+")</f>
        <v>60-64</v>
      </c>
      <c r="D6234" t="s">
        <v>8</v>
      </c>
    </row>
    <row r="6235" spans="1:4">
      <c r="A6235" t="s">
        <v>6</v>
      </c>
      <c r="B6235">
        <v>63</v>
      </c>
      <c r="C6235" t="str">
        <f>CHOOSE(MATCH(B6235, {20,25,30,35,40,45,50,55,60,65,70,75,80,85}, 1), "20-24", "25-29", "30-34", "35-39", "40-44", "45-49", "50-54", "55-59", "60-64", "65-69", "70-74", "75-79", "80-84", "85+")</f>
        <v>60-64</v>
      </c>
      <c r="D6235" t="s">
        <v>7</v>
      </c>
    </row>
    <row r="6236" spans="1:4">
      <c r="A6236" t="s">
        <v>6</v>
      </c>
      <c r="B6236">
        <v>39</v>
      </c>
      <c r="C6236" t="str">
        <f>CHOOSE(MATCH(B6236, {20,25,30,35,40,45,50,55,60,65,70,75,80,85}, 1), "20-24", "25-29", "30-34", "35-39", "40-44", "45-49", "50-54", "55-59", "60-64", "65-69", "70-74", "75-79", "80-84", "85+")</f>
        <v>35-39</v>
      </c>
      <c r="D6236" t="s">
        <v>8</v>
      </c>
    </row>
    <row r="6237" spans="1:4">
      <c r="A6237" t="s">
        <v>6</v>
      </c>
      <c r="B6237">
        <v>56</v>
      </c>
      <c r="C6237" t="str">
        <f>CHOOSE(MATCH(B6237, {20,25,30,35,40,45,50,55,60,65,70,75,80,85}, 1), "20-24", "25-29", "30-34", "35-39", "40-44", "45-49", "50-54", "55-59", "60-64", "65-69", "70-74", "75-79", "80-84", "85+")</f>
        <v>55-59</v>
      </c>
      <c r="D6237" t="s">
        <v>8</v>
      </c>
    </row>
    <row r="6238" spans="1:4">
      <c r="A6238" t="s">
        <v>6</v>
      </c>
      <c r="B6238">
        <v>38</v>
      </c>
      <c r="C6238" t="str">
        <f>CHOOSE(MATCH(B6238, {20,25,30,35,40,45,50,55,60,65,70,75,80,85}, 1), "20-24", "25-29", "30-34", "35-39", "40-44", "45-49", "50-54", "55-59", "60-64", "65-69", "70-74", "75-79", "80-84", "85+")</f>
        <v>35-39</v>
      </c>
      <c r="D6238" t="s">
        <v>8</v>
      </c>
    </row>
    <row r="6239" spans="1:4">
      <c r="A6239" t="s">
        <v>6</v>
      </c>
      <c r="B6239">
        <v>23</v>
      </c>
      <c r="C6239" t="str">
        <f>CHOOSE(MATCH(B6239, {20,25,30,35,40,45,50,55,60,65,70,75,80,85}, 1), "20-24", "25-29", "30-34", "35-39", "40-44", "45-49", "50-54", "55-59", "60-64", "65-69", "70-74", "75-79", "80-84", "85+")</f>
        <v>20-24</v>
      </c>
      <c r="D6239" t="s">
        <v>7</v>
      </c>
    </row>
    <row r="6240" spans="1:4">
      <c r="A6240" t="s">
        <v>6</v>
      </c>
      <c r="B6240">
        <v>33</v>
      </c>
      <c r="C6240" t="str">
        <f>CHOOSE(MATCH(B6240, {20,25,30,35,40,45,50,55,60,65,70,75,80,85}, 1), "20-24", "25-29", "30-34", "35-39", "40-44", "45-49", "50-54", "55-59", "60-64", "65-69", "70-74", "75-79", "80-84", "85+")</f>
        <v>30-34</v>
      </c>
      <c r="D6240" t="s">
        <v>8</v>
      </c>
    </row>
    <row r="6241" spans="1:4">
      <c r="A6241" t="s">
        <v>6</v>
      </c>
      <c r="B6241">
        <v>67</v>
      </c>
      <c r="C6241" t="str">
        <f>CHOOSE(MATCH(B6241, {20,25,30,35,40,45,50,55,60,65,70,75,80,85}, 1), "20-24", "25-29", "30-34", "35-39", "40-44", "45-49", "50-54", "55-59", "60-64", "65-69", "70-74", "75-79", "80-84", "85+")</f>
        <v>65-69</v>
      </c>
      <c r="D6241" t="s">
        <v>7</v>
      </c>
    </row>
    <row r="6242" spans="1:4">
      <c r="A6242" t="s">
        <v>6</v>
      </c>
      <c r="B6242">
        <v>43</v>
      </c>
      <c r="C6242" t="str">
        <f>CHOOSE(MATCH(B6242, {20,25,30,35,40,45,50,55,60,65,70,75,80,85}, 1), "20-24", "25-29", "30-34", "35-39", "40-44", "45-49", "50-54", "55-59", "60-64", "65-69", "70-74", "75-79", "80-84", "85+")</f>
        <v>40-44</v>
      </c>
      <c r="D6242" t="s">
        <v>8</v>
      </c>
    </row>
    <row r="6243" spans="1:4">
      <c r="A6243" t="s">
        <v>6</v>
      </c>
      <c r="B6243">
        <v>43</v>
      </c>
      <c r="C6243" t="str">
        <f>CHOOSE(MATCH(B6243, {20,25,30,35,40,45,50,55,60,65,70,75,80,85}, 1), "20-24", "25-29", "30-34", "35-39", "40-44", "45-49", "50-54", "55-59", "60-64", "65-69", "70-74", "75-79", "80-84", "85+")</f>
        <v>40-44</v>
      </c>
      <c r="D6243" t="s">
        <v>8</v>
      </c>
    </row>
    <row r="6244" spans="1:4">
      <c r="A6244" t="s">
        <v>6</v>
      </c>
      <c r="B6244">
        <v>25</v>
      </c>
      <c r="C6244" t="str">
        <f>CHOOSE(MATCH(B6244, {20,25,30,35,40,45,50,55,60,65,70,75,80,85}, 1), "20-24", "25-29", "30-34", "35-39", "40-44", "45-49", "50-54", "55-59", "60-64", "65-69", "70-74", "75-79", "80-84", "85+")</f>
        <v>25-29</v>
      </c>
      <c r="D6244" t="s">
        <v>7</v>
      </c>
    </row>
    <row r="6245" spans="1:4">
      <c r="A6245" t="s">
        <v>6</v>
      </c>
      <c r="B6245">
        <v>22</v>
      </c>
      <c r="C6245" t="str">
        <f>CHOOSE(MATCH(B6245, {20,25,30,35,40,45,50,55,60,65,70,75,80,85}, 1), "20-24", "25-29", "30-34", "35-39", "40-44", "45-49", "50-54", "55-59", "60-64", "65-69", "70-74", "75-79", "80-84", "85+")</f>
        <v>20-24</v>
      </c>
      <c r="D6245" t="s">
        <v>7</v>
      </c>
    </row>
    <row r="6246" spans="1:4">
      <c r="A6246" t="s">
        <v>6</v>
      </c>
      <c r="B6246">
        <v>27</v>
      </c>
      <c r="C6246" t="str">
        <f>CHOOSE(MATCH(B6246, {20,25,30,35,40,45,50,55,60,65,70,75,80,85}, 1), "20-24", "25-29", "30-34", "35-39", "40-44", "45-49", "50-54", "55-59", "60-64", "65-69", "70-74", "75-79", "80-84", "85+")</f>
        <v>25-29</v>
      </c>
      <c r="D6246" t="s">
        <v>7</v>
      </c>
    </row>
    <row r="6247" spans="1:4">
      <c r="A6247" t="s">
        <v>6</v>
      </c>
      <c r="B6247">
        <v>22</v>
      </c>
      <c r="C6247" t="str">
        <f>CHOOSE(MATCH(B6247, {20,25,30,35,40,45,50,55,60,65,70,75,80,85}, 1), "20-24", "25-29", "30-34", "35-39", "40-44", "45-49", "50-54", "55-59", "60-64", "65-69", "70-74", "75-79", "80-84", "85+")</f>
        <v>20-24</v>
      </c>
      <c r="D6247" t="s">
        <v>7</v>
      </c>
    </row>
    <row r="6248" spans="1:4">
      <c r="A6248" t="s">
        <v>6</v>
      </c>
      <c r="B6248">
        <v>26</v>
      </c>
      <c r="C6248" t="str">
        <f>CHOOSE(MATCH(B6248, {20,25,30,35,40,45,50,55,60,65,70,75,80,85}, 1), "20-24", "25-29", "30-34", "35-39", "40-44", "45-49", "50-54", "55-59", "60-64", "65-69", "70-74", "75-79", "80-84", "85+")</f>
        <v>25-29</v>
      </c>
      <c r="D6248" t="s">
        <v>8</v>
      </c>
    </row>
    <row r="6249" spans="1:4">
      <c r="A6249" t="s">
        <v>6</v>
      </c>
      <c r="B6249">
        <v>36</v>
      </c>
      <c r="C6249" t="str">
        <f>CHOOSE(MATCH(B6249, {20,25,30,35,40,45,50,55,60,65,70,75,80,85}, 1), "20-24", "25-29", "30-34", "35-39", "40-44", "45-49", "50-54", "55-59", "60-64", "65-69", "70-74", "75-79", "80-84", "85+")</f>
        <v>35-39</v>
      </c>
      <c r="D6249" t="s">
        <v>7</v>
      </c>
    </row>
    <row r="6250" spans="1:4">
      <c r="A6250" t="s">
        <v>6</v>
      </c>
      <c r="B6250">
        <v>30</v>
      </c>
      <c r="C6250" t="str">
        <f>CHOOSE(MATCH(B6250, {20,25,30,35,40,45,50,55,60,65,70,75,80,85}, 1), "20-24", "25-29", "30-34", "35-39", "40-44", "45-49", "50-54", "55-59", "60-64", "65-69", "70-74", "75-79", "80-84", "85+")</f>
        <v>30-34</v>
      </c>
      <c r="D6250" t="s">
        <v>7</v>
      </c>
    </row>
    <row r="6251" spans="1:4">
      <c r="A6251" t="s">
        <v>6</v>
      </c>
      <c r="B6251">
        <v>28</v>
      </c>
      <c r="C6251" t="str">
        <f>CHOOSE(MATCH(B6251, {20,25,30,35,40,45,50,55,60,65,70,75,80,85}, 1), "20-24", "25-29", "30-34", "35-39", "40-44", "45-49", "50-54", "55-59", "60-64", "65-69", "70-74", "75-79", "80-84", "85+")</f>
        <v>25-29</v>
      </c>
      <c r="D6251" t="s">
        <v>8</v>
      </c>
    </row>
    <row r="6252" spans="1:4">
      <c r="A6252" t="s">
        <v>6</v>
      </c>
      <c r="B6252">
        <v>26</v>
      </c>
      <c r="C6252" t="str">
        <f>CHOOSE(MATCH(B6252, {20,25,30,35,40,45,50,55,60,65,70,75,80,85}, 1), "20-24", "25-29", "30-34", "35-39", "40-44", "45-49", "50-54", "55-59", "60-64", "65-69", "70-74", "75-79", "80-84", "85+")</f>
        <v>25-29</v>
      </c>
      <c r="D6252" t="s">
        <v>7</v>
      </c>
    </row>
    <row r="6253" spans="1:4">
      <c r="A6253" t="s">
        <v>6</v>
      </c>
      <c r="B6253">
        <v>34</v>
      </c>
      <c r="C6253" t="str">
        <f>CHOOSE(MATCH(B6253, {20,25,30,35,40,45,50,55,60,65,70,75,80,85}, 1), "20-24", "25-29", "30-34", "35-39", "40-44", "45-49", "50-54", "55-59", "60-64", "65-69", "70-74", "75-79", "80-84", "85+")</f>
        <v>30-34</v>
      </c>
      <c r="D6253" t="s">
        <v>7</v>
      </c>
    </row>
    <row r="6254" spans="1:4">
      <c r="A6254" t="s">
        <v>6</v>
      </c>
      <c r="B6254">
        <v>33</v>
      </c>
      <c r="C6254" t="str">
        <f>CHOOSE(MATCH(B6254, {20,25,30,35,40,45,50,55,60,65,70,75,80,85}, 1), "20-24", "25-29", "30-34", "35-39", "40-44", "45-49", "50-54", "55-59", "60-64", "65-69", "70-74", "75-79", "80-84", "85+")</f>
        <v>30-34</v>
      </c>
      <c r="D6254" t="s">
        <v>7</v>
      </c>
    </row>
    <row r="6255" spans="1:4">
      <c r="A6255" t="s">
        <v>6</v>
      </c>
      <c r="B6255">
        <v>35</v>
      </c>
      <c r="C6255" t="str">
        <f>CHOOSE(MATCH(B6255, {20,25,30,35,40,45,50,55,60,65,70,75,80,85}, 1), "20-24", "25-29", "30-34", "35-39", "40-44", "45-49", "50-54", "55-59", "60-64", "65-69", "70-74", "75-79", "80-84", "85+")</f>
        <v>35-39</v>
      </c>
      <c r="D6255" t="s">
        <v>7</v>
      </c>
    </row>
    <row r="6256" spans="1:4">
      <c r="A6256" t="s">
        <v>6</v>
      </c>
      <c r="B6256">
        <v>44</v>
      </c>
      <c r="C6256" t="str">
        <f>CHOOSE(MATCH(B6256, {20,25,30,35,40,45,50,55,60,65,70,75,80,85}, 1), "20-24", "25-29", "30-34", "35-39", "40-44", "45-49", "50-54", "55-59", "60-64", "65-69", "70-74", "75-79", "80-84", "85+")</f>
        <v>40-44</v>
      </c>
      <c r="D6256" t="s">
        <v>8</v>
      </c>
    </row>
    <row r="6257" spans="1:4">
      <c r="A6257" t="s">
        <v>6</v>
      </c>
      <c r="B6257">
        <v>34</v>
      </c>
      <c r="C6257" t="str">
        <f>CHOOSE(MATCH(B6257, {20,25,30,35,40,45,50,55,60,65,70,75,80,85}, 1), "20-24", "25-29", "30-34", "35-39", "40-44", "45-49", "50-54", "55-59", "60-64", "65-69", "70-74", "75-79", "80-84", "85+")</f>
        <v>30-34</v>
      </c>
      <c r="D6257" t="s">
        <v>7</v>
      </c>
    </row>
    <row r="6258" spans="1:4">
      <c r="A6258" t="s">
        <v>6</v>
      </c>
      <c r="B6258">
        <v>32</v>
      </c>
      <c r="C6258" t="str">
        <f>CHOOSE(MATCH(B6258, {20,25,30,35,40,45,50,55,60,65,70,75,80,85}, 1), "20-24", "25-29", "30-34", "35-39", "40-44", "45-49", "50-54", "55-59", "60-64", "65-69", "70-74", "75-79", "80-84", "85+")</f>
        <v>30-34</v>
      </c>
      <c r="D6258" t="s">
        <v>7</v>
      </c>
    </row>
    <row r="6259" spans="1:4">
      <c r="A6259" t="s">
        <v>6</v>
      </c>
      <c r="B6259">
        <v>25</v>
      </c>
      <c r="C6259" t="str">
        <f>CHOOSE(MATCH(B6259, {20,25,30,35,40,45,50,55,60,65,70,75,80,85}, 1), "20-24", "25-29", "30-34", "35-39", "40-44", "45-49", "50-54", "55-59", "60-64", "65-69", "70-74", "75-79", "80-84", "85+")</f>
        <v>25-29</v>
      </c>
      <c r="D6259" t="s">
        <v>7</v>
      </c>
    </row>
    <row r="6260" spans="1:4">
      <c r="A6260" t="s">
        <v>6</v>
      </c>
      <c r="B6260">
        <v>52</v>
      </c>
      <c r="C6260" t="str">
        <f>CHOOSE(MATCH(B6260, {20,25,30,35,40,45,50,55,60,65,70,75,80,85}, 1), "20-24", "25-29", "30-34", "35-39", "40-44", "45-49", "50-54", "55-59", "60-64", "65-69", "70-74", "75-79", "80-84", "85+")</f>
        <v>50-54</v>
      </c>
      <c r="D6260" t="s">
        <v>8</v>
      </c>
    </row>
    <row r="6261" spans="1:4">
      <c r="A6261" t="s">
        <v>6</v>
      </c>
      <c r="B6261">
        <v>54</v>
      </c>
      <c r="C6261" t="str">
        <f>CHOOSE(MATCH(B6261, {20,25,30,35,40,45,50,55,60,65,70,75,80,85}, 1), "20-24", "25-29", "30-34", "35-39", "40-44", "45-49", "50-54", "55-59", "60-64", "65-69", "70-74", "75-79", "80-84", "85+")</f>
        <v>50-54</v>
      </c>
      <c r="D6261" t="s">
        <v>7</v>
      </c>
    </row>
    <row r="6262" spans="1:4">
      <c r="A6262" t="s">
        <v>6</v>
      </c>
      <c r="B6262">
        <v>42</v>
      </c>
      <c r="C6262" t="str">
        <f>CHOOSE(MATCH(B6262, {20,25,30,35,40,45,50,55,60,65,70,75,80,85}, 1), "20-24", "25-29", "30-34", "35-39", "40-44", "45-49", "50-54", "55-59", "60-64", "65-69", "70-74", "75-79", "80-84", "85+")</f>
        <v>40-44</v>
      </c>
      <c r="D6262" t="s">
        <v>7</v>
      </c>
    </row>
    <row r="6263" spans="1:4">
      <c r="A6263" t="s">
        <v>6</v>
      </c>
      <c r="B6263">
        <v>36</v>
      </c>
      <c r="C6263" t="str">
        <f>CHOOSE(MATCH(B6263, {20,25,30,35,40,45,50,55,60,65,70,75,80,85}, 1), "20-24", "25-29", "30-34", "35-39", "40-44", "45-49", "50-54", "55-59", "60-64", "65-69", "70-74", "75-79", "80-84", "85+")</f>
        <v>35-39</v>
      </c>
      <c r="D6263" t="s">
        <v>7</v>
      </c>
    </row>
    <row r="6264" spans="1:4">
      <c r="A6264" t="s">
        <v>6</v>
      </c>
      <c r="B6264">
        <v>57</v>
      </c>
      <c r="C6264" t="str">
        <f>CHOOSE(MATCH(B6264, {20,25,30,35,40,45,50,55,60,65,70,75,80,85}, 1), "20-24", "25-29", "30-34", "35-39", "40-44", "45-49", "50-54", "55-59", "60-64", "65-69", "70-74", "75-79", "80-84", "85+")</f>
        <v>55-59</v>
      </c>
      <c r="D6264" t="s">
        <v>8</v>
      </c>
    </row>
    <row r="6265" spans="1:4">
      <c r="A6265" t="s">
        <v>6</v>
      </c>
      <c r="B6265">
        <v>34</v>
      </c>
      <c r="C6265" t="str">
        <f>CHOOSE(MATCH(B6265, {20,25,30,35,40,45,50,55,60,65,70,75,80,85}, 1), "20-24", "25-29", "30-34", "35-39", "40-44", "45-49", "50-54", "55-59", "60-64", "65-69", "70-74", "75-79", "80-84", "85+")</f>
        <v>30-34</v>
      </c>
      <c r="D6265" t="s">
        <v>7</v>
      </c>
    </row>
    <row r="6266" spans="1:4">
      <c r="A6266" t="s">
        <v>6</v>
      </c>
      <c r="B6266">
        <v>37</v>
      </c>
      <c r="C6266" t="str">
        <f>CHOOSE(MATCH(B6266, {20,25,30,35,40,45,50,55,60,65,70,75,80,85}, 1), "20-24", "25-29", "30-34", "35-39", "40-44", "45-49", "50-54", "55-59", "60-64", "65-69", "70-74", "75-79", "80-84", "85+")</f>
        <v>35-39</v>
      </c>
      <c r="D6266" t="s">
        <v>7</v>
      </c>
    </row>
    <row r="6267" spans="1:4">
      <c r="A6267" t="s">
        <v>6</v>
      </c>
      <c r="B6267">
        <v>35</v>
      </c>
      <c r="C6267" t="str">
        <f>CHOOSE(MATCH(B6267, {20,25,30,35,40,45,50,55,60,65,70,75,80,85}, 1), "20-24", "25-29", "30-34", "35-39", "40-44", "45-49", "50-54", "55-59", "60-64", "65-69", "70-74", "75-79", "80-84", "85+")</f>
        <v>35-39</v>
      </c>
      <c r="D6267" t="s">
        <v>8</v>
      </c>
    </row>
    <row r="6268" spans="1:4">
      <c r="A6268" t="s">
        <v>6</v>
      </c>
      <c r="B6268">
        <v>30</v>
      </c>
      <c r="C6268" t="str">
        <f>CHOOSE(MATCH(B6268, {20,25,30,35,40,45,50,55,60,65,70,75,80,85}, 1), "20-24", "25-29", "30-34", "35-39", "40-44", "45-49", "50-54", "55-59", "60-64", "65-69", "70-74", "75-79", "80-84", "85+")</f>
        <v>30-34</v>
      </c>
      <c r="D6268" t="s">
        <v>7</v>
      </c>
    </row>
    <row r="6269" spans="1:4">
      <c r="A6269" t="s">
        <v>6</v>
      </c>
      <c r="B6269">
        <v>64</v>
      </c>
      <c r="C6269" t="str">
        <f>CHOOSE(MATCH(B6269, {20,25,30,35,40,45,50,55,60,65,70,75,80,85}, 1), "20-24", "25-29", "30-34", "35-39", "40-44", "45-49", "50-54", "55-59", "60-64", "65-69", "70-74", "75-79", "80-84", "85+")</f>
        <v>60-64</v>
      </c>
      <c r="D6269" t="s">
        <v>7</v>
      </c>
    </row>
    <row r="6270" spans="1:4">
      <c r="A6270" t="s">
        <v>6</v>
      </c>
      <c r="B6270">
        <v>29</v>
      </c>
      <c r="C6270" t="str">
        <f>CHOOSE(MATCH(B6270, {20,25,30,35,40,45,50,55,60,65,70,75,80,85}, 1), "20-24", "25-29", "30-34", "35-39", "40-44", "45-49", "50-54", "55-59", "60-64", "65-69", "70-74", "75-79", "80-84", "85+")</f>
        <v>25-29</v>
      </c>
      <c r="D6270" t="s">
        <v>8</v>
      </c>
    </row>
    <row r="6271" spans="1:4">
      <c r="A6271" t="s">
        <v>6</v>
      </c>
      <c r="B6271">
        <v>35</v>
      </c>
      <c r="C6271" t="str">
        <f>CHOOSE(MATCH(B6271, {20,25,30,35,40,45,50,55,60,65,70,75,80,85}, 1), "20-24", "25-29", "30-34", "35-39", "40-44", "45-49", "50-54", "55-59", "60-64", "65-69", "70-74", "75-79", "80-84", "85+")</f>
        <v>35-39</v>
      </c>
      <c r="D6271" t="s">
        <v>8</v>
      </c>
    </row>
    <row r="6272" spans="1:4">
      <c r="A6272" t="s">
        <v>6</v>
      </c>
      <c r="B6272">
        <v>33</v>
      </c>
      <c r="C6272" t="str">
        <f>CHOOSE(MATCH(B6272, {20,25,30,35,40,45,50,55,60,65,70,75,80,85}, 1), "20-24", "25-29", "30-34", "35-39", "40-44", "45-49", "50-54", "55-59", "60-64", "65-69", "70-74", "75-79", "80-84", "85+")</f>
        <v>30-34</v>
      </c>
      <c r="D6272" t="s">
        <v>8</v>
      </c>
    </row>
    <row r="6273" spans="1:4">
      <c r="A6273" t="s">
        <v>6</v>
      </c>
      <c r="B6273">
        <v>34</v>
      </c>
      <c r="C6273" t="str">
        <f>CHOOSE(MATCH(B6273, {20,25,30,35,40,45,50,55,60,65,70,75,80,85}, 1), "20-24", "25-29", "30-34", "35-39", "40-44", "45-49", "50-54", "55-59", "60-64", "65-69", "70-74", "75-79", "80-84", "85+")</f>
        <v>30-34</v>
      </c>
      <c r="D6273" t="s">
        <v>7</v>
      </c>
    </row>
    <row r="6274" spans="1:4">
      <c r="A6274" t="s">
        <v>6</v>
      </c>
      <c r="B6274">
        <v>25</v>
      </c>
      <c r="C6274" t="str">
        <f>CHOOSE(MATCH(B6274, {20,25,30,35,40,45,50,55,60,65,70,75,80,85}, 1), "20-24", "25-29", "30-34", "35-39", "40-44", "45-49", "50-54", "55-59", "60-64", "65-69", "70-74", "75-79", "80-84", "85+")</f>
        <v>25-29</v>
      </c>
      <c r="D6274" t="s">
        <v>7</v>
      </c>
    </row>
    <row r="6275" spans="1:4">
      <c r="A6275" t="s">
        <v>6</v>
      </c>
      <c r="B6275">
        <v>47</v>
      </c>
      <c r="C6275" t="str">
        <f>CHOOSE(MATCH(B6275, {20,25,30,35,40,45,50,55,60,65,70,75,80,85}, 1), "20-24", "25-29", "30-34", "35-39", "40-44", "45-49", "50-54", "55-59", "60-64", "65-69", "70-74", "75-79", "80-84", "85+")</f>
        <v>45-49</v>
      </c>
      <c r="D6275" t="s">
        <v>7</v>
      </c>
    </row>
    <row r="6276" spans="1:4">
      <c r="A6276" t="s">
        <v>6</v>
      </c>
      <c r="B6276">
        <v>49</v>
      </c>
      <c r="C6276" t="str">
        <f>CHOOSE(MATCH(B6276, {20,25,30,35,40,45,50,55,60,65,70,75,80,85}, 1), "20-24", "25-29", "30-34", "35-39", "40-44", "45-49", "50-54", "55-59", "60-64", "65-69", "70-74", "75-79", "80-84", "85+")</f>
        <v>45-49</v>
      </c>
      <c r="D6276" t="s">
        <v>8</v>
      </c>
    </row>
    <row r="6277" spans="1:4">
      <c r="A6277" t="s">
        <v>6</v>
      </c>
      <c r="B6277">
        <v>34</v>
      </c>
      <c r="C6277" t="str">
        <f>CHOOSE(MATCH(B6277, {20,25,30,35,40,45,50,55,60,65,70,75,80,85}, 1), "20-24", "25-29", "30-34", "35-39", "40-44", "45-49", "50-54", "55-59", "60-64", "65-69", "70-74", "75-79", "80-84", "85+")</f>
        <v>30-34</v>
      </c>
      <c r="D6277" t="s">
        <v>8</v>
      </c>
    </row>
    <row r="6278" spans="1:4">
      <c r="A6278" t="s">
        <v>6</v>
      </c>
      <c r="B6278">
        <v>34</v>
      </c>
      <c r="C6278" t="str">
        <f>CHOOSE(MATCH(B6278, {20,25,30,35,40,45,50,55,60,65,70,75,80,85}, 1), "20-24", "25-29", "30-34", "35-39", "40-44", "45-49", "50-54", "55-59", "60-64", "65-69", "70-74", "75-79", "80-84", "85+")</f>
        <v>30-34</v>
      </c>
      <c r="D6278" t="s">
        <v>7</v>
      </c>
    </row>
    <row r="6279" spans="1:4">
      <c r="A6279" t="s">
        <v>6</v>
      </c>
      <c r="B6279">
        <v>32</v>
      </c>
      <c r="C6279" t="str">
        <f>CHOOSE(MATCH(B6279, {20,25,30,35,40,45,50,55,60,65,70,75,80,85}, 1), "20-24", "25-29", "30-34", "35-39", "40-44", "45-49", "50-54", "55-59", "60-64", "65-69", "70-74", "75-79", "80-84", "85+")</f>
        <v>30-34</v>
      </c>
      <c r="D6279" t="s">
        <v>7</v>
      </c>
    </row>
    <row r="6280" spans="1:4">
      <c r="A6280" t="s">
        <v>6</v>
      </c>
      <c r="B6280">
        <v>52</v>
      </c>
      <c r="C6280" t="str">
        <f>CHOOSE(MATCH(B6280, {20,25,30,35,40,45,50,55,60,65,70,75,80,85}, 1), "20-24", "25-29", "30-34", "35-39", "40-44", "45-49", "50-54", "55-59", "60-64", "65-69", "70-74", "75-79", "80-84", "85+")</f>
        <v>50-54</v>
      </c>
      <c r="D6280" t="s">
        <v>7</v>
      </c>
    </row>
    <row r="6281" spans="1:4">
      <c r="A6281" t="s">
        <v>6</v>
      </c>
      <c r="B6281">
        <v>24</v>
      </c>
      <c r="C6281" t="str">
        <f>CHOOSE(MATCH(B6281, {20,25,30,35,40,45,50,55,60,65,70,75,80,85}, 1), "20-24", "25-29", "30-34", "35-39", "40-44", "45-49", "50-54", "55-59", "60-64", "65-69", "70-74", "75-79", "80-84", "85+")</f>
        <v>20-24</v>
      </c>
      <c r="D6281" t="s">
        <v>7</v>
      </c>
    </row>
    <row r="6282" spans="1:4">
      <c r="A6282" t="s">
        <v>6</v>
      </c>
      <c r="B6282">
        <v>25</v>
      </c>
      <c r="C6282" t="str">
        <f>CHOOSE(MATCH(B6282, {20,25,30,35,40,45,50,55,60,65,70,75,80,85}, 1), "20-24", "25-29", "30-34", "35-39", "40-44", "45-49", "50-54", "55-59", "60-64", "65-69", "70-74", "75-79", "80-84", "85+")</f>
        <v>25-29</v>
      </c>
      <c r="D6282" t="s">
        <v>7</v>
      </c>
    </row>
    <row r="6283" spans="1:4">
      <c r="A6283" t="s">
        <v>6</v>
      </c>
      <c r="B6283">
        <v>62</v>
      </c>
      <c r="C6283" t="str">
        <f>CHOOSE(MATCH(B6283, {20,25,30,35,40,45,50,55,60,65,70,75,80,85}, 1), "20-24", "25-29", "30-34", "35-39", "40-44", "45-49", "50-54", "55-59", "60-64", "65-69", "70-74", "75-79", "80-84", "85+")</f>
        <v>60-64</v>
      </c>
      <c r="D6283" t="s">
        <v>7</v>
      </c>
    </row>
    <row r="6284" spans="1:4">
      <c r="A6284" t="s">
        <v>6</v>
      </c>
      <c r="B6284">
        <v>35</v>
      </c>
      <c r="C6284" t="str">
        <f>CHOOSE(MATCH(B6284, {20,25,30,35,40,45,50,55,60,65,70,75,80,85}, 1), "20-24", "25-29", "30-34", "35-39", "40-44", "45-49", "50-54", "55-59", "60-64", "65-69", "70-74", "75-79", "80-84", "85+")</f>
        <v>35-39</v>
      </c>
      <c r="D6284" t="s">
        <v>7</v>
      </c>
    </row>
    <row r="6285" spans="1:4">
      <c r="A6285" t="s">
        <v>6</v>
      </c>
      <c r="B6285">
        <v>80</v>
      </c>
      <c r="C6285" t="str">
        <f>CHOOSE(MATCH(B6285, {20,25,30,35,40,45,50,55,60,65,70,75,80,85}, 1), "20-24", "25-29", "30-34", "35-39", "40-44", "45-49", "50-54", "55-59", "60-64", "65-69", "70-74", "75-79", "80-84", "85+")</f>
        <v>80-84</v>
      </c>
      <c r="D6285" t="s">
        <v>7</v>
      </c>
    </row>
    <row r="6286" spans="1:4">
      <c r="A6286" t="s">
        <v>6</v>
      </c>
      <c r="B6286">
        <v>26</v>
      </c>
      <c r="C6286" t="str">
        <f>CHOOSE(MATCH(B6286, {20,25,30,35,40,45,50,55,60,65,70,75,80,85}, 1), "20-24", "25-29", "30-34", "35-39", "40-44", "45-49", "50-54", "55-59", "60-64", "65-69", "70-74", "75-79", "80-84", "85+")</f>
        <v>25-29</v>
      </c>
      <c r="D6286" t="s">
        <v>7</v>
      </c>
    </row>
    <row r="6287" spans="1:4">
      <c r="A6287" t="s">
        <v>6</v>
      </c>
      <c r="B6287">
        <v>33</v>
      </c>
      <c r="C6287" t="str">
        <f>CHOOSE(MATCH(B6287, {20,25,30,35,40,45,50,55,60,65,70,75,80,85}, 1), "20-24", "25-29", "30-34", "35-39", "40-44", "45-49", "50-54", "55-59", "60-64", "65-69", "70-74", "75-79", "80-84", "85+")</f>
        <v>30-34</v>
      </c>
      <c r="D6287" t="s">
        <v>7</v>
      </c>
    </row>
    <row r="6288" spans="1:4">
      <c r="A6288" t="s">
        <v>6</v>
      </c>
      <c r="B6288">
        <v>39</v>
      </c>
      <c r="C6288" t="str">
        <f>CHOOSE(MATCH(B6288, {20,25,30,35,40,45,50,55,60,65,70,75,80,85}, 1), "20-24", "25-29", "30-34", "35-39", "40-44", "45-49", "50-54", "55-59", "60-64", "65-69", "70-74", "75-79", "80-84", "85+")</f>
        <v>35-39</v>
      </c>
      <c r="D6288" t="s">
        <v>7</v>
      </c>
    </row>
    <row r="6289" spans="1:4">
      <c r="A6289" t="s">
        <v>6</v>
      </c>
      <c r="B6289">
        <v>30</v>
      </c>
      <c r="C6289" t="str">
        <f>CHOOSE(MATCH(B6289, {20,25,30,35,40,45,50,55,60,65,70,75,80,85}, 1), "20-24", "25-29", "30-34", "35-39", "40-44", "45-49", "50-54", "55-59", "60-64", "65-69", "70-74", "75-79", "80-84", "85+")</f>
        <v>30-34</v>
      </c>
      <c r="D6289" t="s">
        <v>7</v>
      </c>
    </row>
    <row r="6290" spans="1:4">
      <c r="A6290" t="s">
        <v>6</v>
      </c>
      <c r="B6290">
        <v>22</v>
      </c>
      <c r="C6290" t="str">
        <f>CHOOSE(MATCH(B6290, {20,25,30,35,40,45,50,55,60,65,70,75,80,85}, 1), "20-24", "25-29", "30-34", "35-39", "40-44", "45-49", "50-54", "55-59", "60-64", "65-69", "70-74", "75-79", "80-84", "85+")</f>
        <v>20-24</v>
      </c>
      <c r="D6290" t="s">
        <v>8</v>
      </c>
    </row>
    <row r="6291" spans="1:4">
      <c r="A6291" t="s">
        <v>6</v>
      </c>
      <c r="B6291">
        <v>50</v>
      </c>
      <c r="C6291" t="str">
        <f>CHOOSE(MATCH(B6291, {20,25,30,35,40,45,50,55,60,65,70,75,80,85}, 1), "20-24", "25-29", "30-34", "35-39", "40-44", "45-49", "50-54", "55-59", "60-64", "65-69", "70-74", "75-79", "80-84", "85+")</f>
        <v>50-54</v>
      </c>
      <c r="D6291" t="s">
        <v>7</v>
      </c>
    </row>
    <row r="6292" spans="1:4">
      <c r="A6292" t="s">
        <v>6</v>
      </c>
      <c r="B6292">
        <v>43</v>
      </c>
      <c r="C6292" t="str">
        <f>CHOOSE(MATCH(B6292, {20,25,30,35,40,45,50,55,60,65,70,75,80,85}, 1), "20-24", "25-29", "30-34", "35-39", "40-44", "45-49", "50-54", "55-59", "60-64", "65-69", "70-74", "75-79", "80-84", "85+")</f>
        <v>40-44</v>
      </c>
      <c r="D6292" t="s">
        <v>8</v>
      </c>
    </row>
    <row r="6293" spans="1:4">
      <c r="A6293" t="s">
        <v>6</v>
      </c>
      <c r="B6293">
        <v>57</v>
      </c>
      <c r="C6293" t="str">
        <f>CHOOSE(MATCH(B6293, {20,25,30,35,40,45,50,55,60,65,70,75,80,85}, 1), "20-24", "25-29", "30-34", "35-39", "40-44", "45-49", "50-54", "55-59", "60-64", "65-69", "70-74", "75-79", "80-84", "85+")</f>
        <v>55-59</v>
      </c>
      <c r="D6293" t="s">
        <v>8</v>
      </c>
    </row>
    <row r="6294" spans="1:4">
      <c r="A6294" t="s">
        <v>6</v>
      </c>
      <c r="B6294">
        <v>51</v>
      </c>
      <c r="C6294" t="str">
        <f>CHOOSE(MATCH(B6294, {20,25,30,35,40,45,50,55,60,65,70,75,80,85}, 1), "20-24", "25-29", "30-34", "35-39", "40-44", "45-49", "50-54", "55-59", "60-64", "65-69", "70-74", "75-79", "80-84", "85+")</f>
        <v>50-54</v>
      </c>
      <c r="D6294" t="s">
        <v>8</v>
      </c>
    </row>
    <row r="6295" spans="1:4">
      <c r="A6295" t="s">
        <v>6</v>
      </c>
      <c r="B6295">
        <v>63</v>
      </c>
      <c r="C6295" t="str">
        <f>CHOOSE(MATCH(B6295, {20,25,30,35,40,45,50,55,60,65,70,75,80,85}, 1), "20-24", "25-29", "30-34", "35-39", "40-44", "45-49", "50-54", "55-59", "60-64", "65-69", "70-74", "75-79", "80-84", "85+")</f>
        <v>60-64</v>
      </c>
      <c r="D6295" t="s">
        <v>7</v>
      </c>
    </row>
    <row r="6296" spans="1:4">
      <c r="A6296" t="s">
        <v>6</v>
      </c>
      <c r="B6296">
        <v>55</v>
      </c>
      <c r="C6296" t="str">
        <f>CHOOSE(MATCH(B6296, {20,25,30,35,40,45,50,55,60,65,70,75,80,85}, 1), "20-24", "25-29", "30-34", "35-39", "40-44", "45-49", "50-54", "55-59", "60-64", "65-69", "70-74", "75-79", "80-84", "85+")</f>
        <v>55-59</v>
      </c>
      <c r="D6296" t="s">
        <v>8</v>
      </c>
    </row>
    <row r="6297" spans="1:4">
      <c r="A6297" t="s">
        <v>6</v>
      </c>
      <c r="B6297">
        <v>27</v>
      </c>
      <c r="C6297" t="str">
        <f>CHOOSE(MATCH(B6297, {20,25,30,35,40,45,50,55,60,65,70,75,80,85}, 1), "20-24", "25-29", "30-34", "35-39", "40-44", "45-49", "50-54", "55-59", "60-64", "65-69", "70-74", "75-79", "80-84", "85+")</f>
        <v>25-29</v>
      </c>
      <c r="D6297" t="s">
        <v>7</v>
      </c>
    </row>
    <row r="6298" spans="1:4">
      <c r="A6298" t="s">
        <v>6</v>
      </c>
      <c r="B6298">
        <v>36</v>
      </c>
      <c r="C6298" t="str">
        <f>CHOOSE(MATCH(B6298, {20,25,30,35,40,45,50,55,60,65,70,75,80,85}, 1), "20-24", "25-29", "30-34", "35-39", "40-44", "45-49", "50-54", "55-59", "60-64", "65-69", "70-74", "75-79", "80-84", "85+")</f>
        <v>35-39</v>
      </c>
      <c r="D6298" t="s">
        <v>8</v>
      </c>
    </row>
    <row r="6299" spans="1:4">
      <c r="A6299" t="s">
        <v>6</v>
      </c>
      <c r="B6299">
        <v>25</v>
      </c>
      <c r="C6299" t="str">
        <f>CHOOSE(MATCH(B6299, {20,25,30,35,40,45,50,55,60,65,70,75,80,85}, 1), "20-24", "25-29", "30-34", "35-39", "40-44", "45-49", "50-54", "55-59", "60-64", "65-69", "70-74", "75-79", "80-84", "85+")</f>
        <v>25-29</v>
      </c>
      <c r="D6299" t="s">
        <v>7</v>
      </c>
    </row>
    <row r="6300" spans="1:4">
      <c r="A6300" t="s">
        <v>6</v>
      </c>
      <c r="B6300">
        <v>41</v>
      </c>
      <c r="C6300" t="str">
        <f>CHOOSE(MATCH(B6300, {20,25,30,35,40,45,50,55,60,65,70,75,80,85}, 1), "20-24", "25-29", "30-34", "35-39", "40-44", "45-49", "50-54", "55-59", "60-64", "65-69", "70-74", "75-79", "80-84", "85+")</f>
        <v>40-44</v>
      </c>
      <c r="D6300" t="s">
        <v>7</v>
      </c>
    </row>
    <row r="6301" spans="1:4">
      <c r="A6301" t="s">
        <v>6</v>
      </c>
      <c r="B6301">
        <v>60</v>
      </c>
      <c r="C6301" t="str">
        <f>CHOOSE(MATCH(B6301, {20,25,30,35,40,45,50,55,60,65,70,75,80,85}, 1), "20-24", "25-29", "30-34", "35-39", "40-44", "45-49", "50-54", "55-59", "60-64", "65-69", "70-74", "75-79", "80-84", "85+")</f>
        <v>60-64</v>
      </c>
      <c r="D6301" t="s">
        <v>8</v>
      </c>
    </row>
    <row r="6302" spans="1:4">
      <c r="A6302" t="s">
        <v>6</v>
      </c>
      <c r="B6302">
        <v>54</v>
      </c>
      <c r="C6302" t="str">
        <f>CHOOSE(MATCH(B6302, {20,25,30,35,40,45,50,55,60,65,70,75,80,85}, 1), "20-24", "25-29", "30-34", "35-39", "40-44", "45-49", "50-54", "55-59", "60-64", "65-69", "70-74", "75-79", "80-84", "85+")</f>
        <v>50-54</v>
      </c>
      <c r="D6302" t="s">
        <v>7</v>
      </c>
    </row>
    <row r="6303" spans="1:4">
      <c r="A6303" t="s">
        <v>6</v>
      </c>
      <c r="B6303">
        <v>28</v>
      </c>
      <c r="C6303" t="str">
        <f>CHOOSE(MATCH(B6303, {20,25,30,35,40,45,50,55,60,65,70,75,80,85}, 1), "20-24", "25-29", "30-34", "35-39", "40-44", "45-49", "50-54", "55-59", "60-64", "65-69", "70-74", "75-79", "80-84", "85+")</f>
        <v>25-29</v>
      </c>
      <c r="D6303" t="s">
        <v>8</v>
      </c>
    </row>
    <row r="6304" spans="1:4">
      <c r="A6304" t="s">
        <v>6</v>
      </c>
      <c r="B6304">
        <v>39</v>
      </c>
      <c r="C6304" t="str">
        <f>CHOOSE(MATCH(B6304, {20,25,30,35,40,45,50,55,60,65,70,75,80,85}, 1), "20-24", "25-29", "30-34", "35-39", "40-44", "45-49", "50-54", "55-59", "60-64", "65-69", "70-74", "75-79", "80-84", "85+")</f>
        <v>35-39</v>
      </c>
      <c r="D6304" t="s">
        <v>7</v>
      </c>
    </row>
    <row r="6305" spans="1:4">
      <c r="A6305" t="s">
        <v>6</v>
      </c>
      <c r="B6305">
        <v>22</v>
      </c>
      <c r="C6305" t="str">
        <f>CHOOSE(MATCH(B6305, {20,25,30,35,40,45,50,55,60,65,70,75,80,85}, 1), "20-24", "25-29", "30-34", "35-39", "40-44", "45-49", "50-54", "55-59", "60-64", "65-69", "70-74", "75-79", "80-84", "85+")</f>
        <v>20-24</v>
      </c>
      <c r="D6305" t="s">
        <v>7</v>
      </c>
    </row>
    <row r="6306" spans="1:4">
      <c r="A6306" t="s">
        <v>6</v>
      </c>
      <c r="B6306">
        <v>34</v>
      </c>
      <c r="C6306" t="str">
        <f>CHOOSE(MATCH(B6306, {20,25,30,35,40,45,50,55,60,65,70,75,80,85}, 1), "20-24", "25-29", "30-34", "35-39", "40-44", "45-49", "50-54", "55-59", "60-64", "65-69", "70-74", "75-79", "80-84", "85+")</f>
        <v>30-34</v>
      </c>
      <c r="D6306" t="s">
        <v>8</v>
      </c>
    </row>
    <row r="6307" spans="1:4">
      <c r="A6307" t="s">
        <v>6</v>
      </c>
      <c r="B6307">
        <v>42</v>
      </c>
      <c r="C6307" t="str">
        <f>CHOOSE(MATCH(B6307, {20,25,30,35,40,45,50,55,60,65,70,75,80,85}, 1), "20-24", "25-29", "30-34", "35-39", "40-44", "45-49", "50-54", "55-59", "60-64", "65-69", "70-74", "75-79", "80-84", "85+")</f>
        <v>40-44</v>
      </c>
      <c r="D6307" t="s">
        <v>8</v>
      </c>
    </row>
    <row r="6308" spans="1:4">
      <c r="A6308" t="s">
        <v>6</v>
      </c>
      <c r="B6308">
        <v>26</v>
      </c>
      <c r="C6308" t="str">
        <f>CHOOSE(MATCH(B6308, {20,25,30,35,40,45,50,55,60,65,70,75,80,85}, 1), "20-24", "25-29", "30-34", "35-39", "40-44", "45-49", "50-54", "55-59", "60-64", "65-69", "70-74", "75-79", "80-84", "85+")</f>
        <v>25-29</v>
      </c>
      <c r="D6308" t="s">
        <v>7</v>
      </c>
    </row>
    <row r="6309" spans="1:4">
      <c r="A6309" t="s">
        <v>6</v>
      </c>
      <c r="B6309">
        <v>27</v>
      </c>
      <c r="C6309" t="str">
        <f>CHOOSE(MATCH(B6309, {20,25,30,35,40,45,50,55,60,65,70,75,80,85}, 1), "20-24", "25-29", "30-34", "35-39", "40-44", "45-49", "50-54", "55-59", "60-64", "65-69", "70-74", "75-79", "80-84", "85+")</f>
        <v>25-29</v>
      </c>
      <c r="D6309" t="s">
        <v>8</v>
      </c>
    </row>
    <row r="6310" spans="1:4">
      <c r="A6310" t="s">
        <v>6</v>
      </c>
      <c r="B6310">
        <v>38</v>
      </c>
      <c r="C6310" t="str">
        <f>CHOOSE(MATCH(B6310, {20,25,30,35,40,45,50,55,60,65,70,75,80,85}, 1), "20-24", "25-29", "30-34", "35-39", "40-44", "45-49", "50-54", "55-59", "60-64", "65-69", "70-74", "75-79", "80-84", "85+")</f>
        <v>35-39</v>
      </c>
      <c r="D6310" t="s">
        <v>7</v>
      </c>
    </row>
    <row r="6311" spans="1:4">
      <c r="A6311" t="s">
        <v>6</v>
      </c>
      <c r="B6311">
        <v>37</v>
      </c>
      <c r="C6311" t="str">
        <f>CHOOSE(MATCH(B6311, {20,25,30,35,40,45,50,55,60,65,70,75,80,85}, 1), "20-24", "25-29", "30-34", "35-39", "40-44", "45-49", "50-54", "55-59", "60-64", "65-69", "70-74", "75-79", "80-84", "85+")</f>
        <v>35-39</v>
      </c>
      <c r="D6311" t="s">
        <v>8</v>
      </c>
    </row>
    <row r="6312" spans="1:4">
      <c r="A6312" t="s">
        <v>6</v>
      </c>
      <c r="B6312">
        <v>54</v>
      </c>
      <c r="C6312" t="str">
        <f>CHOOSE(MATCH(B6312, {20,25,30,35,40,45,50,55,60,65,70,75,80,85}, 1), "20-24", "25-29", "30-34", "35-39", "40-44", "45-49", "50-54", "55-59", "60-64", "65-69", "70-74", "75-79", "80-84", "85+")</f>
        <v>50-54</v>
      </c>
      <c r="D6312" t="s">
        <v>7</v>
      </c>
    </row>
    <row r="6313" spans="1:4">
      <c r="A6313" t="s">
        <v>6</v>
      </c>
      <c r="B6313">
        <v>69</v>
      </c>
      <c r="C6313" t="str">
        <f>CHOOSE(MATCH(B6313, {20,25,30,35,40,45,50,55,60,65,70,75,80,85}, 1), "20-24", "25-29", "30-34", "35-39", "40-44", "45-49", "50-54", "55-59", "60-64", "65-69", "70-74", "75-79", "80-84", "85+")</f>
        <v>65-69</v>
      </c>
      <c r="D6313" t="s">
        <v>8</v>
      </c>
    </row>
    <row r="6314" spans="1:4">
      <c r="A6314" t="s">
        <v>6</v>
      </c>
      <c r="B6314">
        <v>32</v>
      </c>
      <c r="C6314" t="str">
        <f>CHOOSE(MATCH(B6314, {20,25,30,35,40,45,50,55,60,65,70,75,80,85}, 1), "20-24", "25-29", "30-34", "35-39", "40-44", "45-49", "50-54", "55-59", "60-64", "65-69", "70-74", "75-79", "80-84", "85+")</f>
        <v>30-34</v>
      </c>
      <c r="D6314" t="s">
        <v>7</v>
      </c>
    </row>
    <row r="6315" spans="1:4">
      <c r="A6315" t="s">
        <v>6</v>
      </c>
      <c r="B6315">
        <v>33</v>
      </c>
      <c r="C6315" t="str">
        <f>CHOOSE(MATCH(B6315, {20,25,30,35,40,45,50,55,60,65,70,75,80,85}, 1), "20-24", "25-29", "30-34", "35-39", "40-44", "45-49", "50-54", "55-59", "60-64", "65-69", "70-74", "75-79", "80-84", "85+")</f>
        <v>30-34</v>
      </c>
      <c r="D6315" t="s">
        <v>7</v>
      </c>
    </row>
    <row r="6316" spans="1:4">
      <c r="A6316" t="s">
        <v>6</v>
      </c>
      <c r="B6316">
        <v>35</v>
      </c>
      <c r="C6316" t="str">
        <f>CHOOSE(MATCH(B6316, {20,25,30,35,40,45,50,55,60,65,70,75,80,85}, 1), "20-24", "25-29", "30-34", "35-39", "40-44", "45-49", "50-54", "55-59", "60-64", "65-69", "70-74", "75-79", "80-84", "85+")</f>
        <v>35-39</v>
      </c>
      <c r="D6316" t="s">
        <v>7</v>
      </c>
    </row>
    <row r="6317" spans="1:4">
      <c r="A6317" t="s">
        <v>6</v>
      </c>
      <c r="B6317">
        <v>40</v>
      </c>
      <c r="C6317" t="str">
        <f>CHOOSE(MATCH(B6317, {20,25,30,35,40,45,50,55,60,65,70,75,80,85}, 1), "20-24", "25-29", "30-34", "35-39", "40-44", "45-49", "50-54", "55-59", "60-64", "65-69", "70-74", "75-79", "80-84", "85+")</f>
        <v>40-44</v>
      </c>
      <c r="D6317" t="s">
        <v>8</v>
      </c>
    </row>
    <row r="6318" spans="1:4">
      <c r="A6318" t="s">
        <v>6</v>
      </c>
      <c r="B6318">
        <v>55</v>
      </c>
      <c r="C6318" t="str">
        <f>CHOOSE(MATCH(B6318, {20,25,30,35,40,45,50,55,60,65,70,75,80,85}, 1), "20-24", "25-29", "30-34", "35-39", "40-44", "45-49", "50-54", "55-59", "60-64", "65-69", "70-74", "75-79", "80-84", "85+")</f>
        <v>55-59</v>
      </c>
      <c r="D6318" t="s">
        <v>8</v>
      </c>
    </row>
    <row r="6319" spans="1:4">
      <c r="A6319" t="s">
        <v>6</v>
      </c>
      <c r="B6319">
        <v>33</v>
      </c>
      <c r="C6319" t="str">
        <f>CHOOSE(MATCH(B6319, {20,25,30,35,40,45,50,55,60,65,70,75,80,85}, 1), "20-24", "25-29", "30-34", "35-39", "40-44", "45-49", "50-54", "55-59", "60-64", "65-69", "70-74", "75-79", "80-84", "85+")</f>
        <v>30-34</v>
      </c>
      <c r="D6319" t="s">
        <v>8</v>
      </c>
    </row>
    <row r="6320" spans="1:4">
      <c r="A6320" t="s">
        <v>6</v>
      </c>
      <c r="B6320">
        <v>37</v>
      </c>
      <c r="C6320" t="str">
        <f>CHOOSE(MATCH(B6320, {20,25,30,35,40,45,50,55,60,65,70,75,80,85}, 1), "20-24", "25-29", "30-34", "35-39", "40-44", "45-49", "50-54", "55-59", "60-64", "65-69", "70-74", "75-79", "80-84", "85+")</f>
        <v>35-39</v>
      </c>
      <c r="D6320" t="s">
        <v>8</v>
      </c>
    </row>
    <row r="6321" spans="1:4">
      <c r="A6321" t="s">
        <v>6</v>
      </c>
      <c r="B6321">
        <v>58</v>
      </c>
      <c r="C6321" t="str">
        <f>CHOOSE(MATCH(B6321, {20,25,30,35,40,45,50,55,60,65,70,75,80,85}, 1), "20-24", "25-29", "30-34", "35-39", "40-44", "45-49", "50-54", "55-59", "60-64", "65-69", "70-74", "75-79", "80-84", "85+")</f>
        <v>55-59</v>
      </c>
      <c r="D6321" t="s">
        <v>7</v>
      </c>
    </row>
    <row r="6322" spans="1:4">
      <c r="A6322" t="s">
        <v>6</v>
      </c>
      <c r="B6322">
        <v>68</v>
      </c>
      <c r="C6322" t="str">
        <f>CHOOSE(MATCH(B6322, {20,25,30,35,40,45,50,55,60,65,70,75,80,85}, 1), "20-24", "25-29", "30-34", "35-39", "40-44", "45-49", "50-54", "55-59", "60-64", "65-69", "70-74", "75-79", "80-84", "85+")</f>
        <v>65-69</v>
      </c>
      <c r="D6322" t="s">
        <v>8</v>
      </c>
    </row>
    <row r="6323" spans="1:4">
      <c r="A6323" t="s">
        <v>6</v>
      </c>
      <c r="B6323">
        <v>31</v>
      </c>
      <c r="C6323" t="str">
        <f>CHOOSE(MATCH(B6323, {20,25,30,35,40,45,50,55,60,65,70,75,80,85}, 1), "20-24", "25-29", "30-34", "35-39", "40-44", "45-49", "50-54", "55-59", "60-64", "65-69", "70-74", "75-79", "80-84", "85+")</f>
        <v>30-34</v>
      </c>
      <c r="D6323" t="s">
        <v>8</v>
      </c>
    </row>
    <row r="6324" spans="1:4">
      <c r="A6324" t="s">
        <v>6</v>
      </c>
      <c r="B6324">
        <v>27</v>
      </c>
      <c r="C6324" t="str">
        <f>CHOOSE(MATCH(B6324, {20,25,30,35,40,45,50,55,60,65,70,75,80,85}, 1), "20-24", "25-29", "30-34", "35-39", "40-44", "45-49", "50-54", "55-59", "60-64", "65-69", "70-74", "75-79", "80-84", "85+")</f>
        <v>25-29</v>
      </c>
      <c r="D6324" t="s">
        <v>7</v>
      </c>
    </row>
    <row r="6325" spans="1:4">
      <c r="A6325" t="s">
        <v>6</v>
      </c>
      <c r="B6325">
        <v>35</v>
      </c>
      <c r="C6325" t="str">
        <f>CHOOSE(MATCH(B6325, {20,25,30,35,40,45,50,55,60,65,70,75,80,85}, 1), "20-24", "25-29", "30-34", "35-39", "40-44", "45-49", "50-54", "55-59", "60-64", "65-69", "70-74", "75-79", "80-84", "85+")</f>
        <v>35-39</v>
      </c>
      <c r="D6325" t="s">
        <v>7</v>
      </c>
    </row>
    <row r="6326" spans="1:4">
      <c r="A6326" t="s">
        <v>6</v>
      </c>
      <c r="B6326">
        <v>37</v>
      </c>
      <c r="C6326" t="str">
        <f>CHOOSE(MATCH(B6326, {20,25,30,35,40,45,50,55,60,65,70,75,80,85}, 1), "20-24", "25-29", "30-34", "35-39", "40-44", "45-49", "50-54", "55-59", "60-64", "65-69", "70-74", "75-79", "80-84", "85+")</f>
        <v>35-39</v>
      </c>
      <c r="D6326" t="s">
        <v>8</v>
      </c>
    </row>
    <row r="6327" spans="1:4">
      <c r="A6327" t="s">
        <v>6</v>
      </c>
      <c r="B6327">
        <v>24</v>
      </c>
      <c r="C6327" t="str">
        <f>CHOOSE(MATCH(B6327, {20,25,30,35,40,45,50,55,60,65,70,75,80,85}, 1), "20-24", "25-29", "30-34", "35-39", "40-44", "45-49", "50-54", "55-59", "60-64", "65-69", "70-74", "75-79", "80-84", "85+")</f>
        <v>20-24</v>
      </c>
      <c r="D6327" t="s">
        <v>7</v>
      </c>
    </row>
    <row r="6328" spans="1:4">
      <c r="A6328" t="s">
        <v>6</v>
      </c>
      <c r="B6328">
        <v>42</v>
      </c>
      <c r="C6328" t="str">
        <f>CHOOSE(MATCH(B6328, {20,25,30,35,40,45,50,55,60,65,70,75,80,85}, 1), "20-24", "25-29", "30-34", "35-39", "40-44", "45-49", "50-54", "55-59", "60-64", "65-69", "70-74", "75-79", "80-84", "85+")</f>
        <v>40-44</v>
      </c>
      <c r="D6328" t="s">
        <v>8</v>
      </c>
    </row>
    <row r="6329" spans="1:4">
      <c r="A6329" t="s">
        <v>6</v>
      </c>
      <c r="B6329">
        <v>27</v>
      </c>
      <c r="C6329" t="str">
        <f>CHOOSE(MATCH(B6329, {20,25,30,35,40,45,50,55,60,65,70,75,80,85}, 1), "20-24", "25-29", "30-34", "35-39", "40-44", "45-49", "50-54", "55-59", "60-64", "65-69", "70-74", "75-79", "80-84", "85+")</f>
        <v>25-29</v>
      </c>
      <c r="D6329" t="s">
        <v>8</v>
      </c>
    </row>
    <row r="6330" spans="1:4">
      <c r="A6330" t="s">
        <v>6</v>
      </c>
      <c r="B6330">
        <v>28</v>
      </c>
      <c r="C6330" t="str">
        <f>CHOOSE(MATCH(B6330, {20,25,30,35,40,45,50,55,60,65,70,75,80,85}, 1), "20-24", "25-29", "30-34", "35-39", "40-44", "45-49", "50-54", "55-59", "60-64", "65-69", "70-74", "75-79", "80-84", "85+")</f>
        <v>25-29</v>
      </c>
      <c r="D6330" t="s">
        <v>8</v>
      </c>
    </row>
    <row r="6331" spans="1:4">
      <c r="A6331" t="s">
        <v>6</v>
      </c>
      <c r="B6331">
        <v>35</v>
      </c>
      <c r="C6331" t="str">
        <f>CHOOSE(MATCH(B6331, {20,25,30,35,40,45,50,55,60,65,70,75,80,85}, 1), "20-24", "25-29", "30-34", "35-39", "40-44", "45-49", "50-54", "55-59", "60-64", "65-69", "70-74", "75-79", "80-84", "85+")</f>
        <v>35-39</v>
      </c>
      <c r="D6331" t="s">
        <v>7</v>
      </c>
    </row>
    <row r="6332" spans="1:4">
      <c r="A6332" t="s">
        <v>6</v>
      </c>
      <c r="B6332">
        <v>49</v>
      </c>
      <c r="C6332" t="str">
        <f>CHOOSE(MATCH(B6332, {20,25,30,35,40,45,50,55,60,65,70,75,80,85}, 1), "20-24", "25-29", "30-34", "35-39", "40-44", "45-49", "50-54", "55-59", "60-64", "65-69", "70-74", "75-79", "80-84", "85+")</f>
        <v>45-49</v>
      </c>
      <c r="D6332" t="s">
        <v>8</v>
      </c>
    </row>
    <row r="6333" spans="1:4">
      <c r="A6333" t="s">
        <v>6</v>
      </c>
      <c r="B6333">
        <v>43</v>
      </c>
      <c r="C6333" t="str">
        <f>CHOOSE(MATCH(B6333, {20,25,30,35,40,45,50,55,60,65,70,75,80,85}, 1), "20-24", "25-29", "30-34", "35-39", "40-44", "45-49", "50-54", "55-59", "60-64", "65-69", "70-74", "75-79", "80-84", "85+")</f>
        <v>40-44</v>
      </c>
      <c r="D6333" t="s">
        <v>8</v>
      </c>
    </row>
    <row r="6334" spans="1:4">
      <c r="A6334" t="s">
        <v>6</v>
      </c>
      <c r="B6334">
        <v>25</v>
      </c>
      <c r="C6334" t="str">
        <f>CHOOSE(MATCH(B6334, {20,25,30,35,40,45,50,55,60,65,70,75,80,85}, 1), "20-24", "25-29", "30-34", "35-39", "40-44", "45-49", "50-54", "55-59", "60-64", "65-69", "70-74", "75-79", "80-84", "85+")</f>
        <v>25-29</v>
      </c>
      <c r="D6334" t="s">
        <v>7</v>
      </c>
    </row>
    <row r="6335" spans="1:4">
      <c r="A6335" t="s">
        <v>6</v>
      </c>
      <c r="B6335">
        <v>38</v>
      </c>
      <c r="C6335" t="str">
        <f>CHOOSE(MATCH(B6335, {20,25,30,35,40,45,50,55,60,65,70,75,80,85}, 1), "20-24", "25-29", "30-34", "35-39", "40-44", "45-49", "50-54", "55-59", "60-64", "65-69", "70-74", "75-79", "80-84", "85+")</f>
        <v>35-39</v>
      </c>
      <c r="D6335" t="s">
        <v>7</v>
      </c>
    </row>
    <row r="6336" spans="1:4">
      <c r="A6336" t="s">
        <v>6</v>
      </c>
      <c r="B6336">
        <v>24</v>
      </c>
      <c r="C6336" t="str">
        <f>CHOOSE(MATCH(B6336, {20,25,30,35,40,45,50,55,60,65,70,75,80,85}, 1), "20-24", "25-29", "30-34", "35-39", "40-44", "45-49", "50-54", "55-59", "60-64", "65-69", "70-74", "75-79", "80-84", "85+")</f>
        <v>20-24</v>
      </c>
      <c r="D6336" t="s">
        <v>7</v>
      </c>
    </row>
    <row r="6337" spans="1:4">
      <c r="A6337" t="s">
        <v>6</v>
      </c>
      <c r="B6337">
        <v>28</v>
      </c>
      <c r="C6337" t="str">
        <f>CHOOSE(MATCH(B6337, {20,25,30,35,40,45,50,55,60,65,70,75,80,85}, 1), "20-24", "25-29", "30-34", "35-39", "40-44", "45-49", "50-54", "55-59", "60-64", "65-69", "70-74", "75-79", "80-84", "85+")</f>
        <v>25-29</v>
      </c>
      <c r="D6337" t="s">
        <v>7</v>
      </c>
    </row>
    <row r="6338" spans="1:4">
      <c r="A6338" t="s">
        <v>6</v>
      </c>
      <c r="B6338">
        <v>28</v>
      </c>
      <c r="C6338" t="str">
        <f>CHOOSE(MATCH(B6338, {20,25,30,35,40,45,50,55,60,65,70,75,80,85}, 1), "20-24", "25-29", "30-34", "35-39", "40-44", "45-49", "50-54", "55-59", "60-64", "65-69", "70-74", "75-79", "80-84", "85+")</f>
        <v>25-29</v>
      </c>
      <c r="D6338" t="s">
        <v>8</v>
      </c>
    </row>
    <row r="6339" spans="1:4">
      <c r="A6339" t="s">
        <v>6</v>
      </c>
      <c r="B6339">
        <v>66</v>
      </c>
      <c r="C6339" t="str">
        <f>CHOOSE(MATCH(B6339, {20,25,30,35,40,45,50,55,60,65,70,75,80,85}, 1), "20-24", "25-29", "30-34", "35-39", "40-44", "45-49", "50-54", "55-59", "60-64", "65-69", "70-74", "75-79", "80-84", "85+")</f>
        <v>65-69</v>
      </c>
      <c r="D6339" t="s">
        <v>8</v>
      </c>
    </row>
    <row r="6340" spans="1:4">
      <c r="A6340" t="s">
        <v>6</v>
      </c>
      <c r="B6340">
        <v>31</v>
      </c>
      <c r="C6340" t="str">
        <f>CHOOSE(MATCH(B6340, {20,25,30,35,40,45,50,55,60,65,70,75,80,85}, 1), "20-24", "25-29", "30-34", "35-39", "40-44", "45-49", "50-54", "55-59", "60-64", "65-69", "70-74", "75-79", "80-84", "85+")</f>
        <v>30-34</v>
      </c>
      <c r="D6340" t="s">
        <v>7</v>
      </c>
    </row>
    <row r="6341" spans="1:4">
      <c r="A6341" t="s">
        <v>6</v>
      </c>
      <c r="B6341">
        <v>45</v>
      </c>
      <c r="C6341" t="str">
        <f>CHOOSE(MATCH(B6341, {20,25,30,35,40,45,50,55,60,65,70,75,80,85}, 1), "20-24", "25-29", "30-34", "35-39", "40-44", "45-49", "50-54", "55-59", "60-64", "65-69", "70-74", "75-79", "80-84", "85+")</f>
        <v>45-49</v>
      </c>
      <c r="D6341" t="s">
        <v>8</v>
      </c>
    </row>
    <row r="6342" spans="1:4">
      <c r="A6342" t="s">
        <v>6</v>
      </c>
      <c r="B6342">
        <v>48</v>
      </c>
      <c r="C6342" t="str">
        <f>CHOOSE(MATCH(B6342, {20,25,30,35,40,45,50,55,60,65,70,75,80,85}, 1), "20-24", "25-29", "30-34", "35-39", "40-44", "45-49", "50-54", "55-59", "60-64", "65-69", "70-74", "75-79", "80-84", "85+")</f>
        <v>45-49</v>
      </c>
      <c r="D6342" t="s">
        <v>8</v>
      </c>
    </row>
    <row r="6343" spans="1:4">
      <c r="A6343" t="s">
        <v>6</v>
      </c>
      <c r="B6343">
        <v>64</v>
      </c>
      <c r="C6343" t="str">
        <f>CHOOSE(MATCH(B6343, {20,25,30,35,40,45,50,55,60,65,70,75,80,85}, 1), "20-24", "25-29", "30-34", "35-39", "40-44", "45-49", "50-54", "55-59", "60-64", "65-69", "70-74", "75-79", "80-84", "85+")</f>
        <v>60-64</v>
      </c>
      <c r="D6343" t="s">
        <v>8</v>
      </c>
    </row>
    <row r="6344" spans="1:4">
      <c r="A6344" t="s">
        <v>6</v>
      </c>
      <c r="B6344">
        <v>34</v>
      </c>
      <c r="C6344" t="str">
        <f>CHOOSE(MATCH(B6344, {20,25,30,35,40,45,50,55,60,65,70,75,80,85}, 1), "20-24", "25-29", "30-34", "35-39", "40-44", "45-49", "50-54", "55-59", "60-64", "65-69", "70-74", "75-79", "80-84", "85+")</f>
        <v>30-34</v>
      </c>
      <c r="D6344" t="s">
        <v>8</v>
      </c>
    </row>
    <row r="6345" spans="1:4">
      <c r="A6345" t="s">
        <v>6</v>
      </c>
      <c r="B6345">
        <v>52</v>
      </c>
      <c r="C6345" t="str">
        <f>CHOOSE(MATCH(B6345, {20,25,30,35,40,45,50,55,60,65,70,75,80,85}, 1), "20-24", "25-29", "30-34", "35-39", "40-44", "45-49", "50-54", "55-59", "60-64", "65-69", "70-74", "75-79", "80-84", "85+")</f>
        <v>50-54</v>
      </c>
      <c r="D6345" t="s">
        <v>7</v>
      </c>
    </row>
    <row r="6346" spans="1:4">
      <c r="A6346" t="s">
        <v>6</v>
      </c>
      <c r="B6346">
        <v>30</v>
      </c>
      <c r="C6346" t="str">
        <f>CHOOSE(MATCH(B6346, {20,25,30,35,40,45,50,55,60,65,70,75,80,85}, 1), "20-24", "25-29", "30-34", "35-39", "40-44", "45-49", "50-54", "55-59", "60-64", "65-69", "70-74", "75-79", "80-84", "85+")</f>
        <v>30-34</v>
      </c>
      <c r="D6346" t="s">
        <v>7</v>
      </c>
    </row>
    <row r="6347" spans="1:4">
      <c r="A6347" t="s">
        <v>6</v>
      </c>
      <c r="B6347">
        <v>51</v>
      </c>
      <c r="C6347" t="str">
        <f>CHOOSE(MATCH(B6347, {20,25,30,35,40,45,50,55,60,65,70,75,80,85}, 1), "20-24", "25-29", "30-34", "35-39", "40-44", "45-49", "50-54", "55-59", "60-64", "65-69", "70-74", "75-79", "80-84", "85+")</f>
        <v>50-54</v>
      </c>
      <c r="D6347" t="s">
        <v>7</v>
      </c>
    </row>
    <row r="6348" spans="1:4">
      <c r="A6348" t="s">
        <v>6</v>
      </c>
      <c r="B6348">
        <v>49</v>
      </c>
      <c r="C6348" t="str">
        <f>CHOOSE(MATCH(B6348, {20,25,30,35,40,45,50,55,60,65,70,75,80,85}, 1), "20-24", "25-29", "30-34", "35-39", "40-44", "45-49", "50-54", "55-59", "60-64", "65-69", "70-74", "75-79", "80-84", "85+")</f>
        <v>45-49</v>
      </c>
      <c r="D6348" t="s">
        <v>7</v>
      </c>
    </row>
    <row r="6349" spans="1:4">
      <c r="A6349" t="s">
        <v>6</v>
      </c>
      <c r="B6349">
        <v>25</v>
      </c>
      <c r="C6349" t="str">
        <f>CHOOSE(MATCH(B6349, {20,25,30,35,40,45,50,55,60,65,70,75,80,85}, 1), "20-24", "25-29", "30-34", "35-39", "40-44", "45-49", "50-54", "55-59", "60-64", "65-69", "70-74", "75-79", "80-84", "85+")</f>
        <v>25-29</v>
      </c>
      <c r="D6349" t="s">
        <v>7</v>
      </c>
    </row>
    <row r="6350" spans="1:4">
      <c r="A6350" t="s">
        <v>6</v>
      </c>
      <c r="B6350">
        <v>49</v>
      </c>
      <c r="C6350" t="str">
        <f>CHOOSE(MATCH(B6350, {20,25,30,35,40,45,50,55,60,65,70,75,80,85}, 1), "20-24", "25-29", "30-34", "35-39", "40-44", "45-49", "50-54", "55-59", "60-64", "65-69", "70-74", "75-79", "80-84", "85+")</f>
        <v>45-49</v>
      </c>
      <c r="D6350" t="s">
        <v>7</v>
      </c>
    </row>
    <row r="6351" spans="1:4">
      <c r="A6351" t="s">
        <v>6</v>
      </c>
      <c r="B6351">
        <v>35</v>
      </c>
      <c r="C6351" t="str">
        <f>CHOOSE(MATCH(B6351, {20,25,30,35,40,45,50,55,60,65,70,75,80,85}, 1), "20-24", "25-29", "30-34", "35-39", "40-44", "45-49", "50-54", "55-59", "60-64", "65-69", "70-74", "75-79", "80-84", "85+")</f>
        <v>35-39</v>
      </c>
      <c r="D6351" t="s">
        <v>8</v>
      </c>
    </row>
    <row r="6352" spans="1:4">
      <c r="A6352" t="s">
        <v>6</v>
      </c>
      <c r="B6352">
        <v>30</v>
      </c>
      <c r="C6352" t="str">
        <f>CHOOSE(MATCH(B6352, {20,25,30,35,40,45,50,55,60,65,70,75,80,85}, 1), "20-24", "25-29", "30-34", "35-39", "40-44", "45-49", "50-54", "55-59", "60-64", "65-69", "70-74", "75-79", "80-84", "85+")</f>
        <v>30-34</v>
      </c>
      <c r="D6352" t="s">
        <v>7</v>
      </c>
    </row>
    <row r="6353" spans="1:4">
      <c r="A6353" t="s">
        <v>6</v>
      </c>
      <c r="B6353">
        <v>43</v>
      </c>
      <c r="C6353" t="str">
        <f>CHOOSE(MATCH(B6353, {20,25,30,35,40,45,50,55,60,65,70,75,80,85}, 1), "20-24", "25-29", "30-34", "35-39", "40-44", "45-49", "50-54", "55-59", "60-64", "65-69", "70-74", "75-79", "80-84", "85+")</f>
        <v>40-44</v>
      </c>
      <c r="D6353" t="s">
        <v>8</v>
      </c>
    </row>
    <row r="6354" spans="1:4">
      <c r="A6354" t="s">
        <v>6</v>
      </c>
      <c r="B6354">
        <v>67</v>
      </c>
      <c r="C6354" t="str">
        <f>CHOOSE(MATCH(B6354, {20,25,30,35,40,45,50,55,60,65,70,75,80,85}, 1), "20-24", "25-29", "30-34", "35-39", "40-44", "45-49", "50-54", "55-59", "60-64", "65-69", "70-74", "75-79", "80-84", "85+")</f>
        <v>65-69</v>
      </c>
      <c r="D6354" t="s">
        <v>8</v>
      </c>
    </row>
    <row r="6355" spans="1:4">
      <c r="A6355" t="s">
        <v>6</v>
      </c>
      <c r="B6355">
        <v>37</v>
      </c>
      <c r="C6355" t="str">
        <f>CHOOSE(MATCH(B6355, {20,25,30,35,40,45,50,55,60,65,70,75,80,85}, 1), "20-24", "25-29", "30-34", "35-39", "40-44", "45-49", "50-54", "55-59", "60-64", "65-69", "70-74", "75-79", "80-84", "85+")</f>
        <v>35-39</v>
      </c>
      <c r="D6355" t="s">
        <v>7</v>
      </c>
    </row>
    <row r="6356" spans="1:4">
      <c r="A6356" t="s">
        <v>6</v>
      </c>
      <c r="B6356">
        <v>37</v>
      </c>
      <c r="C6356" t="str">
        <f>CHOOSE(MATCH(B6356, {20,25,30,35,40,45,50,55,60,65,70,75,80,85}, 1), "20-24", "25-29", "30-34", "35-39", "40-44", "45-49", "50-54", "55-59", "60-64", "65-69", "70-74", "75-79", "80-84", "85+")</f>
        <v>35-39</v>
      </c>
      <c r="D6356" t="s">
        <v>7</v>
      </c>
    </row>
    <row r="6357" spans="1:4">
      <c r="A6357" t="s">
        <v>6</v>
      </c>
      <c r="B6357">
        <v>31</v>
      </c>
      <c r="C6357" t="str">
        <f>CHOOSE(MATCH(B6357, {20,25,30,35,40,45,50,55,60,65,70,75,80,85}, 1), "20-24", "25-29", "30-34", "35-39", "40-44", "45-49", "50-54", "55-59", "60-64", "65-69", "70-74", "75-79", "80-84", "85+")</f>
        <v>30-34</v>
      </c>
      <c r="D6357" t="s">
        <v>8</v>
      </c>
    </row>
    <row r="6358" spans="1:4">
      <c r="A6358" t="s">
        <v>6</v>
      </c>
      <c r="B6358">
        <v>28</v>
      </c>
      <c r="C6358" t="str">
        <f>CHOOSE(MATCH(B6358, {20,25,30,35,40,45,50,55,60,65,70,75,80,85}, 1), "20-24", "25-29", "30-34", "35-39", "40-44", "45-49", "50-54", "55-59", "60-64", "65-69", "70-74", "75-79", "80-84", "85+")</f>
        <v>25-29</v>
      </c>
      <c r="D6358" t="s">
        <v>8</v>
      </c>
    </row>
    <row r="6359" spans="1:4">
      <c r="A6359" t="s">
        <v>6</v>
      </c>
      <c r="B6359">
        <v>29</v>
      </c>
      <c r="C6359" t="str">
        <f>CHOOSE(MATCH(B6359, {20,25,30,35,40,45,50,55,60,65,70,75,80,85}, 1), "20-24", "25-29", "30-34", "35-39", "40-44", "45-49", "50-54", "55-59", "60-64", "65-69", "70-74", "75-79", "80-84", "85+")</f>
        <v>25-29</v>
      </c>
      <c r="D6359" t="s">
        <v>7</v>
      </c>
    </row>
    <row r="6360" spans="1:4">
      <c r="A6360" t="s">
        <v>6</v>
      </c>
      <c r="B6360">
        <v>46</v>
      </c>
      <c r="C6360" t="str">
        <f>CHOOSE(MATCH(B6360, {20,25,30,35,40,45,50,55,60,65,70,75,80,85}, 1), "20-24", "25-29", "30-34", "35-39", "40-44", "45-49", "50-54", "55-59", "60-64", "65-69", "70-74", "75-79", "80-84", "85+")</f>
        <v>45-49</v>
      </c>
      <c r="D6360" t="s">
        <v>7</v>
      </c>
    </row>
    <row r="6361" spans="1:4">
      <c r="A6361" t="s">
        <v>6</v>
      </c>
      <c r="B6361">
        <v>70</v>
      </c>
      <c r="C6361" t="str">
        <f>CHOOSE(MATCH(B6361, {20,25,30,35,40,45,50,55,60,65,70,75,80,85}, 1), "20-24", "25-29", "30-34", "35-39", "40-44", "45-49", "50-54", "55-59", "60-64", "65-69", "70-74", "75-79", "80-84", "85+")</f>
        <v>70-74</v>
      </c>
      <c r="D6361" t="s">
        <v>8</v>
      </c>
    </row>
    <row r="6362" spans="1:4">
      <c r="A6362" t="s">
        <v>6</v>
      </c>
      <c r="B6362">
        <v>42</v>
      </c>
      <c r="C6362" t="str">
        <f>CHOOSE(MATCH(B6362, {20,25,30,35,40,45,50,55,60,65,70,75,80,85}, 1), "20-24", "25-29", "30-34", "35-39", "40-44", "45-49", "50-54", "55-59", "60-64", "65-69", "70-74", "75-79", "80-84", "85+")</f>
        <v>40-44</v>
      </c>
      <c r="D6362" t="s">
        <v>8</v>
      </c>
    </row>
    <row r="6363" spans="1:4">
      <c r="A6363" t="s">
        <v>6</v>
      </c>
      <c r="B6363">
        <v>49</v>
      </c>
      <c r="C6363" t="str">
        <f>CHOOSE(MATCH(B6363, {20,25,30,35,40,45,50,55,60,65,70,75,80,85}, 1), "20-24", "25-29", "30-34", "35-39", "40-44", "45-49", "50-54", "55-59", "60-64", "65-69", "70-74", "75-79", "80-84", "85+")</f>
        <v>45-49</v>
      </c>
      <c r="D6363" t="s">
        <v>8</v>
      </c>
    </row>
    <row r="6364" spans="1:4">
      <c r="A6364" t="s">
        <v>6</v>
      </c>
      <c r="B6364">
        <v>36</v>
      </c>
      <c r="C6364" t="str">
        <f>CHOOSE(MATCH(B6364, {20,25,30,35,40,45,50,55,60,65,70,75,80,85}, 1), "20-24", "25-29", "30-34", "35-39", "40-44", "45-49", "50-54", "55-59", "60-64", "65-69", "70-74", "75-79", "80-84", "85+")</f>
        <v>35-39</v>
      </c>
      <c r="D6364" t="s">
        <v>7</v>
      </c>
    </row>
    <row r="6365" spans="1:4">
      <c r="A6365" t="s">
        <v>6</v>
      </c>
      <c r="B6365">
        <v>53</v>
      </c>
      <c r="C6365" t="str">
        <f>CHOOSE(MATCH(B6365, {20,25,30,35,40,45,50,55,60,65,70,75,80,85}, 1), "20-24", "25-29", "30-34", "35-39", "40-44", "45-49", "50-54", "55-59", "60-64", "65-69", "70-74", "75-79", "80-84", "85+")</f>
        <v>50-54</v>
      </c>
      <c r="D6365" t="s">
        <v>7</v>
      </c>
    </row>
    <row r="6366" spans="1:4">
      <c r="A6366" t="s">
        <v>6</v>
      </c>
      <c r="B6366">
        <v>44</v>
      </c>
      <c r="C6366" t="str">
        <f>CHOOSE(MATCH(B6366, {20,25,30,35,40,45,50,55,60,65,70,75,80,85}, 1), "20-24", "25-29", "30-34", "35-39", "40-44", "45-49", "50-54", "55-59", "60-64", "65-69", "70-74", "75-79", "80-84", "85+")</f>
        <v>40-44</v>
      </c>
      <c r="D6366" t="s">
        <v>8</v>
      </c>
    </row>
    <row r="6367" spans="1:4">
      <c r="A6367" t="s">
        <v>6</v>
      </c>
      <c r="B6367">
        <v>65</v>
      </c>
      <c r="C6367" t="str">
        <f>CHOOSE(MATCH(B6367, {20,25,30,35,40,45,50,55,60,65,70,75,80,85}, 1), "20-24", "25-29", "30-34", "35-39", "40-44", "45-49", "50-54", "55-59", "60-64", "65-69", "70-74", "75-79", "80-84", "85+")</f>
        <v>65-69</v>
      </c>
      <c r="D6367" t="s">
        <v>8</v>
      </c>
    </row>
    <row r="6368" spans="1:4">
      <c r="A6368" t="s">
        <v>6</v>
      </c>
      <c r="B6368">
        <v>72</v>
      </c>
      <c r="C6368" t="str">
        <f>CHOOSE(MATCH(B6368, {20,25,30,35,40,45,50,55,60,65,70,75,80,85}, 1), "20-24", "25-29", "30-34", "35-39", "40-44", "45-49", "50-54", "55-59", "60-64", "65-69", "70-74", "75-79", "80-84", "85+")</f>
        <v>70-74</v>
      </c>
      <c r="D6368" t="s">
        <v>7</v>
      </c>
    </row>
    <row r="6369" spans="1:4">
      <c r="A6369" t="s">
        <v>6</v>
      </c>
      <c r="B6369">
        <v>47</v>
      </c>
      <c r="C6369" t="str">
        <f>CHOOSE(MATCH(B6369, {20,25,30,35,40,45,50,55,60,65,70,75,80,85}, 1), "20-24", "25-29", "30-34", "35-39", "40-44", "45-49", "50-54", "55-59", "60-64", "65-69", "70-74", "75-79", "80-84", "85+")</f>
        <v>45-49</v>
      </c>
      <c r="D6369" t="s">
        <v>7</v>
      </c>
    </row>
    <row r="6370" spans="1:4">
      <c r="A6370" t="s">
        <v>6</v>
      </c>
      <c r="B6370">
        <v>78</v>
      </c>
      <c r="C6370" t="str">
        <f>CHOOSE(MATCH(B6370, {20,25,30,35,40,45,50,55,60,65,70,75,80,85}, 1), "20-24", "25-29", "30-34", "35-39", "40-44", "45-49", "50-54", "55-59", "60-64", "65-69", "70-74", "75-79", "80-84", "85+")</f>
        <v>75-79</v>
      </c>
      <c r="D6370" t="s">
        <v>8</v>
      </c>
    </row>
    <row r="6371" spans="1:4">
      <c r="A6371" t="s">
        <v>6</v>
      </c>
      <c r="B6371">
        <v>23</v>
      </c>
      <c r="C6371" t="str">
        <f>CHOOSE(MATCH(B6371, {20,25,30,35,40,45,50,55,60,65,70,75,80,85}, 1), "20-24", "25-29", "30-34", "35-39", "40-44", "45-49", "50-54", "55-59", "60-64", "65-69", "70-74", "75-79", "80-84", "85+")</f>
        <v>20-24</v>
      </c>
      <c r="D6371" t="s">
        <v>7</v>
      </c>
    </row>
    <row r="6372" spans="1:4">
      <c r="A6372" t="s">
        <v>6</v>
      </c>
      <c r="B6372">
        <v>38</v>
      </c>
      <c r="C6372" t="str">
        <f>CHOOSE(MATCH(B6372, {20,25,30,35,40,45,50,55,60,65,70,75,80,85}, 1), "20-24", "25-29", "30-34", "35-39", "40-44", "45-49", "50-54", "55-59", "60-64", "65-69", "70-74", "75-79", "80-84", "85+")</f>
        <v>35-39</v>
      </c>
      <c r="D6372" t="s">
        <v>7</v>
      </c>
    </row>
    <row r="6373" spans="1:4">
      <c r="A6373" t="s">
        <v>6</v>
      </c>
      <c r="B6373">
        <v>23</v>
      </c>
      <c r="C6373" t="str">
        <f>CHOOSE(MATCH(B6373, {20,25,30,35,40,45,50,55,60,65,70,75,80,85}, 1), "20-24", "25-29", "30-34", "35-39", "40-44", "45-49", "50-54", "55-59", "60-64", "65-69", "70-74", "75-79", "80-84", "85+")</f>
        <v>20-24</v>
      </c>
      <c r="D6373" t="s">
        <v>7</v>
      </c>
    </row>
    <row r="6374" spans="1:4">
      <c r="A6374" t="s">
        <v>6</v>
      </c>
      <c r="B6374">
        <v>21</v>
      </c>
      <c r="C6374" t="str">
        <f>CHOOSE(MATCH(B6374, {20,25,30,35,40,45,50,55,60,65,70,75,80,85}, 1), "20-24", "25-29", "30-34", "35-39", "40-44", "45-49", "50-54", "55-59", "60-64", "65-69", "70-74", "75-79", "80-84", "85+")</f>
        <v>20-24</v>
      </c>
      <c r="D6374" t="s">
        <v>8</v>
      </c>
    </row>
    <row r="6375" spans="1:4">
      <c r="A6375" t="s">
        <v>6</v>
      </c>
      <c r="B6375">
        <v>33</v>
      </c>
      <c r="C6375" t="str">
        <f>CHOOSE(MATCH(B6375, {20,25,30,35,40,45,50,55,60,65,70,75,80,85}, 1), "20-24", "25-29", "30-34", "35-39", "40-44", "45-49", "50-54", "55-59", "60-64", "65-69", "70-74", "75-79", "80-84", "85+")</f>
        <v>30-34</v>
      </c>
      <c r="D6375" t="s">
        <v>7</v>
      </c>
    </row>
    <row r="6376" spans="1:4">
      <c r="A6376" t="s">
        <v>6</v>
      </c>
      <c r="B6376">
        <v>38</v>
      </c>
      <c r="C6376" t="str">
        <f>CHOOSE(MATCH(B6376, {20,25,30,35,40,45,50,55,60,65,70,75,80,85}, 1), "20-24", "25-29", "30-34", "35-39", "40-44", "45-49", "50-54", "55-59", "60-64", "65-69", "70-74", "75-79", "80-84", "85+")</f>
        <v>35-39</v>
      </c>
      <c r="D6376" t="s">
        <v>7</v>
      </c>
    </row>
    <row r="6377" spans="1:4">
      <c r="A6377" t="s">
        <v>6</v>
      </c>
      <c r="B6377">
        <v>42</v>
      </c>
      <c r="C6377" t="str">
        <f>CHOOSE(MATCH(B6377, {20,25,30,35,40,45,50,55,60,65,70,75,80,85}, 1), "20-24", "25-29", "30-34", "35-39", "40-44", "45-49", "50-54", "55-59", "60-64", "65-69", "70-74", "75-79", "80-84", "85+")</f>
        <v>40-44</v>
      </c>
      <c r="D6377" t="s">
        <v>7</v>
      </c>
    </row>
    <row r="6378" spans="1:4">
      <c r="A6378" t="s">
        <v>6</v>
      </c>
      <c r="B6378">
        <v>26</v>
      </c>
      <c r="C6378" t="str">
        <f>CHOOSE(MATCH(B6378, {20,25,30,35,40,45,50,55,60,65,70,75,80,85}, 1), "20-24", "25-29", "30-34", "35-39", "40-44", "45-49", "50-54", "55-59", "60-64", "65-69", "70-74", "75-79", "80-84", "85+")</f>
        <v>25-29</v>
      </c>
      <c r="D6378" t="s">
        <v>7</v>
      </c>
    </row>
    <row r="6379" spans="1:4">
      <c r="A6379" t="s">
        <v>6</v>
      </c>
      <c r="B6379">
        <v>46</v>
      </c>
      <c r="C6379" t="str">
        <f>CHOOSE(MATCH(B6379, {20,25,30,35,40,45,50,55,60,65,70,75,80,85}, 1), "20-24", "25-29", "30-34", "35-39", "40-44", "45-49", "50-54", "55-59", "60-64", "65-69", "70-74", "75-79", "80-84", "85+")</f>
        <v>45-49</v>
      </c>
      <c r="D6379" t="s">
        <v>8</v>
      </c>
    </row>
    <row r="6380" spans="1:4">
      <c r="A6380" t="s">
        <v>6</v>
      </c>
      <c r="B6380">
        <v>25</v>
      </c>
      <c r="C6380" t="str">
        <f>CHOOSE(MATCH(B6380, {20,25,30,35,40,45,50,55,60,65,70,75,80,85}, 1), "20-24", "25-29", "30-34", "35-39", "40-44", "45-49", "50-54", "55-59", "60-64", "65-69", "70-74", "75-79", "80-84", "85+")</f>
        <v>25-29</v>
      </c>
      <c r="D6380" t="s">
        <v>7</v>
      </c>
    </row>
    <row r="6381" spans="1:4">
      <c r="A6381" t="s">
        <v>6</v>
      </c>
      <c r="B6381">
        <v>29</v>
      </c>
      <c r="C6381" t="str">
        <f>CHOOSE(MATCH(B6381, {20,25,30,35,40,45,50,55,60,65,70,75,80,85}, 1), "20-24", "25-29", "30-34", "35-39", "40-44", "45-49", "50-54", "55-59", "60-64", "65-69", "70-74", "75-79", "80-84", "85+")</f>
        <v>25-29</v>
      </c>
      <c r="D6381" t="s">
        <v>7</v>
      </c>
    </row>
    <row r="6382" spans="1:4">
      <c r="A6382" t="s">
        <v>6</v>
      </c>
      <c r="B6382">
        <v>27</v>
      </c>
      <c r="C6382" t="str">
        <f>CHOOSE(MATCH(B6382, {20,25,30,35,40,45,50,55,60,65,70,75,80,85}, 1), "20-24", "25-29", "30-34", "35-39", "40-44", "45-49", "50-54", "55-59", "60-64", "65-69", "70-74", "75-79", "80-84", "85+")</f>
        <v>25-29</v>
      </c>
      <c r="D6382" t="s">
        <v>8</v>
      </c>
    </row>
    <row r="6383" spans="1:4">
      <c r="A6383" t="s">
        <v>6</v>
      </c>
      <c r="B6383">
        <v>69</v>
      </c>
      <c r="C6383" t="str">
        <f>CHOOSE(MATCH(B6383, {20,25,30,35,40,45,50,55,60,65,70,75,80,85}, 1), "20-24", "25-29", "30-34", "35-39", "40-44", "45-49", "50-54", "55-59", "60-64", "65-69", "70-74", "75-79", "80-84", "85+")</f>
        <v>65-69</v>
      </c>
      <c r="D6383" t="s">
        <v>8</v>
      </c>
    </row>
    <row r="6384" spans="1:4">
      <c r="A6384" t="s">
        <v>6</v>
      </c>
      <c r="B6384">
        <v>41</v>
      </c>
      <c r="C6384" t="str">
        <f>CHOOSE(MATCH(B6384, {20,25,30,35,40,45,50,55,60,65,70,75,80,85}, 1), "20-24", "25-29", "30-34", "35-39", "40-44", "45-49", "50-54", "55-59", "60-64", "65-69", "70-74", "75-79", "80-84", "85+")</f>
        <v>40-44</v>
      </c>
      <c r="D6384" t="s">
        <v>8</v>
      </c>
    </row>
    <row r="6385" spans="1:4">
      <c r="A6385" t="s">
        <v>6</v>
      </c>
      <c r="B6385">
        <v>26</v>
      </c>
      <c r="C6385" t="str">
        <f>CHOOSE(MATCH(B6385, {20,25,30,35,40,45,50,55,60,65,70,75,80,85}, 1), "20-24", "25-29", "30-34", "35-39", "40-44", "45-49", "50-54", "55-59", "60-64", "65-69", "70-74", "75-79", "80-84", "85+")</f>
        <v>25-29</v>
      </c>
      <c r="D6385" t="s">
        <v>8</v>
      </c>
    </row>
    <row r="6386" spans="1:4">
      <c r="A6386" t="s">
        <v>6</v>
      </c>
      <c r="B6386">
        <v>34</v>
      </c>
      <c r="C6386" t="str">
        <f>CHOOSE(MATCH(B6386, {20,25,30,35,40,45,50,55,60,65,70,75,80,85}, 1), "20-24", "25-29", "30-34", "35-39", "40-44", "45-49", "50-54", "55-59", "60-64", "65-69", "70-74", "75-79", "80-84", "85+")</f>
        <v>30-34</v>
      </c>
      <c r="D6386" t="s">
        <v>8</v>
      </c>
    </row>
    <row r="6387" spans="1:4">
      <c r="A6387" t="s">
        <v>6</v>
      </c>
      <c r="B6387">
        <v>49</v>
      </c>
      <c r="C6387" t="str">
        <f>CHOOSE(MATCH(B6387, {20,25,30,35,40,45,50,55,60,65,70,75,80,85}, 1), "20-24", "25-29", "30-34", "35-39", "40-44", "45-49", "50-54", "55-59", "60-64", "65-69", "70-74", "75-79", "80-84", "85+")</f>
        <v>45-49</v>
      </c>
      <c r="D6387" t="s">
        <v>8</v>
      </c>
    </row>
    <row r="6388" spans="1:4">
      <c r="A6388" t="s">
        <v>6</v>
      </c>
      <c r="B6388">
        <v>31</v>
      </c>
      <c r="C6388" t="str">
        <f>CHOOSE(MATCH(B6388, {20,25,30,35,40,45,50,55,60,65,70,75,80,85}, 1), "20-24", "25-29", "30-34", "35-39", "40-44", "45-49", "50-54", "55-59", "60-64", "65-69", "70-74", "75-79", "80-84", "85+")</f>
        <v>30-34</v>
      </c>
      <c r="D6388" t="s">
        <v>8</v>
      </c>
    </row>
    <row r="6389" spans="1:4">
      <c r="A6389" t="s">
        <v>6</v>
      </c>
      <c r="B6389">
        <v>74</v>
      </c>
      <c r="C6389" t="str">
        <f>CHOOSE(MATCH(B6389, {20,25,30,35,40,45,50,55,60,65,70,75,80,85}, 1), "20-24", "25-29", "30-34", "35-39", "40-44", "45-49", "50-54", "55-59", "60-64", "65-69", "70-74", "75-79", "80-84", "85+")</f>
        <v>70-74</v>
      </c>
      <c r="D6389" t="s">
        <v>8</v>
      </c>
    </row>
    <row r="6390" spans="1:4">
      <c r="A6390" t="s">
        <v>6</v>
      </c>
      <c r="B6390">
        <v>56</v>
      </c>
      <c r="C6390" t="str">
        <f>CHOOSE(MATCH(B6390, {20,25,30,35,40,45,50,55,60,65,70,75,80,85}, 1), "20-24", "25-29", "30-34", "35-39", "40-44", "45-49", "50-54", "55-59", "60-64", "65-69", "70-74", "75-79", "80-84", "85+")</f>
        <v>55-59</v>
      </c>
      <c r="D6390" t="s">
        <v>7</v>
      </c>
    </row>
    <row r="6391" spans="1:4">
      <c r="A6391" t="s">
        <v>6</v>
      </c>
      <c r="B6391">
        <v>23</v>
      </c>
      <c r="C6391" t="str">
        <f>CHOOSE(MATCH(B6391, {20,25,30,35,40,45,50,55,60,65,70,75,80,85}, 1), "20-24", "25-29", "30-34", "35-39", "40-44", "45-49", "50-54", "55-59", "60-64", "65-69", "70-74", "75-79", "80-84", "85+")</f>
        <v>20-24</v>
      </c>
      <c r="D6391" t="s">
        <v>7</v>
      </c>
    </row>
    <row r="6392" spans="1:4">
      <c r="A6392" t="s">
        <v>6</v>
      </c>
      <c r="B6392">
        <v>31</v>
      </c>
      <c r="C6392" t="str">
        <f>CHOOSE(MATCH(B6392, {20,25,30,35,40,45,50,55,60,65,70,75,80,85}, 1), "20-24", "25-29", "30-34", "35-39", "40-44", "45-49", "50-54", "55-59", "60-64", "65-69", "70-74", "75-79", "80-84", "85+")</f>
        <v>30-34</v>
      </c>
      <c r="D6392" t="s">
        <v>7</v>
      </c>
    </row>
    <row r="6393" spans="1:4">
      <c r="A6393" t="s">
        <v>6</v>
      </c>
      <c r="B6393">
        <v>45</v>
      </c>
      <c r="C6393" t="str">
        <f>CHOOSE(MATCH(B6393, {20,25,30,35,40,45,50,55,60,65,70,75,80,85}, 1), "20-24", "25-29", "30-34", "35-39", "40-44", "45-49", "50-54", "55-59", "60-64", "65-69", "70-74", "75-79", "80-84", "85+")</f>
        <v>45-49</v>
      </c>
      <c r="D6393" t="s">
        <v>7</v>
      </c>
    </row>
    <row r="6394" spans="1:4">
      <c r="A6394" t="s">
        <v>6</v>
      </c>
      <c r="B6394">
        <v>69</v>
      </c>
      <c r="C6394" t="str">
        <f>CHOOSE(MATCH(B6394, {20,25,30,35,40,45,50,55,60,65,70,75,80,85}, 1), "20-24", "25-29", "30-34", "35-39", "40-44", "45-49", "50-54", "55-59", "60-64", "65-69", "70-74", "75-79", "80-84", "85+")</f>
        <v>65-69</v>
      </c>
      <c r="D6394" t="s">
        <v>8</v>
      </c>
    </row>
    <row r="6395" spans="1:4">
      <c r="A6395" t="s">
        <v>6</v>
      </c>
      <c r="B6395">
        <v>32</v>
      </c>
      <c r="C6395" t="str">
        <f>CHOOSE(MATCH(B6395, {20,25,30,35,40,45,50,55,60,65,70,75,80,85}, 1), "20-24", "25-29", "30-34", "35-39", "40-44", "45-49", "50-54", "55-59", "60-64", "65-69", "70-74", "75-79", "80-84", "85+")</f>
        <v>30-34</v>
      </c>
      <c r="D6395" t="s">
        <v>7</v>
      </c>
    </row>
    <row r="6396" spans="1:4">
      <c r="A6396" t="s">
        <v>6</v>
      </c>
      <c r="B6396">
        <v>32</v>
      </c>
      <c r="C6396" t="str">
        <f>CHOOSE(MATCH(B6396, {20,25,30,35,40,45,50,55,60,65,70,75,80,85}, 1), "20-24", "25-29", "30-34", "35-39", "40-44", "45-49", "50-54", "55-59", "60-64", "65-69", "70-74", "75-79", "80-84", "85+")</f>
        <v>30-34</v>
      </c>
      <c r="D6396" t="s">
        <v>7</v>
      </c>
    </row>
    <row r="6397" spans="1:4">
      <c r="A6397" t="s">
        <v>6</v>
      </c>
      <c r="B6397">
        <v>55</v>
      </c>
      <c r="C6397" t="str">
        <f>CHOOSE(MATCH(B6397, {20,25,30,35,40,45,50,55,60,65,70,75,80,85}, 1), "20-24", "25-29", "30-34", "35-39", "40-44", "45-49", "50-54", "55-59", "60-64", "65-69", "70-74", "75-79", "80-84", "85+")</f>
        <v>55-59</v>
      </c>
      <c r="D6397" t="s">
        <v>7</v>
      </c>
    </row>
    <row r="6398" spans="1:4">
      <c r="A6398" t="s">
        <v>6</v>
      </c>
      <c r="B6398">
        <v>55</v>
      </c>
      <c r="C6398" t="str">
        <f>CHOOSE(MATCH(B6398, {20,25,30,35,40,45,50,55,60,65,70,75,80,85}, 1), "20-24", "25-29", "30-34", "35-39", "40-44", "45-49", "50-54", "55-59", "60-64", "65-69", "70-74", "75-79", "80-84", "85+")</f>
        <v>55-59</v>
      </c>
      <c r="D6398" t="s">
        <v>7</v>
      </c>
    </row>
    <row r="6399" spans="1:4">
      <c r="A6399" t="s">
        <v>6</v>
      </c>
      <c r="B6399">
        <v>47</v>
      </c>
      <c r="C6399" t="str">
        <f>CHOOSE(MATCH(B6399, {20,25,30,35,40,45,50,55,60,65,70,75,80,85}, 1), "20-24", "25-29", "30-34", "35-39", "40-44", "45-49", "50-54", "55-59", "60-64", "65-69", "70-74", "75-79", "80-84", "85+")</f>
        <v>45-49</v>
      </c>
      <c r="D6399" t="s">
        <v>7</v>
      </c>
    </row>
    <row r="6400" spans="1:4">
      <c r="A6400" t="s">
        <v>6</v>
      </c>
      <c r="B6400">
        <v>30</v>
      </c>
      <c r="C6400" t="str">
        <f>CHOOSE(MATCH(B6400, {20,25,30,35,40,45,50,55,60,65,70,75,80,85}, 1), "20-24", "25-29", "30-34", "35-39", "40-44", "45-49", "50-54", "55-59", "60-64", "65-69", "70-74", "75-79", "80-84", "85+")</f>
        <v>30-34</v>
      </c>
      <c r="D6400" t="s">
        <v>7</v>
      </c>
    </row>
    <row r="6401" spans="1:4">
      <c r="A6401" t="s">
        <v>6</v>
      </c>
      <c r="B6401">
        <v>68</v>
      </c>
      <c r="C6401" t="str">
        <f>CHOOSE(MATCH(B6401, {20,25,30,35,40,45,50,55,60,65,70,75,80,85}, 1), "20-24", "25-29", "30-34", "35-39", "40-44", "45-49", "50-54", "55-59", "60-64", "65-69", "70-74", "75-79", "80-84", "85+")</f>
        <v>65-69</v>
      </c>
      <c r="D6401" t="s">
        <v>7</v>
      </c>
    </row>
    <row r="6402" spans="1:4">
      <c r="A6402" t="s">
        <v>6</v>
      </c>
      <c r="B6402">
        <v>34</v>
      </c>
      <c r="C6402" t="str">
        <f>CHOOSE(MATCH(B6402, {20,25,30,35,40,45,50,55,60,65,70,75,80,85}, 1), "20-24", "25-29", "30-34", "35-39", "40-44", "45-49", "50-54", "55-59", "60-64", "65-69", "70-74", "75-79", "80-84", "85+")</f>
        <v>30-34</v>
      </c>
      <c r="D6402" t="s">
        <v>7</v>
      </c>
    </row>
    <row r="6403" spans="1:4">
      <c r="A6403" t="s">
        <v>6</v>
      </c>
      <c r="B6403">
        <v>32</v>
      </c>
      <c r="C6403" t="str">
        <f>CHOOSE(MATCH(B6403, {20,25,30,35,40,45,50,55,60,65,70,75,80,85}, 1), "20-24", "25-29", "30-34", "35-39", "40-44", "45-49", "50-54", "55-59", "60-64", "65-69", "70-74", "75-79", "80-84", "85+")</f>
        <v>30-34</v>
      </c>
      <c r="D6403" t="s">
        <v>7</v>
      </c>
    </row>
    <row r="6404" spans="1:4">
      <c r="A6404" t="s">
        <v>6</v>
      </c>
      <c r="B6404">
        <v>23</v>
      </c>
      <c r="C6404" t="str">
        <f>CHOOSE(MATCH(B6404, {20,25,30,35,40,45,50,55,60,65,70,75,80,85}, 1), "20-24", "25-29", "30-34", "35-39", "40-44", "45-49", "50-54", "55-59", "60-64", "65-69", "70-74", "75-79", "80-84", "85+")</f>
        <v>20-24</v>
      </c>
      <c r="D6404" t="s">
        <v>7</v>
      </c>
    </row>
    <row r="6405" spans="1:4">
      <c r="A6405" t="s">
        <v>6</v>
      </c>
      <c r="B6405">
        <v>29</v>
      </c>
      <c r="C6405" t="str">
        <f>CHOOSE(MATCH(B6405, {20,25,30,35,40,45,50,55,60,65,70,75,80,85}, 1), "20-24", "25-29", "30-34", "35-39", "40-44", "45-49", "50-54", "55-59", "60-64", "65-69", "70-74", "75-79", "80-84", "85+")</f>
        <v>25-29</v>
      </c>
      <c r="D6405" t="s">
        <v>8</v>
      </c>
    </row>
    <row r="6406" spans="1:4">
      <c r="A6406" t="s">
        <v>6</v>
      </c>
      <c r="B6406">
        <v>34</v>
      </c>
      <c r="C6406" t="str">
        <f>CHOOSE(MATCH(B6406, {20,25,30,35,40,45,50,55,60,65,70,75,80,85}, 1), "20-24", "25-29", "30-34", "35-39", "40-44", "45-49", "50-54", "55-59", "60-64", "65-69", "70-74", "75-79", "80-84", "85+")</f>
        <v>30-34</v>
      </c>
      <c r="D6406" t="s">
        <v>7</v>
      </c>
    </row>
    <row r="6407" spans="1:4">
      <c r="A6407" t="s">
        <v>6</v>
      </c>
      <c r="B6407">
        <v>40</v>
      </c>
      <c r="C6407" t="str">
        <f>CHOOSE(MATCH(B6407, {20,25,30,35,40,45,50,55,60,65,70,75,80,85}, 1), "20-24", "25-29", "30-34", "35-39", "40-44", "45-49", "50-54", "55-59", "60-64", "65-69", "70-74", "75-79", "80-84", "85+")</f>
        <v>40-44</v>
      </c>
      <c r="D6407" t="s">
        <v>7</v>
      </c>
    </row>
    <row r="6408" spans="1:4">
      <c r="A6408" t="s">
        <v>6</v>
      </c>
      <c r="B6408">
        <v>37</v>
      </c>
      <c r="C6408" t="str">
        <f>CHOOSE(MATCH(B6408, {20,25,30,35,40,45,50,55,60,65,70,75,80,85}, 1), "20-24", "25-29", "30-34", "35-39", "40-44", "45-49", "50-54", "55-59", "60-64", "65-69", "70-74", "75-79", "80-84", "85+")</f>
        <v>35-39</v>
      </c>
      <c r="D6408" t="s">
        <v>8</v>
      </c>
    </row>
    <row r="6409" spans="1:4">
      <c r="A6409" t="s">
        <v>6</v>
      </c>
      <c r="B6409">
        <v>29</v>
      </c>
      <c r="C6409" t="str">
        <f>CHOOSE(MATCH(B6409, {20,25,30,35,40,45,50,55,60,65,70,75,80,85}, 1), "20-24", "25-29", "30-34", "35-39", "40-44", "45-49", "50-54", "55-59", "60-64", "65-69", "70-74", "75-79", "80-84", "85+")</f>
        <v>25-29</v>
      </c>
      <c r="D6409" t="s">
        <v>7</v>
      </c>
    </row>
    <row r="6410" spans="1:4">
      <c r="A6410" t="s">
        <v>6</v>
      </c>
      <c r="B6410">
        <v>37</v>
      </c>
      <c r="C6410" t="str">
        <f>CHOOSE(MATCH(B6410, {20,25,30,35,40,45,50,55,60,65,70,75,80,85}, 1), "20-24", "25-29", "30-34", "35-39", "40-44", "45-49", "50-54", "55-59", "60-64", "65-69", "70-74", "75-79", "80-84", "85+")</f>
        <v>35-39</v>
      </c>
      <c r="D6410" t="s">
        <v>7</v>
      </c>
    </row>
    <row r="6411" spans="1:4">
      <c r="A6411" t="s">
        <v>6</v>
      </c>
      <c r="B6411">
        <v>28</v>
      </c>
      <c r="C6411" t="str">
        <f>CHOOSE(MATCH(B6411, {20,25,30,35,40,45,50,55,60,65,70,75,80,85}, 1), "20-24", "25-29", "30-34", "35-39", "40-44", "45-49", "50-54", "55-59", "60-64", "65-69", "70-74", "75-79", "80-84", "85+")</f>
        <v>25-29</v>
      </c>
      <c r="D6411" t="s">
        <v>7</v>
      </c>
    </row>
    <row r="6412" spans="1:4">
      <c r="A6412" t="s">
        <v>6</v>
      </c>
      <c r="B6412">
        <v>52</v>
      </c>
      <c r="C6412" t="str">
        <f>CHOOSE(MATCH(B6412, {20,25,30,35,40,45,50,55,60,65,70,75,80,85}, 1), "20-24", "25-29", "30-34", "35-39", "40-44", "45-49", "50-54", "55-59", "60-64", "65-69", "70-74", "75-79", "80-84", "85+")</f>
        <v>50-54</v>
      </c>
      <c r="D6412" t="s">
        <v>8</v>
      </c>
    </row>
    <row r="6413" spans="1:4">
      <c r="A6413" t="s">
        <v>6</v>
      </c>
      <c r="B6413">
        <v>35</v>
      </c>
      <c r="C6413" t="str">
        <f>CHOOSE(MATCH(B6413, {20,25,30,35,40,45,50,55,60,65,70,75,80,85}, 1), "20-24", "25-29", "30-34", "35-39", "40-44", "45-49", "50-54", "55-59", "60-64", "65-69", "70-74", "75-79", "80-84", "85+")</f>
        <v>35-39</v>
      </c>
      <c r="D6413" t="s">
        <v>7</v>
      </c>
    </row>
    <row r="6414" spans="1:4">
      <c r="A6414" t="s">
        <v>6</v>
      </c>
      <c r="B6414">
        <v>53</v>
      </c>
      <c r="C6414" t="str">
        <f>CHOOSE(MATCH(B6414, {20,25,30,35,40,45,50,55,60,65,70,75,80,85}, 1), "20-24", "25-29", "30-34", "35-39", "40-44", "45-49", "50-54", "55-59", "60-64", "65-69", "70-74", "75-79", "80-84", "85+")</f>
        <v>50-54</v>
      </c>
      <c r="D6414" t="s">
        <v>8</v>
      </c>
    </row>
    <row r="6415" spans="1:4">
      <c r="A6415" t="s">
        <v>6</v>
      </c>
      <c r="B6415">
        <v>22</v>
      </c>
      <c r="C6415" t="str">
        <f>CHOOSE(MATCH(B6415, {20,25,30,35,40,45,50,55,60,65,70,75,80,85}, 1), "20-24", "25-29", "30-34", "35-39", "40-44", "45-49", "50-54", "55-59", "60-64", "65-69", "70-74", "75-79", "80-84", "85+")</f>
        <v>20-24</v>
      </c>
      <c r="D6415" t="s">
        <v>7</v>
      </c>
    </row>
    <row r="6416" spans="1:4">
      <c r="A6416" t="s">
        <v>6</v>
      </c>
      <c r="B6416">
        <v>52</v>
      </c>
      <c r="C6416" t="str">
        <f>CHOOSE(MATCH(B6416, {20,25,30,35,40,45,50,55,60,65,70,75,80,85}, 1), "20-24", "25-29", "30-34", "35-39", "40-44", "45-49", "50-54", "55-59", "60-64", "65-69", "70-74", "75-79", "80-84", "85+")</f>
        <v>50-54</v>
      </c>
      <c r="D6416" t="s">
        <v>7</v>
      </c>
    </row>
    <row r="6417" spans="1:4">
      <c r="A6417" t="s">
        <v>6</v>
      </c>
      <c r="B6417">
        <v>32</v>
      </c>
      <c r="C6417" t="str">
        <f>CHOOSE(MATCH(B6417, {20,25,30,35,40,45,50,55,60,65,70,75,80,85}, 1), "20-24", "25-29", "30-34", "35-39", "40-44", "45-49", "50-54", "55-59", "60-64", "65-69", "70-74", "75-79", "80-84", "85+")</f>
        <v>30-34</v>
      </c>
      <c r="D6417" t="s">
        <v>7</v>
      </c>
    </row>
    <row r="6418" spans="1:4">
      <c r="A6418" t="s">
        <v>6</v>
      </c>
      <c r="B6418">
        <v>60</v>
      </c>
      <c r="C6418" t="str">
        <f>CHOOSE(MATCH(B6418, {20,25,30,35,40,45,50,55,60,65,70,75,80,85}, 1), "20-24", "25-29", "30-34", "35-39", "40-44", "45-49", "50-54", "55-59", "60-64", "65-69", "70-74", "75-79", "80-84", "85+")</f>
        <v>60-64</v>
      </c>
      <c r="D6418" t="s">
        <v>8</v>
      </c>
    </row>
    <row r="6419" spans="1:4">
      <c r="A6419" t="s">
        <v>6</v>
      </c>
      <c r="B6419">
        <v>61</v>
      </c>
      <c r="C6419" t="str">
        <f>CHOOSE(MATCH(B6419, {20,25,30,35,40,45,50,55,60,65,70,75,80,85}, 1), "20-24", "25-29", "30-34", "35-39", "40-44", "45-49", "50-54", "55-59", "60-64", "65-69", "70-74", "75-79", "80-84", "85+")</f>
        <v>60-64</v>
      </c>
      <c r="D6419" t="s">
        <v>7</v>
      </c>
    </row>
    <row r="6420" spans="1:4">
      <c r="A6420" t="s">
        <v>6</v>
      </c>
      <c r="B6420">
        <v>30</v>
      </c>
      <c r="C6420" t="str">
        <f>CHOOSE(MATCH(B6420, {20,25,30,35,40,45,50,55,60,65,70,75,80,85}, 1), "20-24", "25-29", "30-34", "35-39", "40-44", "45-49", "50-54", "55-59", "60-64", "65-69", "70-74", "75-79", "80-84", "85+")</f>
        <v>30-34</v>
      </c>
      <c r="D6420" t="s">
        <v>8</v>
      </c>
    </row>
    <row r="6421" spans="1:4">
      <c r="A6421" t="s">
        <v>6</v>
      </c>
      <c r="B6421">
        <v>28</v>
      </c>
      <c r="C6421" t="str">
        <f>CHOOSE(MATCH(B6421, {20,25,30,35,40,45,50,55,60,65,70,75,80,85}, 1), "20-24", "25-29", "30-34", "35-39", "40-44", "45-49", "50-54", "55-59", "60-64", "65-69", "70-74", "75-79", "80-84", "85+")</f>
        <v>25-29</v>
      </c>
      <c r="D6421" t="s">
        <v>7</v>
      </c>
    </row>
    <row r="6422" spans="1:4">
      <c r="A6422" t="s">
        <v>6</v>
      </c>
      <c r="B6422">
        <v>34</v>
      </c>
      <c r="C6422" t="str">
        <f>CHOOSE(MATCH(B6422, {20,25,30,35,40,45,50,55,60,65,70,75,80,85}, 1), "20-24", "25-29", "30-34", "35-39", "40-44", "45-49", "50-54", "55-59", "60-64", "65-69", "70-74", "75-79", "80-84", "85+")</f>
        <v>30-34</v>
      </c>
      <c r="D6422" t="s">
        <v>8</v>
      </c>
    </row>
    <row r="6423" spans="1:4">
      <c r="A6423" t="s">
        <v>6</v>
      </c>
      <c r="B6423">
        <v>42</v>
      </c>
      <c r="C6423" t="str">
        <f>CHOOSE(MATCH(B6423, {20,25,30,35,40,45,50,55,60,65,70,75,80,85}, 1), "20-24", "25-29", "30-34", "35-39", "40-44", "45-49", "50-54", "55-59", "60-64", "65-69", "70-74", "75-79", "80-84", "85+")</f>
        <v>40-44</v>
      </c>
      <c r="D6423" t="s">
        <v>7</v>
      </c>
    </row>
    <row r="6424" spans="1:4">
      <c r="A6424" t="s">
        <v>6</v>
      </c>
      <c r="B6424">
        <v>35</v>
      </c>
      <c r="C6424" t="str">
        <f>CHOOSE(MATCH(B6424, {20,25,30,35,40,45,50,55,60,65,70,75,80,85}, 1), "20-24", "25-29", "30-34", "35-39", "40-44", "45-49", "50-54", "55-59", "60-64", "65-69", "70-74", "75-79", "80-84", "85+")</f>
        <v>35-39</v>
      </c>
      <c r="D6424" t="s">
        <v>7</v>
      </c>
    </row>
    <row r="6425" spans="1:4">
      <c r="A6425" t="s">
        <v>6</v>
      </c>
      <c r="B6425">
        <v>43</v>
      </c>
      <c r="C6425" t="str">
        <f>CHOOSE(MATCH(B6425, {20,25,30,35,40,45,50,55,60,65,70,75,80,85}, 1), "20-24", "25-29", "30-34", "35-39", "40-44", "45-49", "50-54", "55-59", "60-64", "65-69", "70-74", "75-79", "80-84", "85+")</f>
        <v>40-44</v>
      </c>
      <c r="D6425" t="s">
        <v>8</v>
      </c>
    </row>
    <row r="6426" spans="1:4">
      <c r="A6426" t="s">
        <v>6</v>
      </c>
      <c r="B6426">
        <v>63</v>
      </c>
      <c r="C6426" t="str">
        <f>CHOOSE(MATCH(B6426, {20,25,30,35,40,45,50,55,60,65,70,75,80,85}, 1), "20-24", "25-29", "30-34", "35-39", "40-44", "45-49", "50-54", "55-59", "60-64", "65-69", "70-74", "75-79", "80-84", "85+")</f>
        <v>60-64</v>
      </c>
      <c r="D6426" t="s">
        <v>8</v>
      </c>
    </row>
    <row r="6427" spans="1:4">
      <c r="A6427" t="s">
        <v>6</v>
      </c>
      <c r="B6427">
        <v>23</v>
      </c>
      <c r="C6427" t="str">
        <f>CHOOSE(MATCH(B6427, {20,25,30,35,40,45,50,55,60,65,70,75,80,85}, 1), "20-24", "25-29", "30-34", "35-39", "40-44", "45-49", "50-54", "55-59", "60-64", "65-69", "70-74", "75-79", "80-84", "85+")</f>
        <v>20-24</v>
      </c>
      <c r="D6427" t="s">
        <v>7</v>
      </c>
    </row>
    <row r="6428" spans="1:4">
      <c r="A6428" t="s">
        <v>6</v>
      </c>
      <c r="B6428">
        <v>70</v>
      </c>
      <c r="C6428" t="str">
        <f>CHOOSE(MATCH(B6428, {20,25,30,35,40,45,50,55,60,65,70,75,80,85}, 1), "20-24", "25-29", "30-34", "35-39", "40-44", "45-49", "50-54", "55-59", "60-64", "65-69", "70-74", "75-79", "80-84", "85+")</f>
        <v>70-74</v>
      </c>
      <c r="D6428" t="s">
        <v>8</v>
      </c>
    </row>
    <row r="6429" spans="1:4">
      <c r="A6429" t="s">
        <v>6</v>
      </c>
      <c r="B6429">
        <v>37</v>
      </c>
      <c r="C6429" t="str">
        <f>CHOOSE(MATCH(B6429, {20,25,30,35,40,45,50,55,60,65,70,75,80,85}, 1), "20-24", "25-29", "30-34", "35-39", "40-44", "45-49", "50-54", "55-59", "60-64", "65-69", "70-74", "75-79", "80-84", "85+")</f>
        <v>35-39</v>
      </c>
      <c r="D6429" t="s">
        <v>7</v>
      </c>
    </row>
    <row r="6430" spans="1:4">
      <c r="A6430" t="s">
        <v>6</v>
      </c>
      <c r="B6430">
        <v>23</v>
      </c>
      <c r="C6430" t="str">
        <f>CHOOSE(MATCH(B6430, {20,25,30,35,40,45,50,55,60,65,70,75,80,85}, 1), "20-24", "25-29", "30-34", "35-39", "40-44", "45-49", "50-54", "55-59", "60-64", "65-69", "70-74", "75-79", "80-84", "85+")</f>
        <v>20-24</v>
      </c>
      <c r="D6430" t="s">
        <v>8</v>
      </c>
    </row>
    <row r="6431" spans="1:4">
      <c r="A6431" t="s">
        <v>6</v>
      </c>
      <c r="B6431">
        <v>68</v>
      </c>
      <c r="C6431" t="str">
        <f>CHOOSE(MATCH(B6431, {20,25,30,35,40,45,50,55,60,65,70,75,80,85}, 1), "20-24", "25-29", "30-34", "35-39", "40-44", "45-49", "50-54", "55-59", "60-64", "65-69", "70-74", "75-79", "80-84", "85+")</f>
        <v>65-69</v>
      </c>
      <c r="D6431" t="s">
        <v>7</v>
      </c>
    </row>
    <row r="6432" spans="1:4">
      <c r="A6432" t="s">
        <v>6</v>
      </c>
      <c r="B6432">
        <v>37</v>
      </c>
      <c r="C6432" t="str">
        <f>CHOOSE(MATCH(B6432, {20,25,30,35,40,45,50,55,60,65,70,75,80,85}, 1), "20-24", "25-29", "30-34", "35-39", "40-44", "45-49", "50-54", "55-59", "60-64", "65-69", "70-74", "75-79", "80-84", "85+")</f>
        <v>35-39</v>
      </c>
      <c r="D6432" t="s">
        <v>7</v>
      </c>
    </row>
    <row r="6433" spans="1:4">
      <c r="A6433" t="s">
        <v>6</v>
      </c>
      <c r="B6433">
        <v>36</v>
      </c>
      <c r="C6433" t="str">
        <f>CHOOSE(MATCH(B6433, {20,25,30,35,40,45,50,55,60,65,70,75,80,85}, 1), "20-24", "25-29", "30-34", "35-39", "40-44", "45-49", "50-54", "55-59", "60-64", "65-69", "70-74", "75-79", "80-84", "85+")</f>
        <v>35-39</v>
      </c>
      <c r="D6433" t="s">
        <v>8</v>
      </c>
    </row>
    <row r="6434" spans="1:4">
      <c r="A6434" t="s">
        <v>6</v>
      </c>
      <c r="B6434">
        <v>24</v>
      </c>
      <c r="C6434" t="str">
        <f>CHOOSE(MATCH(B6434, {20,25,30,35,40,45,50,55,60,65,70,75,80,85}, 1), "20-24", "25-29", "30-34", "35-39", "40-44", "45-49", "50-54", "55-59", "60-64", "65-69", "70-74", "75-79", "80-84", "85+")</f>
        <v>20-24</v>
      </c>
      <c r="D6434" t="s">
        <v>7</v>
      </c>
    </row>
    <row r="6435" spans="1:4">
      <c r="A6435" t="s">
        <v>6</v>
      </c>
      <c r="B6435">
        <v>28</v>
      </c>
      <c r="C6435" t="str">
        <f>CHOOSE(MATCH(B6435, {20,25,30,35,40,45,50,55,60,65,70,75,80,85}, 1), "20-24", "25-29", "30-34", "35-39", "40-44", "45-49", "50-54", "55-59", "60-64", "65-69", "70-74", "75-79", "80-84", "85+")</f>
        <v>25-29</v>
      </c>
      <c r="D6435" t="s">
        <v>7</v>
      </c>
    </row>
    <row r="6436" spans="1:4">
      <c r="A6436" t="s">
        <v>6</v>
      </c>
      <c r="B6436">
        <v>54</v>
      </c>
      <c r="C6436" t="str">
        <f>CHOOSE(MATCH(B6436, {20,25,30,35,40,45,50,55,60,65,70,75,80,85}, 1), "20-24", "25-29", "30-34", "35-39", "40-44", "45-49", "50-54", "55-59", "60-64", "65-69", "70-74", "75-79", "80-84", "85+")</f>
        <v>50-54</v>
      </c>
      <c r="D6436" t="s">
        <v>8</v>
      </c>
    </row>
    <row r="6437" spans="1:4">
      <c r="A6437" t="s">
        <v>6</v>
      </c>
      <c r="B6437">
        <v>35</v>
      </c>
      <c r="C6437" t="str">
        <f>CHOOSE(MATCH(B6437, {20,25,30,35,40,45,50,55,60,65,70,75,80,85}, 1), "20-24", "25-29", "30-34", "35-39", "40-44", "45-49", "50-54", "55-59", "60-64", "65-69", "70-74", "75-79", "80-84", "85+")</f>
        <v>35-39</v>
      </c>
      <c r="D6437" t="s">
        <v>8</v>
      </c>
    </row>
    <row r="6438" spans="1:4">
      <c r="A6438" t="s">
        <v>6</v>
      </c>
      <c r="B6438">
        <v>77</v>
      </c>
      <c r="C6438" t="str">
        <f>CHOOSE(MATCH(B6438, {20,25,30,35,40,45,50,55,60,65,70,75,80,85}, 1), "20-24", "25-29", "30-34", "35-39", "40-44", "45-49", "50-54", "55-59", "60-64", "65-69", "70-74", "75-79", "80-84", "85+")</f>
        <v>75-79</v>
      </c>
      <c r="D6438" t="s">
        <v>7</v>
      </c>
    </row>
    <row r="6439" spans="1:4">
      <c r="A6439" t="s">
        <v>6</v>
      </c>
      <c r="B6439">
        <v>34</v>
      </c>
      <c r="C6439" t="str">
        <f>CHOOSE(MATCH(B6439, {20,25,30,35,40,45,50,55,60,65,70,75,80,85}, 1), "20-24", "25-29", "30-34", "35-39", "40-44", "45-49", "50-54", "55-59", "60-64", "65-69", "70-74", "75-79", "80-84", "85+")</f>
        <v>30-34</v>
      </c>
      <c r="D6439" t="s">
        <v>7</v>
      </c>
    </row>
    <row r="6440" spans="1:4">
      <c r="A6440" t="s">
        <v>6</v>
      </c>
      <c r="B6440">
        <v>25</v>
      </c>
      <c r="C6440" t="str">
        <f>CHOOSE(MATCH(B6440, {20,25,30,35,40,45,50,55,60,65,70,75,80,85}, 1), "20-24", "25-29", "30-34", "35-39", "40-44", "45-49", "50-54", "55-59", "60-64", "65-69", "70-74", "75-79", "80-84", "85+")</f>
        <v>25-29</v>
      </c>
      <c r="D6440" t="s">
        <v>7</v>
      </c>
    </row>
    <row r="6441" spans="1:4">
      <c r="A6441" t="s">
        <v>6</v>
      </c>
      <c r="B6441">
        <v>39</v>
      </c>
      <c r="C6441" t="str">
        <f>CHOOSE(MATCH(B6441, {20,25,30,35,40,45,50,55,60,65,70,75,80,85}, 1), "20-24", "25-29", "30-34", "35-39", "40-44", "45-49", "50-54", "55-59", "60-64", "65-69", "70-74", "75-79", "80-84", "85+")</f>
        <v>35-39</v>
      </c>
      <c r="D6441" t="s">
        <v>7</v>
      </c>
    </row>
    <row r="6442" spans="1:4">
      <c r="A6442" t="s">
        <v>6</v>
      </c>
      <c r="B6442">
        <v>38</v>
      </c>
      <c r="C6442" t="str">
        <f>CHOOSE(MATCH(B6442, {20,25,30,35,40,45,50,55,60,65,70,75,80,85}, 1), "20-24", "25-29", "30-34", "35-39", "40-44", "45-49", "50-54", "55-59", "60-64", "65-69", "70-74", "75-79", "80-84", "85+")</f>
        <v>35-39</v>
      </c>
      <c r="D6442" t="s">
        <v>8</v>
      </c>
    </row>
    <row r="6443" spans="1:4">
      <c r="A6443" t="s">
        <v>6</v>
      </c>
      <c r="B6443">
        <v>39</v>
      </c>
      <c r="C6443" t="str">
        <f>CHOOSE(MATCH(B6443, {20,25,30,35,40,45,50,55,60,65,70,75,80,85}, 1), "20-24", "25-29", "30-34", "35-39", "40-44", "45-49", "50-54", "55-59", "60-64", "65-69", "70-74", "75-79", "80-84", "85+")</f>
        <v>35-39</v>
      </c>
      <c r="D6443" t="s">
        <v>7</v>
      </c>
    </row>
    <row r="6444" spans="1:4">
      <c r="A6444" t="s">
        <v>6</v>
      </c>
      <c r="B6444">
        <v>36</v>
      </c>
      <c r="C6444" t="str">
        <f>CHOOSE(MATCH(B6444, {20,25,30,35,40,45,50,55,60,65,70,75,80,85}, 1), "20-24", "25-29", "30-34", "35-39", "40-44", "45-49", "50-54", "55-59", "60-64", "65-69", "70-74", "75-79", "80-84", "85+")</f>
        <v>35-39</v>
      </c>
      <c r="D6444" t="s">
        <v>7</v>
      </c>
    </row>
    <row r="6445" spans="1:4">
      <c r="A6445" t="s">
        <v>6</v>
      </c>
      <c r="B6445">
        <v>50</v>
      </c>
      <c r="C6445" t="str">
        <f>CHOOSE(MATCH(B6445, {20,25,30,35,40,45,50,55,60,65,70,75,80,85}, 1), "20-24", "25-29", "30-34", "35-39", "40-44", "45-49", "50-54", "55-59", "60-64", "65-69", "70-74", "75-79", "80-84", "85+")</f>
        <v>50-54</v>
      </c>
      <c r="D6445" t="s">
        <v>7</v>
      </c>
    </row>
    <row r="6446" spans="1:4">
      <c r="A6446" t="s">
        <v>6</v>
      </c>
      <c r="B6446">
        <v>26</v>
      </c>
      <c r="C6446" t="str">
        <f>CHOOSE(MATCH(B6446, {20,25,30,35,40,45,50,55,60,65,70,75,80,85}, 1), "20-24", "25-29", "30-34", "35-39", "40-44", "45-49", "50-54", "55-59", "60-64", "65-69", "70-74", "75-79", "80-84", "85+")</f>
        <v>25-29</v>
      </c>
      <c r="D6446" t="s">
        <v>8</v>
      </c>
    </row>
    <row r="6447" spans="1:4">
      <c r="A6447" t="s">
        <v>6</v>
      </c>
      <c r="B6447">
        <v>51</v>
      </c>
      <c r="C6447" t="str">
        <f>CHOOSE(MATCH(B6447, {20,25,30,35,40,45,50,55,60,65,70,75,80,85}, 1), "20-24", "25-29", "30-34", "35-39", "40-44", "45-49", "50-54", "55-59", "60-64", "65-69", "70-74", "75-79", "80-84", "85+")</f>
        <v>50-54</v>
      </c>
      <c r="D6447" t="s">
        <v>7</v>
      </c>
    </row>
    <row r="6448" spans="1:4">
      <c r="A6448" t="s">
        <v>6</v>
      </c>
      <c r="B6448">
        <v>65</v>
      </c>
      <c r="C6448" t="str">
        <f>CHOOSE(MATCH(B6448, {20,25,30,35,40,45,50,55,60,65,70,75,80,85}, 1), "20-24", "25-29", "30-34", "35-39", "40-44", "45-49", "50-54", "55-59", "60-64", "65-69", "70-74", "75-79", "80-84", "85+")</f>
        <v>65-69</v>
      </c>
      <c r="D6448" t="s">
        <v>7</v>
      </c>
    </row>
    <row r="6449" spans="1:4">
      <c r="A6449" t="s">
        <v>6</v>
      </c>
      <c r="B6449">
        <v>50</v>
      </c>
      <c r="C6449" t="str">
        <f>CHOOSE(MATCH(B6449, {20,25,30,35,40,45,50,55,60,65,70,75,80,85}, 1), "20-24", "25-29", "30-34", "35-39", "40-44", "45-49", "50-54", "55-59", "60-64", "65-69", "70-74", "75-79", "80-84", "85+")</f>
        <v>50-54</v>
      </c>
      <c r="D6449" t="s">
        <v>7</v>
      </c>
    </row>
    <row r="6450" spans="1:4">
      <c r="A6450" t="s">
        <v>6</v>
      </c>
      <c r="B6450">
        <v>27</v>
      </c>
      <c r="C6450" t="str">
        <f>CHOOSE(MATCH(B6450, {20,25,30,35,40,45,50,55,60,65,70,75,80,85}, 1), "20-24", "25-29", "30-34", "35-39", "40-44", "45-49", "50-54", "55-59", "60-64", "65-69", "70-74", "75-79", "80-84", "85+")</f>
        <v>25-29</v>
      </c>
      <c r="D6450" t="s">
        <v>8</v>
      </c>
    </row>
    <row r="6451" spans="1:4">
      <c r="A6451" t="s">
        <v>6</v>
      </c>
      <c r="B6451">
        <v>28</v>
      </c>
      <c r="C6451" t="str">
        <f>CHOOSE(MATCH(B6451, {20,25,30,35,40,45,50,55,60,65,70,75,80,85}, 1), "20-24", "25-29", "30-34", "35-39", "40-44", "45-49", "50-54", "55-59", "60-64", "65-69", "70-74", "75-79", "80-84", "85+")</f>
        <v>25-29</v>
      </c>
      <c r="D6451" t="s">
        <v>7</v>
      </c>
    </row>
    <row r="6452" spans="1:4">
      <c r="A6452" t="s">
        <v>6</v>
      </c>
      <c r="B6452">
        <v>49</v>
      </c>
      <c r="C6452" t="str">
        <f>CHOOSE(MATCH(B6452, {20,25,30,35,40,45,50,55,60,65,70,75,80,85}, 1), "20-24", "25-29", "30-34", "35-39", "40-44", "45-49", "50-54", "55-59", "60-64", "65-69", "70-74", "75-79", "80-84", "85+")</f>
        <v>45-49</v>
      </c>
      <c r="D6452" t="s">
        <v>7</v>
      </c>
    </row>
    <row r="6453" spans="1:4">
      <c r="A6453" t="s">
        <v>6</v>
      </c>
      <c r="B6453">
        <v>27</v>
      </c>
      <c r="C6453" t="str">
        <f>CHOOSE(MATCH(B6453, {20,25,30,35,40,45,50,55,60,65,70,75,80,85}, 1), "20-24", "25-29", "30-34", "35-39", "40-44", "45-49", "50-54", "55-59", "60-64", "65-69", "70-74", "75-79", "80-84", "85+")</f>
        <v>25-29</v>
      </c>
      <c r="D6453" t="s">
        <v>8</v>
      </c>
    </row>
    <row r="6454" spans="1:4">
      <c r="A6454" t="s">
        <v>6</v>
      </c>
      <c r="B6454">
        <v>32</v>
      </c>
      <c r="C6454" t="str">
        <f>CHOOSE(MATCH(B6454, {20,25,30,35,40,45,50,55,60,65,70,75,80,85}, 1), "20-24", "25-29", "30-34", "35-39", "40-44", "45-49", "50-54", "55-59", "60-64", "65-69", "70-74", "75-79", "80-84", "85+")</f>
        <v>30-34</v>
      </c>
      <c r="D6454" t="s">
        <v>7</v>
      </c>
    </row>
    <row r="6455" spans="1:4">
      <c r="A6455" t="s">
        <v>6</v>
      </c>
      <c r="B6455">
        <v>47</v>
      </c>
      <c r="C6455" t="str">
        <f>CHOOSE(MATCH(B6455, {20,25,30,35,40,45,50,55,60,65,70,75,80,85}, 1), "20-24", "25-29", "30-34", "35-39", "40-44", "45-49", "50-54", "55-59", "60-64", "65-69", "70-74", "75-79", "80-84", "85+")</f>
        <v>45-49</v>
      </c>
      <c r="D6455" t="s">
        <v>7</v>
      </c>
    </row>
    <row r="6456" spans="1:4">
      <c r="A6456" t="s">
        <v>6</v>
      </c>
      <c r="B6456">
        <v>41</v>
      </c>
      <c r="C6456" t="str">
        <f>CHOOSE(MATCH(B6456, {20,25,30,35,40,45,50,55,60,65,70,75,80,85}, 1), "20-24", "25-29", "30-34", "35-39", "40-44", "45-49", "50-54", "55-59", "60-64", "65-69", "70-74", "75-79", "80-84", "85+")</f>
        <v>40-44</v>
      </c>
      <c r="D6456" t="s">
        <v>7</v>
      </c>
    </row>
    <row r="6457" spans="1:4">
      <c r="A6457" t="s">
        <v>6</v>
      </c>
      <c r="B6457">
        <v>55</v>
      </c>
      <c r="C6457" t="str">
        <f>CHOOSE(MATCH(B6457, {20,25,30,35,40,45,50,55,60,65,70,75,80,85}, 1), "20-24", "25-29", "30-34", "35-39", "40-44", "45-49", "50-54", "55-59", "60-64", "65-69", "70-74", "75-79", "80-84", "85+")</f>
        <v>55-59</v>
      </c>
      <c r="D6457" t="s">
        <v>7</v>
      </c>
    </row>
    <row r="6458" spans="1:4">
      <c r="A6458" t="s">
        <v>6</v>
      </c>
      <c r="B6458">
        <v>53</v>
      </c>
      <c r="C6458" t="str">
        <f>CHOOSE(MATCH(B6458, {20,25,30,35,40,45,50,55,60,65,70,75,80,85}, 1), "20-24", "25-29", "30-34", "35-39", "40-44", "45-49", "50-54", "55-59", "60-64", "65-69", "70-74", "75-79", "80-84", "85+")</f>
        <v>50-54</v>
      </c>
      <c r="D6458" t="s">
        <v>7</v>
      </c>
    </row>
    <row r="6459" spans="1:4">
      <c r="A6459" t="s">
        <v>6</v>
      </c>
      <c r="B6459">
        <v>79</v>
      </c>
      <c r="C6459" t="str">
        <f>CHOOSE(MATCH(B6459, {20,25,30,35,40,45,50,55,60,65,70,75,80,85}, 1), "20-24", "25-29", "30-34", "35-39", "40-44", "45-49", "50-54", "55-59", "60-64", "65-69", "70-74", "75-79", "80-84", "85+")</f>
        <v>75-79</v>
      </c>
      <c r="D6459" t="s">
        <v>7</v>
      </c>
    </row>
    <row r="6460" spans="1:4">
      <c r="A6460" t="s">
        <v>6</v>
      </c>
      <c r="B6460">
        <v>32</v>
      </c>
      <c r="C6460" t="str">
        <f>CHOOSE(MATCH(B6460, {20,25,30,35,40,45,50,55,60,65,70,75,80,85}, 1), "20-24", "25-29", "30-34", "35-39", "40-44", "45-49", "50-54", "55-59", "60-64", "65-69", "70-74", "75-79", "80-84", "85+")</f>
        <v>30-34</v>
      </c>
      <c r="D6460" t="s">
        <v>7</v>
      </c>
    </row>
    <row r="6461" spans="1:4">
      <c r="A6461" t="s">
        <v>6</v>
      </c>
      <c r="B6461">
        <v>52</v>
      </c>
      <c r="C6461" t="str">
        <f>CHOOSE(MATCH(B6461, {20,25,30,35,40,45,50,55,60,65,70,75,80,85}, 1), "20-24", "25-29", "30-34", "35-39", "40-44", "45-49", "50-54", "55-59", "60-64", "65-69", "70-74", "75-79", "80-84", "85+")</f>
        <v>50-54</v>
      </c>
      <c r="D6461" t="s">
        <v>8</v>
      </c>
    </row>
    <row r="6462" spans="1:4">
      <c r="A6462" t="s">
        <v>6</v>
      </c>
      <c r="B6462">
        <v>29</v>
      </c>
      <c r="C6462" t="str">
        <f>CHOOSE(MATCH(B6462, {20,25,30,35,40,45,50,55,60,65,70,75,80,85}, 1), "20-24", "25-29", "30-34", "35-39", "40-44", "45-49", "50-54", "55-59", "60-64", "65-69", "70-74", "75-79", "80-84", "85+")</f>
        <v>25-29</v>
      </c>
      <c r="D6462" t="s">
        <v>7</v>
      </c>
    </row>
    <row r="6463" spans="1:4">
      <c r="A6463" t="s">
        <v>6</v>
      </c>
      <c r="B6463">
        <v>54</v>
      </c>
      <c r="C6463" t="str">
        <f>CHOOSE(MATCH(B6463, {20,25,30,35,40,45,50,55,60,65,70,75,80,85}, 1), "20-24", "25-29", "30-34", "35-39", "40-44", "45-49", "50-54", "55-59", "60-64", "65-69", "70-74", "75-79", "80-84", "85+")</f>
        <v>50-54</v>
      </c>
      <c r="D6463" t="s">
        <v>7</v>
      </c>
    </row>
    <row r="6464" spans="1:4">
      <c r="A6464" t="s">
        <v>6</v>
      </c>
      <c r="B6464">
        <v>25</v>
      </c>
      <c r="C6464" t="str">
        <f>CHOOSE(MATCH(B6464, {20,25,30,35,40,45,50,55,60,65,70,75,80,85}, 1), "20-24", "25-29", "30-34", "35-39", "40-44", "45-49", "50-54", "55-59", "60-64", "65-69", "70-74", "75-79", "80-84", "85+")</f>
        <v>25-29</v>
      </c>
      <c r="D6464" t="s">
        <v>8</v>
      </c>
    </row>
    <row r="6465" spans="1:4">
      <c r="A6465" t="s">
        <v>6</v>
      </c>
      <c r="B6465">
        <v>54</v>
      </c>
      <c r="C6465" t="str">
        <f>CHOOSE(MATCH(B6465, {20,25,30,35,40,45,50,55,60,65,70,75,80,85}, 1), "20-24", "25-29", "30-34", "35-39", "40-44", "45-49", "50-54", "55-59", "60-64", "65-69", "70-74", "75-79", "80-84", "85+")</f>
        <v>50-54</v>
      </c>
      <c r="D6465" t="s">
        <v>8</v>
      </c>
    </row>
    <row r="6466" spans="1:4">
      <c r="A6466" t="s">
        <v>6</v>
      </c>
      <c r="B6466">
        <v>73</v>
      </c>
      <c r="C6466" t="str">
        <f>CHOOSE(MATCH(B6466, {20,25,30,35,40,45,50,55,60,65,70,75,80,85}, 1), "20-24", "25-29", "30-34", "35-39", "40-44", "45-49", "50-54", "55-59", "60-64", "65-69", "70-74", "75-79", "80-84", "85+")</f>
        <v>70-74</v>
      </c>
      <c r="D6466" t="s">
        <v>7</v>
      </c>
    </row>
    <row r="6467" spans="1:4">
      <c r="A6467" t="s">
        <v>6</v>
      </c>
      <c r="B6467">
        <v>21</v>
      </c>
      <c r="C6467" t="str">
        <f>CHOOSE(MATCH(B6467, {20,25,30,35,40,45,50,55,60,65,70,75,80,85}, 1), "20-24", "25-29", "30-34", "35-39", "40-44", "45-49", "50-54", "55-59", "60-64", "65-69", "70-74", "75-79", "80-84", "85+")</f>
        <v>20-24</v>
      </c>
      <c r="D6467" t="s">
        <v>7</v>
      </c>
    </row>
    <row r="6468" spans="1:4">
      <c r="A6468" t="s">
        <v>6</v>
      </c>
      <c r="B6468">
        <v>60</v>
      </c>
      <c r="C6468" t="str">
        <f>CHOOSE(MATCH(B6468, {20,25,30,35,40,45,50,55,60,65,70,75,80,85}, 1), "20-24", "25-29", "30-34", "35-39", "40-44", "45-49", "50-54", "55-59", "60-64", "65-69", "70-74", "75-79", "80-84", "85+")</f>
        <v>60-64</v>
      </c>
      <c r="D6468" t="s">
        <v>8</v>
      </c>
    </row>
    <row r="6469" spans="1:4">
      <c r="A6469" t="s">
        <v>6</v>
      </c>
      <c r="B6469">
        <v>38</v>
      </c>
      <c r="C6469" t="str">
        <f>CHOOSE(MATCH(B6469, {20,25,30,35,40,45,50,55,60,65,70,75,80,85}, 1), "20-24", "25-29", "30-34", "35-39", "40-44", "45-49", "50-54", "55-59", "60-64", "65-69", "70-74", "75-79", "80-84", "85+")</f>
        <v>35-39</v>
      </c>
      <c r="D6469" t="s">
        <v>7</v>
      </c>
    </row>
    <row r="6470" spans="1:4">
      <c r="A6470" t="s">
        <v>6</v>
      </c>
      <c r="B6470">
        <v>29</v>
      </c>
      <c r="C6470" t="str">
        <f>CHOOSE(MATCH(B6470, {20,25,30,35,40,45,50,55,60,65,70,75,80,85}, 1), "20-24", "25-29", "30-34", "35-39", "40-44", "45-49", "50-54", "55-59", "60-64", "65-69", "70-74", "75-79", "80-84", "85+")</f>
        <v>25-29</v>
      </c>
      <c r="D6470" t="s">
        <v>8</v>
      </c>
    </row>
    <row r="6471" spans="1:4">
      <c r="A6471" t="s">
        <v>6</v>
      </c>
      <c r="B6471">
        <v>42</v>
      </c>
      <c r="C6471" t="str">
        <f>CHOOSE(MATCH(B6471, {20,25,30,35,40,45,50,55,60,65,70,75,80,85}, 1), "20-24", "25-29", "30-34", "35-39", "40-44", "45-49", "50-54", "55-59", "60-64", "65-69", "70-74", "75-79", "80-84", "85+")</f>
        <v>40-44</v>
      </c>
      <c r="D6471" t="s">
        <v>8</v>
      </c>
    </row>
    <row r="6472" spans="1:4">
      <c r="A6472" t="s">
        <v>6</v>
      </c>
      <c r="B6472">
        <v>49</v>
      </c>
      <c r="C6472" t="str">
        <f>CHOOSE(MATCH(B6472, {20,25,30,35,40,45,50,55,60,65,70,75,80,85}, 1), "20-24", "25-29", "30-34", "35-39", "40-44", "45-49", "50-54", "55-59", "60-64", "65-69", "70-74", "75-79", "80-84", "85+")</f>
        <v>45-49</v>
      </c>
      <c r="D6472" t="s">
        <v>8</v>
      </c>
    </row>
    <row r="6473" spans="1:4">
      <c r="A6473" t="s">
        <v>6</v>
      </c>
      <c r="B6473">
        <v>39</v>
      </c>
      <c r="C6473" t="str">
        <f>CHOOSE(MATCH(B6473, {20,25,30,35,40,45,50,55,60,65,70,75,80,85}, 1), "20-24", "25-29", "30-34", "35-39", "40-44", "45-49", "50-54", "55-59", "60-64", "65-69", "70-74", "75-79", "80-84", "85+")</f>
        <v>35-39</v>
      </c>
      <c r="D6473" t="s">
        <v>7</v>
      </c>
    </row>
    <row r="6474" spans="1:4">
      <c r="A6474" t="s">
        <v>6</v>
      </c>
      <c r="B6474">
        <v>31</v>
      </c>
      <c r="C6474" t="str">
        <f>CHOOSE(MATCH(B6474, {20,25,30,35,40,45,50,55,60,65,70,75,80,85}, 1), "20-24", "25-29", "30-34", "35-39", "40-44", "45-49", "50-54", "55-59", "60-64", "65-69", "70-74", "75-79", "80-84", "85+")</f>
        <v>30-34</v>
      </c>
      <c r="D6474" t="s">
        <v>8</v>
      </c>
    </row>
    <row r="6475" spans="1:4">
      <c r="A6475" t="s">
        <v>6</v>
      </c>
      <c r="B6475">
        <v>33</v>
      </c>
      <c r="C6475" t="str">
        <f>CHOOSE(MATCH(B6475, {20,25,30,35,40,45,50,55,60,65,70,75,80,85}, 1), "20-24", "25-29", "30-34", "35-39", "40-44", "45-49", "50-54", "55-59", "60-64", "65-69", "70-74", "75-79", "80-84", "85+")</f>
        <v>30-34</v>
      </c>
      <c r="D6475" t="s">
        <v>7</v>
      </c>
    </row>
    <row r="6476" spans="1:4">
      <c r="A6476" t="s">
        <v>6</v>
      </c>
      <c r="B6476">
        <v>34</v>
      </c>
      <c r="C6476" t="str">
        <f>CHOOSE(MATCH(B6476, {20,25,30,35,40,45,50,55,60,65,70,75,80,85}, 1), "20-24", "25-29", "30-34", "35-39", "40-44", "45-49", "50-54", "55-59", "60-64", "65-69", "70-74", "75-79", "80-84", "85+")</f>
        <v>30-34</v>
      </c>
      <c r="D6476" t="s">
        <v>7</v>
      </c>
    </row>
    <row r="6477" spans="1:4">
      <c r="A6477" t="s">
        <v>6</v>
      </c>
      <c r="B6477">
        <v>40</v>
      </c>
      <c r="C6477" t="str">
        <f>CHOOSE(MATCH(B6477, {20,25,30,35,40,45,50,55,60,65,70,75,80,85}, 1), "20-24", "25-29", "30-34", "35-39", "40-44", "45-49", "50-54", "55-59", "60-64", "65-69", "70-74", "75-79", "80-84", "85+")</f>
        <v>40-44</v>
      </c>
      <c r="D6477" t="s">
        <v>8</v>
      </c>
    </row>
    <row r="6478" spans="1:4">
      <c r="A6478" t="s">
        <v>6</v>
      </c>
      <c r="B6478">
        <v>37</v>
      </c>
      <c r="C6478" t="str">
        <f>CHOOSE(MATCH(B6478, {20,25,30,35,40,45,50,55,60,65,70,75,80,85}, 1), "20-24", "25-29", "30-34", "35-39", "40-44", "45-49", "50-54", "55-59", "60-64", "65-69", "70-74", "75-79", "80-84", "85+")</f>
        <v>35-39</v>
      </c>
      <c r="D6478" t="s">
        <v>7</v>
      </c>
    </row>
    <row r="6479" spans="1:4">
      <c r="A6479" t="s">
        <v>6</v>
      </c>
      <c r="B6479">
        <v>26</v>
      </c>
      <c r="C6479" t="str">
        <f>CHOOSE(MATCH(B6479, {20,25,30,35,40,45,50,55,60,65,70,75,80,85}, 1), "20-24", "25-29", "30-34", "35-39", "40-44", "45-49", "50-54", "55-59", "60-64", "65-69", "70-74", "75-79", "80-84", "85+")</f>
        <v>25-29</v>
      </c>
      <c r="D6479" t="s">
        <v>7</v>
      </c>
    </row>
    <row r="6480" spans="1:4">
      <c r="A6480" t="s">
        <v>6</v>
      </c>
      <c r="B6480">
        <v>30</v>
      </c>
      <c r="C6480" t="str">
        <f>CHOOSE(MATCH(B6480, {20,25,30,35,40,45,50,55,60,65,70,75,80,85}, 1), "20-24", "25-29", "30-34", "35-39", "40-44", "45-49", "50-54", "55-59", "60-64", "65-69", "70-74", "75-79", "80-84", "85+")</f>
        <v>30-34</v>
      </c>
      <c r="D6480" t="s">
        <v>7</v>
      </c>
    </row>
    <row r="6481" spans="1:4">
      <c r="A6481" t="s">
        <v>6</v>
      </c>
      <c r="B6481">
        <v>33</v>
      </c>
      <c r="C6481" t="str">
        <f>CHOOSE(MATCH(B6481, {20,25,30,35,40,45,50,55,60,65,70,75,80,85}, 1), "20-24", "25-29", "30-34", "35-39", "40-44", "45-49", "50-54", "55-59", "60-64", "65-69", "70-74", "75-79", "80-84", "85+")</f>
        <v>30-34</v>
      </c>
      <c r="D6481" t="s">
        <v>7</v>
      </c>
    </row>
    <row r="6482" spans="1:4">
      <c r="A6482" t="s">
        <v>6</v>
      </c>
      <c r="B6482">
        <v>31</v>
      </c>
      <c r="C6482" t="str">
        <f>CHOOSE(MATCH(B6482, {20,25,30,35,40,45,50,55,60,65,70,75,80,85}, 1), "20-24", "25-29", "30-34", "35-39", "40-44", "45-49", "50-54", "55-59", "60-64", "65-69", "70-74", "75-79", "80-84", "85+")</f>
        <v>30-34</v>
      </c>
      <c r="D6482" t="s">
        <v>7</v>
      </c>
    </row>
    <row r="6483" spans="1:4">
      <c r="A6483" t="s">
        <v>6</v>
      </c>
      <c r="B6483">
        <v>72</v>
      </c>
      <c r="C6483" t="str">
        <f>CHOOSE(MATCH(B6483, {20,25,30,35,40,45,50,55,60,65,70,75,80,85}, 1), "20-24", "25-29", "30-34", "35-39", "40-44", "45-49", "50-54", "55-59", "60-64", "65-69", "70-74", "75-79", "80-84", "85+")</f>
        <v>70-74</v>
      </c>
      <c r="D6483" t="s">
        <v>8</v>
      </c>
    </row>
    <row r="6484" spans="1:4">
      <c r="A6484" t="s">
        <v>6</v>
      </c>
      <c r="B6484">
        <v>71</v>
      </c>
      <c r="C6484" t="str">
        <f>CHOOSE(MATCH(B6484, {20,25,30,35,40,45,50,55,60,65,70,75,80,85}, 1), "20-24", "25-29", "30-34", "35-39", "40-44", "45-49", "50-54", "55-59", "60-64", "65-69", "70-74", "75-79", "80-84", "85+")</f>
        <v>70-74</v>
      </c>
      <c r="D6484" t="s">
        <v>8</v>
      </c>
    </row>
    <row r="6485" spans="1:4">
      <c r="A6485" t="s">
        <v>6</v>
      </c>
      <c r="B6485">
        <v>56</v>
      </c>
      <c r="C6485" t="str">
        <f>CHOOSE(MATCH(B6485, {20,25,30,35,40,45,50,55,60,65,70,75,80,85}, 1), "20-24", "25-29", "30-34", "35-39", "40-44", "45-49", "50-54", "55-59", "60-64", "65-69", "70-74", "75-79", "80-84", "85+")</f>
        <v>55-59</v>
      </c>
      <c r="D6485" t="s">
        <v>8</v>
      </c>
    </row>
    <row r="6486" spans="1:4">
      <c r="A6486" t="s">
        <v>6</v>
      </c>
      <c r="B6486">
        <v>56</v>
      </c>
      <c r="C6486" t="str">
        <f>CHOOSE(MATCH(B6486, {20,25,30,35,40,45,50,55,60,65,70,75,80,85}, 1), "20-24", "25-29", "30-34", "35-39", "40-44", "45-49", "50-54", "55-59", "60-64", "65-69", "70-74", "75-79", "80-84", "85+")</f>
        <v>55-59</v>
      </c>
      <c r="D6486" t="s">
        <v>7</v>
      </c>
    </row>
    <row r="6487" spans="1:4">
      <c r="A6487" t="s">
        <v>6</v>
      </c>
      <c r="B6487">
        <v>37</v>
      </c>
      <c r="C6487" t="str">
        <f>CHOOSE(MATCH(B6487, {20,25,30,35,40,45,50,55,60,65,70,75,80,85}, 1), "20-24", "25-29", "30-34", "35-39", "40-44", "45-49", "50-54", "55-59", "60-64", "65-69", "70-74", "75-79", "80-84", "85+")</f>
        <v>35-39</v>
      </c>
      <c r="D6487" t="s">
        <v>8</v>
      </c>
    </row>
    <row r="6488" spans="1:4">
      <c r="A6488" t="s">
        <v>6</v>
      </c>
      <c r="B6488">
        <v>22</v>
      </c>
      <c r="C6488" t="str">
        <f>CHOOSE(MATCH(B6488, {20,25,30,35,40,45,50,55,60,65,70,75,80,85}, 1), "20-24", "25-29", "30-34", "35-39", "40-44", "45-49", "50-54", "55-59", "60-64", "65-69", "70-74", "75-79", "80-84", "85+")</f>
        <v>20-24</v>
      </c>
      <c r="D6488" t="s">
        <v>7</v>
      </c>
    </row>
    <row r="6489" spans="1:4">
      <c r="A6489" t="s">
        <v>6</v>
      </c>
      <c r="B6489">
        <v>34</v>
      </c>
      <c r="C6489" t="str">
        <f>CHOOSE(MATCH(B6489, {20,25,30,35,40,45,50,55,60,65,70,75,80,85}, 1), "20-24", "25-29", "30-34", "35-39", "40-44", "45-49", "50-54", "55-59", "60-64", "65-69", "70-74", "75-79", "80-84", "85+")</f>
        <v>30-34</v>
      </c>
      <c r="D6489" t="s">
        <v>7</v>
      </c>
    </row>
    <row r="6490" spans="1:4">
      <c r="A6490" t="s">
        <v>6</v>
      </c>
      <c r="B6490">
        <v>44</v>
      </c>
      <c r="C6490" t="str">
        <f>CHOOSE(MATCH(B6490, {20,25,30,35,40,45,50,55,60,65,70,75,80,85}, 1), "20-24", "25-29", "30-34", "35-39", "40-44", "45-49", "50-54", "55-59", "60-64", "65-69", "70-74", "75-79", "80-84", "85+")</f>
        <v>40-44</v>
      </c>
      <c r="D6490" t="s">
        <v>7</v>
      </c>
    </row>
    <row r="6491" spans="1:4">
      <c r="A6491" t="s">
        <v>6</v>
      </c>
      <c r="B6491">
        <v>25</v>
      </c>
      <c r="C6491" t="str">
        <f>CHOOSE(MATCH(B6491, {20,25,30,35,40,45,50,55,60,65,70,75,80,85}, 1), "20-24", "25-29", "30-34", "35-39", "40-44", "45-49", "50-54", "55-59", "60-64", "65-69", "70-74", "75-79", "80-84", "85+")</f>
        <v>25-29</v>
      </c>
      <c r="D6491" t="s">
        <v>7</v>
      </c>
    </row>
    <row r="6492" spans="1:4">
      <c r="A6492" t="s">
        <v>6</v>
      </c>
      <c r="B6492">
        <v>66</v>
      </c>
      <c r="C6492" t="str">
        <f>CHOOSE(MATCH(B6492, {20,25,30,35,40,45,50,55,60,65,70,75,80,85}, 1), "20-24", "25-29", "30-34", "35-39", "40-44", "45-49", "50-54", "55-59", "60-64", "65-69", "70-74", "75-79", "80-84", "85+")</f>
        <v>65-69</v>
      </c>
      <c r="D6492" t="s">
        <v>8</v>
      </c>
    </row>
    <row r="6493" spans="1:4">
      <c r="A6493" t="s">
        <v>6</v>
      </c>
      <c r="B6493">
        <v>40</v>
      </c>
      <c r="C6493" t="str">
        <f>CHOOSE(MATCH(B6493, {20,25,30,35,40,45,50,55,60,65,70,75,80,85}, 1), "20-24", "25-29", "30-34", "35-39", "40-44", "45-49", "50-54", "55-59", "60-64", "65-69", "70-74", "75-79", "80-84", "85+")</f>
        <v>40-44</v>
      </c>
      <c r="D6493" t="s">
        <v>8</v>
      </c>
    </row>
    <row r="6494" spans="1:4">
      <c r="A6494" t="s">
        <v>6</v>
      </c>
      <c r="B6494">
        <v>40</v>
      </c>
      <c r="C6494" t="str">
        <f>CHOOSE(MATCH(B6494, {20,25,30,35,40,45,50,55,60,65,70,75,80,85}, 1), "20-24", "25-29", "30-34", "35-39", "40-44", "45-49", "50-54", "55-59", "60-64", "65-69", "70-74", "75-79", "80-84", "85+")</f>
        <v>40-44</v>
      </c>
      <c r="D6494" t="s">
        <v>8</v>
      </c>
    </row>
    <row r="6495" spans="1:4">
      <c r="A6495" t="s">
        <v>6</v>
      </c>
      <c r="B6495">
        <v>30</v>
      </c>
      <c r="C6495" t="str">
        <f>CHOOSE(MATCH(B6495, {20,25,30,35,40,45,50,55,60,65,70,75,80,85}, 1), "20-24", "25-29", "30-34", "35-39", "40-44", "45-49", "50-54", "55-59", "60-64", "65-69", "70-74", "75-79", "80-84", "85+")</f>
        <v>30-34</v>
      </c>
      <c r="D6495" t="s">
        <v>7</v>
      </c>
    </row>
    <row r="6496" spans="1:4">
      <c r="A6496" t="s">
        <v>6</v>
      </c>
      <c r="B6496">
        <v>38</v>
      </c>
      <c r="C6496" t="str">
        <f>CHOOSE(MATCH(B6496, {20,25,30,35,40,45,50,55,60,65,70,75,80,85}, 1), "20-24", "25-29", "30-34", "35-39", "40-44", "45-49", "50-54", "55-59", "60-64", "65-69", "70-74", "75-79", "80-84", "85+")</f>
        <v>35-39</v>
      </c>
      <c r="D6496" t="s">
        <v>7</v>
      </c>
    </row>
    <row r="6497" spans="1:4">
      <c r="A6497" t="s">
        <v>6</v>
      </c>
      <c r="B6497">
        <v>27</v>
      </c>
      <c r="C6497" t="str">
        <f>CHOOSE(MATCH(B6497, {20,25,30,35,40,45,50,55,60,65,70,75,80,85}, 1), "20-24", "25-29", "30-34", "35-39", "40-44", "45-49", "50-54", "55-59", "60-64", "65-69", "70-74", "75-79", "80-84", "85+")</f>
        <v>25-29</v>
      </c>
      <c r="D6497" t="s">
        <v>8</v>
      </c>
    </row>
    <row r="6498" spans="1:4">
      <c r="A6498" t="s">
        <v>6</v>
      </c>
      <c r="B6498">
        <v>58</v>
      </c>
      <c r="C6498" t="str">
        <f>CHOOSE(MATCH(B6498, {20,25,30,35,40,45,50,55,60,65,70,75,80,85}, 1), "20-24", "25-29", "30-34", "35-39", "40-44", "45-49", "50-54", "55-59", "60-64", "65-69", "70-74", "75-79", "80-84", "85+")</f>
        <v>55-59</v>
      </c>
      <c r="D6498" t="s">
        <v>7</v>
      </c>
    </row>
    <row r="6499" spans="1:4">
      <c r="A6499" t="s">
        <v>6</v>
      </c>
      <c r="B6499">
        <v>63</v>
      </c>
      <c r="C6499" t="str">
        <f>CHOOSE(MATCH(B6499, {20,25,30,35,40,45,50,55,60,65,70,75,80,85}, 1), "20-24", "25-29", "30-34", "35-39", "40-44", "45-49", "50-54", "55-59", "60-64", "65-69", "70-74", "75-79", "80-84", "85+")</f>
        <v>60-64</v>
      </c>
      <c r="D6499" t="s">
        <v>8</v>
      </c>
    </row>
    <row r="6500" spans="1:4">
      <c r="A6500" t="s">
        <v>6</v>
      </c>
      <c r="B6500">
        <v>59</v>
      </c>
      <c r="C6500" t="str">
        <f>CHOOSE(MATCH(B6500, {20,25,30,35,40,45,50,55,60,65,70,75,80,85}, 1), "20-24", "25-29", "30-34", "35-39", "40-44", "45-49", "50-54", "55-59", "60-64", "65-69", "70-74", "75-79", "80-84", "85+")</f>
        <v>55-59</v>
      </c>
      <c r="D6500" t="s">
        <v>8</v>
      </c>
    </row>
    <row r="6501" spans="1:4">
      <c r="A6501" t="s">
        <v>6</v>
      </c>
      <c r="B6501">
        <v>34</v>
      </c>
      <c r="C6501" t="str">
        <f>CHOOSE(MATCH(B6501, {20,25,30,35,40,45,50,55,60,65,70,75,80,85}, 1), "20-24", "25-29", "30-34", "35-39", "40-44", "45-49", "50-54", "55-59", "60-64", "65-69", "70-74", "75-79", "80-84", "85+")</f>
        <v>30-34</v>
      </c>
      <c r="D6501" t="s">
        <v>7</v>
      </c>
    </row>
    <row r="6502" spans="1:4">
      <c r="A6502" t="s">
        <v>6</v>
      </c>
      <c r="B6502">
        <v>45</v>
      </c>
      <c r="C6502" t="str">
        <f>CHOOSE(MATCH(B6502, {20,25,30,35,40,45,50,55,60,65,70,75,80,85}, 1), "20-24", "25-29", "30-34", "35-39", "40-44", "45-49", "50-54", "55-59", "60-64", "65-69", "70-74", "75-79", "80-84", "85+")</f>
        <v>45-49</v>
      </c>
      <c r="D6502" t="s">
        <v>7</v>
      </c>
    </row>
    <row r="6503" spans="1:4">
      <c r="A6503" t="s">
        <v>6</v>
      </c>
      <c r="B6503">
        <v>73</v>
      </c>
      <c r="C6503" t="str">
        <f>CHOOSE(MATCH(B6503, {20,25,30,35,40,45,50,55,60,65,70,75,80,85}, 1), "20-24", "25-29", "30-34", "35-39", "40-44", "45-49", "50-54", "55-59", "60-64", "65-69", "70-74", "75-79", "80-84", "85+")</f>
        <v>70-74</v>
      </c>
      <c r="D6503" t="s">
        <v>8</v>
      </c>
    </row>
    <row r="6504" spans="1:4">
      <c r="A6504" t="s">
        <v>6</v>
      </c>
      <c r="B6504">
        <v>31</v>
      </c>
      <c r="C6504" t="str">
        <f>CHOOSE(MATCH(B6504, {20,25,30,35,40,45,50,55,60,65,70,75,80,85}, 1), "20-24", "25-29", "30-34", "35-39", "40-44", "45-49", "50-54", "55-59", "60-64", "65-69", "70-74", "75-79", "80-84", "85+")</f>
        <v>30-34</v>
      </c>
      <c r="D6504" t="s">
        <v>7</v>
      </c>
    </row>
    <row r="6505" spans="1:4">
      <c r="A6505" t="s">
        <v>6</v>
      </c>
      <c r="B6505">
        <v>63</v>
      </c>
      <c r="C6505" t="str">
        <f>CHOOSE(MATCH(B6505, {20,25,30,35,40,45,50,55,60,65,70,75,80,85}, 1), "20-24", "25-29", "30-34", "35-39", "40-44", "45-49", "50-54", "55-59", "60-64", "65-69", "70-74", "75-79", "80-84", "85+")</f>
        <v>60-64</v>
      </c>
      <c r="D6505" t="s">
        <v>8</v>
      </c>
    </row>
    <row r="6506" spans="1:4">
      <c r="A6506" t="s">
        <v>6</v>
      </c>
      <c r="B6506">
        <v>43</v>
      </c>
      <c r="C6506" t="str">
        <f>CHOOSE(MATCH(B6506, {20,25,30,35,40,45,50,55,60,65,70,75,80,85}, 1), "20-24", "25-29", "30-34", "35-39", "40-44", "45-49", "50-54", "55-59", "60-64", "65-69", "70-74", "75-79", "80-84", "85+")</f>
        <v>40-44</v>
      </c>
      <c r="D6506" t="s">
        <v>7</v>
      </c>
    </row>
    <row r="6507" spans="1:4">
      <c r="A6507" t="s">
        <v>6</v>
      </c>
      <c r="B6507">
        <v>67</v>
      </c>
      <c r="C6507" t="str">
        <f>CHOOSE(MATCH(B6507, {20,25,30,35,40,45,50,55,60,65,70,75,80,85}, 1), "20-24", "25-29", "30-34", "35-39", "40-44", "45-49", "50-54", "55-59", "60-64", "65-69", "70-74", "75-79", "80-84", "85+")</f>
        <v>65-69</v>
      </c>
      <c r="D6507" t="s">
        <v>7</v>
      </c>
    </row>
    <row r="6508" spans="1:4">
      <c r="A6508" t="s">
        <v>6</v>
      </c>
      <c r="B6508">
        <v>30</v>
      </c>
      <c r="C6508" t="str">
        <f>CHOOSE(MATCH(B6508, {20,25,30,35,40,45,50,55,60,65,70,75,80,85}, 1), "20-24", "25-29", "30-34", "35-39", "40-44", "45-49", "50-54", "55-59", "60-64", "65-69", "70-74", "75-79", "80-84", "85+")</f>
        <v>30-34</v>
      </c>
      <c r="D6508" t="s">
        <v>7</v>
      </c>
    </row>
    <row r="6509" spans="1:4">
      <c r="A6509" t="s">
        <v>6</v>
      </c>
      <c r="B6509">
        <v>26</v>
      </c>
      <c r="C6509" t="str">
        <f>CHOOSE(MATCH(B6509, {20,25,30,35,40,45,50,55,60,65,70,75,80,85}, 1), "20-24", "25-29", "30-34", "35-39", "40-44", "45-49", "50-54", "55-59", "60-64", "65-69", "70-74", "75-79", "80-84", "85+")</f>
        <v>25-29</v>
      </c>
      <c r="D6509" t="s">
        <v>8</v>
      </c>
    </row>
    <row r="6510" spans="1:4">
      <c r="A6510" t="s">
        <v>6</v>
      </c>
      <c r="B6510">
        <v>40</v>
      </c>
      <c r="C6510" t="str">
        <f>CHOOSE(MATCH(B6510, {20,25,30,35,40,45,50,55,60,65,70,75,80,85}, 1), "20-24", "25-29", "30-34", "35-39", "40-44", "45-49", "50-54", "55-59", "60-64", "65-69", "70-74", "75-79", "80-84", "85+")</f>
        <v>40-44</v>
      </c>
      <c r="D6510" t="s">
        <v>8</v>
      </c>
    </row>
    <row r="6511" spans="1:4">
      <c r="A6511" t="s">
        <v>6</v>
      </c>
      <c r="B6511">
        <v>22</v>
      </c>
      <c r="C6511" t="str">
        <f>CHOOSE(MATCH(B6511, {20,25,30,35,40,45,50,55,60,65,70,75,80,85}, 1), "20-24", "25-29", "30-34", "35-39", "40-44", "45-49", "50-54", "55-59", "60-64", "65-69", "70-74", "75-79", "80-84", "85+")</f>
        <v>20-24</v>
      </c>
      <c r="D6511" t="s">
        <v>8</v>
      </c>
    </row>
    <row r="6512" spans="1:4">
      <c r="A6512" t="s">
        <v>6</v>
      </c>
      <c r="B6512">
        <v>38</v>
      </c>
      <c r="C6512" t="str">
        <f>CHOOSE(MATCH(B6512, {20,25,30,35,40,45,50,55,60,65,70,75,80,85}, 1), "20-24", "25-29", "30-34", "35-39", "40-44", "45-49", "50-54", "55-59", "60-64", "65-69", "70-74", "75-79", "80-84", "85+")</f>
        <v>35-39</v>
      </c>
      <c r="D6512" t="s">
        <v>7</v>
      </c>
    </row>
    <row r="6513" spans="1:4">
      <c r="A6513" t="s">
        <v>6</v>
      </c>
      <c r="B6513">
        <v>27</v>
      </c>
      <c r="C6513" t="str">
        <f>CHOOSE(MATCH(B6513, {20,25,30,35,40,45,50,55,60,65,70,75,80,85}, 1), "20-24", "25-29", "30-34", "35-39", "40-44", "45-49", "50-54", "55-59", "60-64", "65-69", "70-74", "75-79", "80-84", "85+")</f>
        <v>25-29</v>
      </c>
      <c r="D6513" t="s">
        <v>8</v>
      </c>
    </row>
    <row r="6514" spans="1:4">
      <c r="A6514" t="s">
        <v>6</v>
      </c>
      <c r="B6514">
        <v>32</v>
      </c>
      <c r="C6514" t="str">
        <f>CHOOSE(MATCH(B6514, {20,25,30,35,40,45,50,55,60,65,70,75,80,85}, 1), "20-24", "25-29", "30-34", "35-39", "40-44", "45-49", "50-54", "55-59", "60-64", "65-69", "70-74", "75-79", "80-84", "85+")</f>
        <v>30-34</v>
      </c>
      <c r="D6514" t="s">
        <v>7</v>
      </c>
    </row>
    <row r="6515" spans="1:4">
      <c r="A6515" t="s">
        <v>6</v>
      </c>
      <c r="B6515">
        <v>43</v>
      </c>
      <c r="C6515" t="str">
        <f>CHOOSE(MATCH(B6515, {20,25,30,35,40,45,50,55,60,65,70,75,80,85}, 1), "20-24", "25-29", "30-34", "35-39", "40-44", "45-49", "50-54", "55-59", "60-64", "65-69", "70-74", "75-79", "80-84", "85+")</f>
        <v>40-44</v>
      </c>
      <c r="D6515" t="s">
        <v>7</v>
      </c>
    </row>
    <row r="6516" spans="1:4">
      <c r="A6516" t="s">
        <v>6</v>
      </c>
      <c r="B6516">
        <v>73</v>
      </c>
      <c r="C6516" t="str">
        <f>CHOOSE(MATCH(B6516, {20,25,30,35,40,45,50,55,60,65,70,75,80,85}, 1), "20-24", "25-29", "30-34", "35-39", "40-44", "45-49", "50-54", "55-59", "60-64", "65-69", "70-74", "75-79", "80-84", "85+")</f>
        <v>70-74</v>
      </c>
      <c r="D6516" t="s">
        <v>8</v>
      </c>
    </row>
    <row r="6517" spans="1:4">
      <c r="A6517" t="s">
        <v>6</v>
      </c>
      <c r="B6517">
        <v>26</v>
      </c>
      <c r="C6517" t="str">
        <f>CHOOSE(MATCH(B6517, {20,25,30,35,40,45,50,55,60,65,70,75,80,85}, 1), "20-24", "25-29", "30-34", "35-39", "40-44", "45-49", "50-54", "55-59", "60-64", "65-69", "70-74", "75-79", "80-84", "85+")</f>
        <v>25-29</v>
      </c>
      <c r="D6517" t="s">
        <v>7</v>
      </c>
    </row>
    <row r="6518" spans="1:4">
      <c r="A6518" t="s">
        <v>6</v>
      </c>
      <c r="B6518">
        <v>48</v>
      </c>
      <c r="C6518" t="str">
        <f>CHOOSE(MATCH(B6518, {20,25,30,35,40,45,50,55,60,65,70,75,80,85}, 1), "20-24", "25-29", "30-34", "35-39", "40-44", "45-49", "50-54", "55-59", "60-64", "65-69", "70-74", "75-79", "80-84", "85+")</f>
        <v>45-49</v>
      </c>
      <c r="D6518" t="s">
        <v>8</v>
      </c>
    </row>
    <row r="6519" spans="1:4">
      <c r="A6519" t="s">
        <v>6</v>
      </c>
      <c r="B6519">
        <v>41</v>
      </c>
      <c r="C6519" t="str">
        <f>CHOOSE(MATCH(B6519, {20,25,30,35,40,45,50,55,60,65,70,75,80,85}, 1), "20-24", "25-29", "30-34", "35-39", "40-44", "45-49", "50-54", "55-59", "60-64", "65-69", "70-74", "75-79", "80-84", "85+")</f>
        <v>40-44</v>
      </c>
      <c r="D6519" t="s">
        <v>8</v>
      </c>
    </row>
    <row r="6520" spans="1:4">
      <c r="A6520" t="s">
        <v>6</v>
      </c>
      <c r="B6520">
        <v>35</v>
      </c>
      <c r="C6520" t="str">
        <f>CHOOSE(MATCH(B6520, {20,25,30,35,40,45,50,55,60,65,70,75,80,85}, 1), "20-24", "25-29", "30-34", "35-39", "40-44", "45-49", "50-54", "55-59", "60-64", "65-69", "70-74", "75-79", "80-84", "85+")</f>
        <v>35-39</v>
      </c>
      <c r="D6520" t="s">
        <v>8</v>
      </c>
    </row>
    <row r="6521" spans="1:4">
      <c r="A6521" t="s">
        <v>6</v>
      </c>
      <c r="B6521">
        <v>36</v>
      </c>
      <c r="C6521" t="str">
        <f>CHOOSE(MATCH(B6521, {20,25,30,35,40,45,50,55,60,65,70,75,80,85}, 1), "20-24", "25-29", "30-34", "35-39", "40-44", "45-49", "50-54", "55-59", "60-64", "65-69", "70-74", "75-79", "80-84", "85+")</f>
        <v>35-39</v>
      </c>
      <c r="D6521" t="s">
        <v>7</v>
      </c>
    </row>
    <row r="6522" spans="1:4">
      <c r="A6522" t="s">
        <v>6</v>
      </c>
      <c r="B6522">
        <v>57</v>
      </c>
      <c r="C6522" t="str">
        <f>CHOOSE(MATCH(B6522, {20,25,30,35,40,45,50,55,60,65,70,75,80,85}, 1), "20-24", "25-29", "30-34", "35-39", "40-44", "45-49", "50-54", "55-59", "60-64", "65-69", "70-74", "75-79", "80-84", "85+")</f>
        <v>55-59</v>
      </c>
      <c r="D6522" t="s">
        <v>8</v>
      </c>
    </row>
    <row r="6523" spans="1:4">
      <c r="A6523" t="s">
        <v>6</v>
      </c>
      <c r="B6523">
        <v>32</v>
      </c>
      <c r="C6523" t="str">
        <f>CHOOSE(MATCH(B6523, {20,25,30,35,40,45,50,55,60,65,70,75,80,85}, 1), "20-24", "25-29", "30-34", "35-39", "40-44", "45-49", "50-54", "55-59", "60-64", "65-69", "70-74", "75-79", "80-84", "85+")</f>
        <v>30-34</v>
      </c>
      <c r="D6523" t="s">
        <v>7</v>
      </c>
    </row>
    <row r="6524" spans="1:4">
      <c r="A6524" t="s">
        <v>6</v>
      </c>
      <c r="B6524">
        <v>44</v>
      </c>
      <c r="C6524" t="str">
        <f>CHOOSE(MATCH(B6524, {20,25,30,35,40,45,50,55,60,65,70,75,80,85}, 1), "20-24", "25-29", "30-34", "35-39", "40-44", "45-49", "50-54", "55-59", "60-64", "65-69", "70-74", "75-79", "80-84", "85+")</f>
        <v>40-44</v>
      </c>
      <c r="D6524" t="s">
        <v>7</v>
      </c>
    </row>
    <row r="6525" spans="1:4">
      <c r="A6525" t="s">
        <v>6</v>
      </c>
      <c r="B6525">
        <v>39</v>
      </c>
      <c r="C6525" t="str">
        <f>CHOOSE(MATCH(B6525, {20,25,30,35,40,45,50,55,60,65,70,75,80,85}, 1), "20-24", "25-29", "30-34", "35-39", "40-44", "45-49", "50-54", "55-59", "60-64", "65-69", "70-74", "75-79", "80-84", "85+")</f>
        <v>35-39</v>
      </c>
      <c r="D6525" t="s">
        <v>7</v>
      </c>
    </row>
    <row r="6526" spans="1:4">
      <c r="A6526" t="s">
        <v>6</v>
      </c>
      <c r="B6526">
        <v>52</v>
      </c>
      <c r="C6526" t="str">
        <f>CHOOSE(MATCH(B6526, {20,25,30,35,40,45,50,55,60,65,70,75,80,85}, 1), "20-24", "25-29", "30-34", "35-39", "40-44", "45-49", "50-54", "55-59", "60-64", "65-69", "70-74", "75-79", "80-84", "85+")</f>
        <v>50-54</v>
      </c>
      <c r="D6526" t="s">
        <v>7</v>
      </c>
    </row>
    <row r="6527" spans="1:4">
      <c r="A6527" t="s">
        <v>6</v>
      </c>
      <c r="B6527">
        <v>31</v>
      </c>
      <c r="C6527" t="str">
        <f>CHOOSE(MATCH(B6527, {20,25,30,35,40,45,50,55,60,65,70,75,80,85}, 1), "20-24", "25-29", "30-34", "35-39", "40-44", "45-49", "50-54", "55-59", "60-64", "65-69", "70-74", "75-79", "80-84", "85+")</f>
        <v>30-34</v>
      </c>
      <c r="D6527" t="s">
        <v>7</v>
      </c>
    </row>
    <row r="6528" spans="1:4">
      <c r="A6528" t="s">
        <v>6</v>
      </c>
      <c r="B6528">
        <v>39</v>
      </c>
      <c r="C6528" t="str">
        <f>CHOOSE(MATCH(B6528, {20,25,30,35,40,45,50,55,60,65,70,75,80,85}, 1), "20-24", "25-29", "30-34", "35-39", "40-44", "45-49", "50-54", "55-59", "60-64", "65-69", "70-74", "75-79", "80-84", "85+")</f>
        <v>35-39</v>
      </c>
      <c r="D6528" t="s">
        <v>8</v>
      </c>
    </row>
    <row r="6529" spans="1:4">
      <c r="A6529" t="s">
        <v>6</v>
      </c>
      <c r="B6529">
        <v>27</v>
      </c>
      <c r="C6529" t="str">
        <f>CHOOSE(MATCH(B6529, {20,25,30,35,40,45,50,55,60,65,70,75,80,85}, 1), "20-24", "25-29", "30-34", "35-39", "40-44", "45-49", "50-54", "55-59", "60-64", "65-69", "70-74", "75-79", "80-84", "85+")</f>
        <v>25-29</v>
      </c>
      <c r="D6529" t="s">
        <v>8</v>
      </c>
    </row>
    <row r="6530" spans="1:4">
      <c r="A6530" t="s">
        <v>6</v>
      </c>
      <c r="B6530">
        <v>75</v>
      </c>
      <c r="C6530" t="str">
        <f>CHOOSE(MATCH(B6530, {20,25,30,35,40,45,50,55,60,65,70,75,80,85}, 1), "20-24", "25-29", "30-34", "35-39", "40-44", "45-49", "50-54", "55-59", "60-64", "65-69", "70-74", "75-79", "80-84", "85+")</f>
        <v>75-79</v>
      </c>
      <c r="D6530" t="s">
        <v>7</v>
      </c>
    </row>
    <row r="6531" spans="1:4">
      <c r="A6531" t="s">
        <v>6</v>
      </c>
      <c r="B6531">
        <v>36</v>
      </c>
      <c r="C6531" t="str">
        <f>CHOOSE(MATCH(B6531, {20,25,30,35,40,45,50,55,60,65,70,75,80,85}, 1), "20-24", "25-29", "30-34", "35-39", "40-44", "45-49", "50-54", "55-59", "60-64", "65-69", "70-74", "75-79", "80-84", "85+")</f>
        <v>35-39</v>
      </c>
      <c r="D6531" t="s">
        <v>7</v>
      </c>
    </row>
    <row r="6532" spans="1:4">
      <c r="A6532" t="s">
        <v>6</v>
      </c>
      <c r="B6532">
        <v>34</v>
      </c>
      <c r="C6532" t="str">
        <f>CHOOSE(MATCH(B6532, {20,25,30,35,40,45,50,55,60,65,70,75,80,85}, 1), "20-24", "25-29", "30-34", "35-39", "40-44", "45-49", "50-54", "55-59", "60-64", "65-69", "70-74", "75-79", "80-84", "85+")</f>
        <v>30-34</v>
      </c>
      <c r="D6532" t="s">
        <v>7</v>
      </c>
    </row>
    <row r="6533" spans="1:4">
      <c r="A6533" t="s">
        <v>6</v>
      </c>
      <c r="B6533">
        <v>61</v>
      </c>
      <c r="C6533" t="str">
        <f>CHOOSE(MATCH(B6533, {20,25,30,35,40,45,50,55,60,65,70,75,80,85}, 1), "20-24", "25-29", "30-34", "35-39", "40-44", "45-49", "50-54", "55-59", "60-64", "65-69", "70-74", "75-79", "80-84", "85+")</f>
        <v>60-64</v>
      </c>
      <c r="D6533" t="s">
        <v>8</v>
      </c>
    </row>
    <row r="6534" spans="1:4">
      <c r="A6534" t="s">
        <v>6</v>
      </c>
      <c r="B6534">
        <v>51</v>
      </c>
      <c r="C6534" t="str">
        <f>CHOOSE(MATCH(B6534, {20,25,30,35,40,45,50,55,60,65,70,75,80,85}, 1), "20-24", "25-29", "30-34", "35-39", "40-44", "45-49", "50-54", "55-59", "60-64", "65-69", "70-74", "75-79", "80-84", "85+")</f>
        <v>50-54</v>
      </c>
      <c r="D6534" t="s">
        <v>8</v>
      </c>
    </row>
    <row r="6535" spans="1:4">
      <c r="A6535" t="s">
        <v>6</v>
      </c>
      <c r="B6535">
        <v>58</v>
      </c>
      <c r="C6535" t="str">
        <f>CHOOSE(MATCH(B6535, {20,25,30,35,40,45,50,55,60,65,70,75,80,85}, 1), "20-24", "25-29", "30-34", "35-39", "40-44", "45-49", "50-54", "55-59", "60-64", "65-69", "70-74", "75-79", "80-84", "85+")</f>
        <v>55-59</v>
      </c>
      <c r="D6535" t="s">
        <v>8</v>
      </c>
    </row>
    <row r="6536" spans="1:4">
      <c r="A6536" t="s">
        <v>6</v>
      </c>
      <c r="B6536">
        <v>36</v>
      </c>
      <c r="C6536" t="str">
        <f>CHOOSE(MATCH(B6536, {20,25,30,35,40,45,50,55,60,65,70,75,80,85}, 1), "20-24", "25-29", "30-34", "35-39", "40-44", "45-49", "50-54", "55-59", "60-64", "65-69", "70-74", "75-79", "80-84", "85+")</f>
        <v>35-39</v>
      </c>
      <c r="D6536" t="s">
        <v>7</v>
      </c>
    </row>
    <row r="6537" spans="1:4">
      <c r="A6537" t="s">
        <v>6</v>
      </c>
      <c r="B6537">
        <v>38</v>
      </c>
      <c r="C6537" t="str">
        <f>CHOOSE(MATCH(B6537, {20,25,30,35,40,45,50,55,60,65,70,75,80,85}, 1), "20-24", "25-29", "30-34", "35-39", "40-44", "45-49", "50-54", "55-59", "60-64", "65-69", "70-74", "75-79", "80-84", "85+")</f>
        <v>35-39</v>
      </c>
      <c r="D6537" t="s">
        <v>7</v>
      </c>
    </row>
    <row r="6538" spans="1:4">
      <c r="A6538" t="s">
        <v>6</v>
      </c>
      <c r="B6538">
        <v>20</v>
      </c>
      <c r="C6538" t="str">
        <f>CHOOSE(MATCH(B6538, {20,25,30,35,40,45,50,55,60,65,70,75,80,85}, 1), "20-24", "25-29", "30-34", "35-39", "40-44", "45-49", "50-54", "55-59", "60-64", "65-69", "70-74", "75-79", "80-84", "85+")</f>
        <v>20-24</v>
      </c>
      <c r="D6538" t="s">
        <v>7</v>
      </c>
    </row>
    <row r="6539" spans="1:4">
      <c r="A6539" t="s">
        <v>6</v>
      </c>
      <c r="B6539">
        <v>41</v>
      </c>
      <c r="C6539" t="str">
        <f>CHOOSE(MATCH(B6539, {20,25,30,35,40,45,50,55,60,65,70,75,80,85}, 1), "20-24", "25-29", "30-34", "35-39", "40-44", "45-49", "50-54", "55-59", "60-64", "65-69", "70-74", "75-79", "80-84", "85+")</f>
        <v>40-44</v>
      </c>
      <c r="D6539" t="s">
        <v>7</v>
      </c>
    </row>
    <row r="6540" spans="1:4">
      <c r="A6540" t="s">
        <v>6</v>
      </c>
      <c r="B6540">
        <v>30</v>
      </c>
      <c r="C6540" t="str">
        <f>CHOOSE(MATCH(B6540, {20,25,30,35,40,45,50,55,60,65,70,75,80,85}, 1), "20-24", "25-29", "30-34", "35-39", "40-44", "45-49", "50-54", "55-59", "60-64", "65-69", "70-74", "75-79", "80-84", "85+")</f>
        <v>30-34</v>
      </c>
      <c r="D6540" t="s">
        <v>7</v>
      </c>
    </row>
    <row r="6541" spans="1:4">
      <c r="A6541" t="s">
        <v>6</v>
      </c>
      <c r="B6541">
        <v>38</v>
      </c>
      <c r="C6541" t="str">
        <f>CHOOSE(MATCH(B6541, {20,25,30,35,40,45,50,55,60,65,70,75,80,85}, 1), "20-24", "25-29", "30-34", "35-39", "40-44", "45-49", "50-54", "55-59", "60-64", "65-69", "70-74", "75-79", "80-84", "85+")</f>
        <v>35-39</v>
      </c>
      <c r="D6541" t="s">
        <v>8</v>
      </c>
    </row>
    <row r="6542" spans="1:4">
      <c r="A6542" t="s">
        <v>6</v>
      </c>
      <c r="B6542">
        <v>40</v>
      </c>
      <c r="C6542" t="str">
        <f>CHOOSE(MATCH(B6542, {20,25,30,35,40,45,50,55,60,65,70,75,80,85}, 1), "20-24", "25-29", "30-34", "35-39", "40-44", "45-49", "50-54", "55-59", "60-64", "65-69", "70-74", "75-79", "80-84", "85+")</f>
        <v>40-44</v>
      </c>
      <c r="D6542" t="s">
        <v>7</v>
      </c>
    </row>
    <row r="6543" spans="1:4">
      <c r="A6543" t="s">
        <v>6</v>
      </c>
      <c r="B6543">
        <v>59</v>
      </c>
      <c r="C6543" t="str">
        <f>CHOOSE(MATCH(B6543, {20,25,30,35,40,45,50,55,60,65,70,75,80,85}, 1), "20-24", "25-29", "30-34", "35-39", "40-44", "45-49", "50-54", "55-59", "60-64", "65-69", "70-74", "75-79", "80-84", "85+")</f>
        <v>55-59</v>
      </c>
      <c r="D6543" t="s">
        <v>7</v>
      </c>
    </row>
    <row r="6544" spans="1:4">
      <c r="A6544" t="s">
        <v>6</v>
      </c>
      <c r="B6544">
        <v>33</v>
      </c>
      <c r="C6544" t="str">
        <f>CHOOSE(MATCH(B6544, {20,25,30,35,40,45,50,55,60,65,70,75,80,85}, 1), "20-24", "25-29", "30-34", "35-39", "40-44", "45-49", "50-54", "55-59", "60-64", "65-69", "70-74", "75-79", "80-84", "85+")</f>
        <v>30-34</v>
      </c>
      <c r="D6544" t="s">
        <v>7</v>
      </c>
    </row>
    <row r="6545" spans="1:4">
      <c r="A6545" t="s">
        <v>6</v>
      </c>
      <c r="B6545">
        <v>44</v>
      </c>
      <c r="C6545" t="str">
        <f>CHOOSE(MATCH(B6545, {20,25,30,35,40,45,50,55,60,65,70,75,80,85}, 1), "20-24", "25-29", "30-34", "35-39", "40-44", "45-49", "50-54", "55-59", "60-64", "65-69", "70-74", "75-79", "80-84", "85+")</f>
        <v>40-44</v>
      </c>
      <c r="D6545" t="s">
        <v>7</v>
      </c>
    </row>
    <row r="6546" spans="1:4">
      <c r="A6546" t="s">
        <v>6</v>
      </c>
      <c r="B6546">
        <v>33</v>
      </c>
      <c r="C6546" t="str">
        <f>CHOOSE(MATCH(B6546, {20,25,30,35,40,45,50,55,60,65,70,75,80,85}, 1), "20-24", "25-29", "30-34", "35-39", "40-44", "45-49", "50-54", "55-59", "60-64", "65-69", "70-74", "75-79", "80-84", "85+")</f>
        <v>30-34</v>
      </c>
      <c r="D6546" t="s">
        <v>8</v>
      </c>
    </row>
    <row r="6547" spans="1:4">
      <c r="A6547" t="s">
        <v>6</v>
      </c>
      <c r="B6547">
        <v>69</v>
      </c>
      <c r="C6547" t="str">
        <f>CHOOSE(MATCH(B6547, {20,25,30,35,40,45,50,55,60,65,70,75,80,85}, 1), "20-24", "25-29", "30-34", "35-39", "40-44", "45-49", "50-54", "55-59", "60-64", "65-69", "70-74", "75-79", "80-84", "85+")</f>
        <v>65-69</v>
      </c>
      <c r="D6547" t="s">
        <v>8</v>
      </c>
    </row>
    <row r="6548" spans="1:4">
      <c r="A6548" t="s">
        <v>6</v>
      </c>
      <c r="B6548">
        <v>45</v>
      </c>
      <c r="C6548" t="str">
        <f>CHOOSE(MATCH(B6548, {20,25,30,35,40,45,50,55,60,65,70,75,80,85}, 1), "20-24", "25-29", "30-34", "35-39", "40-44", "45-49", "50-54", "55-59", "60-64", "65-69", "70-74", "75-79", "80-84", "85+")</f>
        <v>45-49</v>
      </c>
      <c r="D6548" t="s">
        <v>8</v>
      </c>
    </row>
    <row r="6549" spans="1:4">
      <c r="A6549" t="s">
        <v>6</v>
      </c>
      <c r="B6549">
        <v>35</v>
      </c>
      <c r="C6549" t="str">
        <f>CHOOSE(MATCH(B6549, {20,25,30,35,40,45,50,55,60,65,70,75,80,85}, 1), "20-24", "25-29", "30-34", "35-39", "40-44", "45-49", "50-54", "55-59", "60-64", "65-69", "70-74", "75-79", "80-84", "85+")</f>
        <v>35-39</v>
      </c>
      <c r="D6549" t="s">
        <v>7</v>
      </c>
    </row>
    <row r="6550" spans="1:4">
      <c r="A6550" t="s">
        <v>6</v>
      </c>
      <c r="B6550">
        <v>45</v>
      </c>
      <c r="C6550" t="str">
        <f>CHOOSE(MATCH(B6550, {20,25,30,35,40,45,50,55,60,65,70,75,80,85}, 1), "20-24", "25-29", "30-34", "35-39", "40-44", "45-49", "50-54", "55-59", "60-64", "65-69", "70-74", "75-79", "80-84", "85+")</f>
        <v>45-49</v>
      </c>
      <c r="D6550" t="s">
        <v>8</v>
      </c>
    </row>
    <row r="6551" spans="1:4">
      <c r="A6551" t="s">
        <v>6</v>
      </c>
      <c r="B6551">
        <v>25</v>
      </c>
      <c r="C6551" t="str">
        <f>CHOOSE(MATCH(B6551, {20,25,30,35,40,45,50,55,60,65,70,75,80,85}, 1), "20-24", "25-29", "30-34", "35-39", "40-44", "45-49", "50-54", "55-59", "60-64", "65-69", "70-74", "75-79", "80-84", "85+")</f>
        <v>25-29</v>
      </c>
      <c r="D6551" t="s">
        <v>7</v>
      </c>
    </row>
    <row r="6552" spans="1:4">
      <c r="A6552" t="s">
        <v>6</v>
      </c>
      <c r="B6552">
        <v>51</v>
      </c>
      <c r="C6552" t="str">
        <f>CHOOSE(MATCH(B6552, {20,25,30,35,40,45,50,55,60,65,70,75,80,85}, 1), "20-24", "25-29", "30-34", "35-39", "40-44", "45-49", "50-54", "55-59", "60-64", "65-69", "70-74", "75-79", "80-84", "85+")</f>
        <v>50-54</v>
      </c>
      <c r="D6552" t="s">
        <v>8</v>
      </c>
    </row>
    <row r="6553" spans="1:4">
      <c r="A6553" t="s">
        <v>6</v>
      </c>
      <c r="B6553">
        <v>35</v>
      </c>
      <c r="C6553" t="str">
        <f>CHOOSE(MATCH(B6553, {20,25,30,35,40,45,50,55,60,65,70,75,80,85}, 1), "20-24", "25-29", "30-34", "35-39", "40-44", "45-49", "50-54", "55-59", "60-64", "65-69", "70-74", "75-79", "80-84", "85+")</f>
        <v>35-39</v>
      </c>
      <c r="D6553" t="s">
        <v>8</v>
      </c>
    </row>
    <row r="6554" spans="1:4">
      <c r="A6554" t="s">
        <v>6</v>
      </c>
      <c r="B6554">
        <v>32</v>
      </c>
      <c r="C6554" t="str">
        <f>CHOOSE(MATCH(B6554, {20,25,30,35,40,45,50,55,60,65,70,75,80,85}, 1), "20-24", "25-29", "30-34", "35-39", "40-44", "45-49", "50-54", "55-59", "60-64", "65-69", "70-74", "75-79", "80-84", "85+")</f>
        <v>30-34</v>
      </c>
      <c r="D6554" t="s">
        <v>8</v>
      </c>
    </row>
    <row r="6555" spans="1:4">
      <c r="A6555" t="s">
        <v>6</v>
      </c>
      <c r="B6555">
        <v>48</v>
      </c>
      <c r="C6555" t="str">
        <f>CHOOSE(MATCH(B6555, {20,25,30,35,40,45,50,55,60,65,70,75,80,85}, 1), "20-24", "25-29", "30-34", "35-39", "40-44", "45-49", "50-54", "55-59", "60-64", "65-69", "70-74", "75-79", "80-84", "85+")</f>
        <v>45-49</v>
      </c>
      <c r="D6555" t="s">
        <v>8</v>
      </c>
    </row>
    <row r="6556" spans="1:4">
      <c r="A6556" t="s">
        <v>6</v>
      </c>
      <c r="B6556">
        <v>84</v>
      </c>
      <c r="C6556" t="str">
        <f>CHOOSE(MATCH(B6556, {20,25,30,35,40,45,50,55,60,65,70,75,80,85}, 1), "20-24", "25-29", "30-34", "35-39", "40-44", "45-49", "50-54", "55-59", "60-64", "65-69", "70-74", "75-79", "80-84", "85+")</f>
        <v>80-84</v>
      </c>
      <c r="D6556" t="s">
        <v>8</v>
      </c>
    </row>
    <row r="6557" spans="1:4">
      <c r="A6557" t="s">
        <v>6</v>
      </c>
      <c r="B6557">
        <v>65</v>
      </c>
      <c r="C6557" t="str">
        <f>CHOOSE(MATCH(B6557, {20,25,30,35,40,45,50,55,60,65,70,75,80,85}, 1), "20-24", "25-29", "30-34", "35-39", "40-44", "45-49", "50-54", "55-59", "60-64", "65-69", "70-74", "75-79", "80-84", "85+")</f>
        <v>65-69</v>
      </c>
      <c r="D6557" t="s">
        <v>7</v>
      </c>
    </row>
    <row r="6558" spans="1:4">
      <c r="A6558" t="s">
        <v>6</v>
      </c>
      <c r="B6558">
        <v>47</v>
      </c>
      <c r="C6558" t="str">
        <f>CHOOSE(MATCH(B6558, {20,25,30,35,40,45,50,55,60,65,70,75,80,85}, 1), "20-24", "25-29", "30-34", "35-39", "40-44", "45-49", "50-54", "55-59", "60-64", "65-69", "70-74", "75-79", "80-84", "85+")</f>
        <v>45-49</v>
      </c>
      <c r="D6558" t="s">
        <v>8</v>
      </c>
    </row>
    <row r="6559" spans="1:4">
      <c r="A6559" t="s">
        <v>6</v>
      </c>
      <c r="B6559">
        <v>39</v>
      </c>
      <c r="C6559" t="str">
        <f>CHOOSE(MATCH(B6559, {20,25,30,35,40,45,50,55,60,65,70,75,80,85}, 1), "20-24", "25-29", "30-34", "35-39", "40-44", "45-49", "50-54", "55-59", "60-64", "65-69", "70-74", "75-79", "80-84", "85+")</f>
        <v>35-39</v>
      </c>
      <c r="D6559" t="s">
        <v>8</v>
      </c>
    </row>
    <row r="6560" spans="1:4">
      <c r="A6560" t="s">
        <v>6</v>
      </c>
      <c r="B6560">
        <v>60</v>
      </c>
      <c r="C6560" t="str">
        <f>CHOOSE(MATCH(B6560, {20,25,30,35,40,45,50,55,60,65,70,75,80,85}, 1), "20-24", "25-29", "30-34", "35-39", "40-44", "45-49", "50-54", "55-59", "60-64", "65-69", "70-74", "75-79", "80-84", "85+")</f>
        <v>60-64</v>
      </c>
      <c r="D6560" t="s">
        <v>7</v>
      </c>
    </row>
    <row r="6561" spans="1:4">
      <c r="A6561" t="s">
        <v>6</v>
      </c>
      <c r="B6561">
        <v>42</v>
      </c>
      <c r="C6561" t="str">
        <f>CHOOSE(MATCH(B6561, {20,25,30,35,40,45,50,55,60,65,70,75,80,85}, 1), "20-24", "25-29", "30-34", "35-39", "40-44", "45-49", "50-54", "55-59", "60-64", "65-69", "70-74", "75-79", "80-84", "85+")</f>
        <v>40-44</v>
      </c>
      <c r="D6561" t="s">
        <v>8</v>
      </c>
    </row>
    <row r="6562" spans="1:4">
      <c r="A6562" t="s">
        <v>6</v>
      </c>
      <c r="B6562">
        <v>37</v>
      </c>
      <c r="C6562" t="str">
        <f>CHOOSE(MATCH(B6562, {20,25,30,35,40,45,50,55,60,65,70,75,80,85}, 1), "20-24", "25-29", "30-34", "35-39", "40-44", "45-49", "50-54", "55-59", "60-64", "65-69", "70-74", "75-79", "80-84", "85+")</f>
        <v>35-39</v>
      </c>
      <c r="D6562" t="s">
        <v>7</v>
      </c>
    </row>
    <row r="6563" spans="1:4">
      <c r="A6563" t="s">
        <v>6</v>
      </c>
      <c r="B6563">
        <v>26</v>
      </c>
      <c r="C6563" t="str">
        <f>CHOOSE(MATCH(B6563, {20,25,30,35,40,45,50,55,60,65,70,75,80,85}, 1), "20-24", "25-29", "30-34", "35-39", "40-44", "45-49", "50-54", "55-59", "60-64", "65-69", "70-74", "75-79", "80-84", "85+")</f>
        <v>25-29</v>
      </c>
      <c r="D6563" t="s">
        <v>7</v>
      </c>
    </row>
    <row r="6564" spans="1:4">
      <c r="A6564" t="s">
        <v>6</v>
      </c>
      <c r="B6564">
        <v>29</v>
      </c>
      <c r="C6564" t="str">
        <f>CHOOSE(MATCH(B6564, {20,25,30,35,40,45,50,55,60,65,70,75,80,85}, 1), "20-24", "25-29", "30-34", "35-39", "40-44", "45-49", "50-54", "55-59", "60-64", "65-69", "70-74", "75-79", "80-84", "85+")</f>
        <v>25-29</v>
      </c>
      <c r="D6564" t="s">
        <v>8</v>
      </c>
    </row>
    <row r="6565" spans="1:4">
      <c r="A6565" t="s">
        <v>6</v>
      </c>
      <c r="B6565">
        <v>72</v>
      </c>
      <c r="C6565" t="str">
        <f>CHOOSE(MATCH(B6565, {20,25,30,35,40,45,50,55,60,65,70,75,80,85}, 1), "20-24", "25-29", "30-34", "35-39", "40-44", "45-49", "50-54", "55-59", "60-64", "65-69", "70-74", "75-79", "80-84", "85+")</f>
        <v>70-74</v>
      </c>
      <c r="D6565" t="s">
        <v>7</v>
      </c>
    </row>
    <row r="6566" spans="1:4">
      <c r="A6566" t="s">
        <v>6</v>
      </c>
      <c r="B6566">
        <v>52</v>
      </c>
      <c r="C6566" t="str">
        <f>CHOOSE(MATCH(B6566, {20,25,30,35,40,45,50,55,60,65,70,75,80,85}, 1), "20-24", "25-29", "30-34", "35-39", "40-44", "45-49", "50-54", "55-59", "60-64", "65-69", "70-74", "75-79", "80-84", "85+")</f>
        <v>50-54</v>
      </c>
      <c r="D6566" t="s">
        <v>8</v>
      </c>
    </row>
    <row r="6567" spans="1:4">
      <c r="A6567" t="s">
        <v>6</v>
      </c>
      <c r="B6567">
        <v>29</v>
      </c>
      <c r="C6567" t="str">
        <f>CHOOSE(MATCH(B6567, {20,25,30,35,40,45,50,55,60,65,70,75,80,85}, 1), "20-24", "25-29", "30-34", "35-39", "40-44", "45-49", "50-54", "55-59", "60-64", "65-69", "70-74", "75-79", "80-84", "85+")</f>
        <v>25-29</v>
      </c>
      <c r="D6567" t="s">
        <v>7</v>
      </c>
    </row>
    <row r="6568" spans="1:4">
      <c r="A6568" t="s">
        <v>6</v>
      </c>
      <c r="B6568">
        <v>49</v>
      </c>
      <c r="C6568" t="str">
        <f>CHOOSE(MATCH(B6568, {20,25,30,35,40,45,50,55,60,65,70,75,80,85}, 1), "20-24", "25-29", "30-34", "35-39", "40-44", "45-49", "50-54", "55-59", "60-64", "65-69", "70-74", "75-79", "80-84", "85+")</f>
        <v>45-49</v>
      </c>
      <c r="D6568" t="s">
        <v>7</v>
      </c>
    </row>
    <row r="6569" spans="1:4">
      <c r="A6569" t="s">
        <v>6</v>
      </c>
      <c r="B6569">
        <v>35</v>
      </c>
      <c r="C6569" t="str">
        <f>CHOOSE(MATCH(B6569, {20,25,30,35,40,45,50,55,60,65,70,75,80,85}, 1), "20-24", "25-29", "30-34", "35-39", "40-44", "45-49", "50-54", "55-59", "60-64", "65-69", "70-74", "75-79", "80-84", "85+")</f>
        <v>35-39</v>
      </c>
      <c r="D6569" t="s">
        <v>7</v>
      </c>
    </row>
    <row r="6570" spans="1:4">
      <c r="A6570" t="s">
        <v>6</v>
      </c>
      <c r="B6570">
        <v>20</v>
      </c>
      <c r="C6570" t="str">
        <f>CHOOSE(MATCH(B6570, {20,25,30,35,40,45,50,55,60,65,70,75,80,85}, 1), "20-24", "25-29", "30-34", "35-39", "40-44", "45-49", "50-54", "55-59", "60-64", "65-69", "70-74", "75-79", "80-84", "85+")</f>
        <v>20-24</v>
      </c>
      <c r="D6570" t="s">
        <v>8</v>
      </c>
    </row>
    <row r="6571" spans="1:4">
      <c r="A6571" t="s">
        <v>6</v>
      </c>
      <c r="B6571">
        <v>31</v>
      </c>
      <c r="C6571" t="str">
        <f>CHOOSE(MATCH(B6571, {20,25,30,35,40,45,50,55,60,65,70,75,80,85}, 1), "20-24", "25-29", "30-34", "35-39", "40-44", "45-49", "50-54", "55-59", "60-64", "65-69", "70-74", "75-79", "80-84", "85+")</f>
        <v>30-34</v>
      </c>
      <c r="D6571" t="s">
        <v>7</v>
      </c>
    </row>
    <row r="6572" spans="1:4">
      <c r="A6572" t="s">
        <v>6</v>
      </c>
      <c r="B6572">
        <v>39</v>
      </c>
      <c r="C6572" t="str">
        <f>CHOOSE(MATCH(B6572, {20,25,30,35,40,45,50,55,60,65,70,75,80,85}, 1), "20-24", "25-29", "30-34", "35-39", "40-44", "45-49", "50-54", "55-59", "60-64", "65-69", "70-74", "75-79", "80-84", "85+")</f>
        <v>35-39</v>
      </c>
      <c r="D6572" t="s">
        <v>8</v>
      </c>
    </row>
    <row r="6573" spans="1:4">
      <c r="A6573" t="s">
        <v>6</v>
      </c>
      <c r="B6573">
        <v>60</v>
      </c>
      <c r="C6573" t="str">
        <f>CHOOSE(MATCH(B6573, {20,25,30,35,40,45,50,55,60,65,70,75,80,85}, 1), "20-24", "25-29", "30-34", "35-39", "40-44", "45-49", "50-54", "55-59", "60-64", "65-69", "70-74", "75-79", "80-84", "85+")</f>
        <v>60-64</v>
      </c>
      <c r="D6573" t="s">
        <v>7</v>
      </c>
    </row>
    <row r="6574" spans="1:4">
      <c r="A6574" t="s">
        <v>6</v>
      </c>
      <c r="B6574">
        <v>25</v>
      </c>
      <c r="C6574" t="str">
        <f>CHOOSE(MATCH(B6574, {20,25,30,35,40,45,50,55,60,65,70,75,80,85}, 1), "20-24", "25-29", "30-34", "35-39", "40-44", "45-49", "50-54", "55-59", "60-64", "65-69", "70-74", "75-79", "80-84", "85+")</f>
        <v>25-29</v>
      </c>
      <c r="D6574" t="s">
        <v>7</v>
      </c>
    </row>
    <row r="6575" spans="1:4">
      <c r="A6575" t="s">
        <v>6</v>
      </c>
      <c r="B6575">
        <v>66</v>
      </c>
      <c r="C6575" t="str">
        <f>CHOOSE(MATCH(B6575, {20,25,30,35,40,45,50,55,60,65,70,75,80,85}, 1), "20-24", "25-29", "30-34", "35-39", "40-44", "45-49", "50-54", "55-59", "60-64", "65-69", "70-74", "75-79", "80-84", "85+")</f>
        <v>65-69</v>
      </c>
      <c r="D6575" t="s">
        <v>8</v>
      </c>
    </row>
    <row r="6576" spans="1:4">
      <c r="A6576" t="s">
        <v>6</v>
      </c>
      <c r="B6576">
        <v>45</v>
      </c>
      <c r="C6576" t="str">
        <f>CHOOSE(MATCH(B6576, {20,25,30,35,40,45,50,55,60,65,70,75,80,85}, 1), "20-24", "25-29", "30-34", "35-39", "40-44", "45-49", "50-54", "55-59", "60-64", "65-69", "70-74", "75-79", "80-84", "85+")</f>
        <v>45-49</v>
      </c>
      <c r="D6576" t="s">
        <v>7</v>
      </c>
    </row>
    <row r="6577" spans="1:4">
      <c r="A6577" t="s">
        <v>6</v>
      </c>
      <c r="B6577">
        <v>71</v>
      </c>
      <c r="C6577" t="str">
        <f>CHOOSE(MATCH(B6577, {20,25,30,35,40,45,50,55,60,65,70,75,80,85}, 1), "20-24", "25-29", "30-34", "35-39", "40-44", "45-49", "50-54", "55-59", "60-64", "65-69", "70-74", "75-79", "80-84", "85+")</f>
        <v>70-74</v>
      </c>
      <c r="D6577" t="s">
        <v>8</v>
      </c>
    </row>
    <row r="6578" spans="1:4">
      <c r="A6578" t="s">
        <v>6</v>
      </c>
      <c r="B6578">
        <v>46</v>
      </c>
      <c r="C6578" t="str">
        <f>CHOOSE(MATCH(B6578, {20,25,30,35,40,45,50,55,60,65,70,75,80,85}, 1), "20-24", "25-29", "30-34", "35-39", "40-44", "45-49", "50-54", "55-59", "60-64", "65-69", "70-74", "75-79", "80-84", "85+")</f>
        <v>45-49</v>
      </c>
      <c r="D6578" t="s">
        <v>8</v>
      </c>
    </row>
    <row r="6579" spans="1:4">
      <c r="A6579" t="s">
        <v>6</v>
      </c>
      <c r="B6579">
        <v>43</v>
      </c>
      <c r="C6579" t="str">
        <f>CHOOSE(MATCH(B6579, {20,25,30,35,40,45,50,55,60,65,70,75,80,85}, 1), "20-24", "25-29", "30-34", "35-39", "40-44", "45-49", "50-54", "55-59", "60-64", "65-69", "70-74", "75-79", "80-84", "85+")</f>
        <v>40-44</v>
      </c>
      <c r="D6579" t="s">
        <v>8</v>
      </c>
    </row>
    <row r="6580" spans="1:4">
      <c r="A6580" t="s">
        <v>6</v>
      </c>
      <c r="B6580">
        <v>31</v>
      </c>
      <c r="C6580" t="str">
        <f>CHOOSE(MATCH(B6580, {20,25,30,35,40,45,50,55,60,65,70,75,80,85}, 1), "20-24", "25-29", "30-34", "35-39", "40-44", "45-49", "50-54", "55-59", "60-64", "65-69", "70-74", "75-79", "80-84", "85+")</f>
        <v>30-34</v>
      </c>
      <c r="D6580" t="s">
        <v>8</v>
      </c>
    </row>
    <row r="6581" spans="1:4">
      <c r="A6581" t="s">
        <v>6</v>
      </c>
      <c r="B6581">
        <v>29</v>
      </c>
      <c r="C6581" t="str">
        <f>CHOOSE(MATCH(B6581, {20,25,30,35,40,45,50,55,60,65,70,75,80,85}, 1), "20-24", "25-29", "30-34", "35-39", "40-44", "45-49", "50-54", "55-59", "60-64", "65-69", "70-74", "75-79", "80-84", "85+")</f>
        <v>25-29</v>
      </c>
      <c r="D6581" t="s">
        <v>7</v>
      </c>
    </row>
    <row r="6582" spans="1:4">
      <c r="A6582" t="s">
        <v>6</v>
      </c>
      <c r="B6582">
        <v>20</v>
      </c>
      <c r="C6582" t="str">
        <f>CHOOSE(MATCH(B6582, {20,25,30,35,40,45,50,55,60,65,70,75,80,85}, 1), "20-24", "25-29", "30-34", "35-39", "40-44", "45-49", "50-54", "55-59", "60-64", "65-69", "70-74", "75-79", "80-84", "85+")</f>
        <v>20-24</v>
      </c>
      <c r="D6582" t="s">
        <v>8</v>
      </c>
    </row>
    <row r="6583" spans="1:4">
      <c r="A6583" t="s">
        <v>6</v>
      </c>
      <c r="B6583">
        <v>36</v>
      </c>
      <c r="C6583" t="str">
        <f>CHOOSE(MATCH(B6583, {20,25,30,35,40,45,50,55,60,65,70,75,80,85}, 1), "20-24", "25-29", "30-34", "35-39", "40-44", "45-49", "50-54", "55-59", "60-64", "65-69", "70-74", "75-79", "80-84", "85+")</f>
        <v>35-39</v>
      </c>
      <c r="D6583" t="s">
        <v>7</v>
      </c>
    </row>
    <row r="6584" spans="1:4">
      <c r="A6584" t="s">
        <v>6</v>
      </c>
      <c r="B6584">
        <v>44</v>
      </c>
      <c r="C6584" t="str">
        <f>CHOOSE(MATCH(B6584, {20,25,30,35,40,45,50,55,60,65,70,75,80,85}, 1), "20-24", "25-29", "30-34", "35-39", "40-44", "45-49", "50-54", "55-59", "60-64", "65-69", "70-74", "75-79", "80-84", "85+")</f>
        <v>40-44</v>
      </c>
      <c r="D6584" t="s">
        <v>8</v>
      </c>
    </row>
    <row r="6585" spans="1:4">
      <c r="A6585" t="s">
        <v>6</v>
      </c>
      <c r="B6585">
        <v>42</v>
      </c>
      <c r="C6585" t="str">
        <f>CHOOSE(MATCH(B6585, {20,25,30,35,40,45,50,55,60,65,70,75,80,85}, 1), "20-24", "25-29", "30-34", "35-39", "40-44", "45-49", "50-54", "55-59", "60-64", "65-69", "70-74", "75-79", "80-84", "85+")</f>
        <v>40-44</v>
      </c>
      <c r="D6585" t="s">
        <v>8</v>
      </c>
    </row>
    <row r="6586" spans="1:4">
      <c r="A6586" t="s">
        <v>6</v>
      </c>
      <c r="B6586">
        <v>41</v>
      </c>
      <c r="C6586" t="str">
        <f>CHOOSE(MATCH(B6586, {20,25,30,35,40,45,50,55,60,65,70,75,80,85}, 1), "20-24", "25-29", "30-34", "35-39", "40-44", "45-49", "50-54", "55-59", "60-64", "65-69", "70-74", "75-79", "80-84", "85+")</f>
        <v>40-44</v>
      </c>
      <c r="D6586" t="s">
        <v>8</v>
      </c>
    </row>
    <row r="6587" spans="1:4">
      <c r="A6587" t="s">
        <v>6</v>
      </c>
      <c r="B6587">
        <v>79</v>
      </c>
      <c r="C6587" t="str">
        <f>CHOOSE(MATCH(B6587, {20,25,30,35,40,45,50,55,60,65,70,75,80,85}, 1), "20-24", "25-29", "30-34", "35-39", "40-44", "45-49", "50-54", "55-59", "60-64", "65-69", "70-74", "75-79", "80-84", "85+")</f>
        <v>75-79</v>
      </c>
      <c r="D6587" t="s">
        <v>8</v>
      </c>
    </row>
    <row r="6588" spans="1:4">
      <c r="A6588" t="s">
        <v>6</v>
      </c>
      <c r="B6588">
        <v>63</v>
      </c>
      <c r="C6588" t="str">
        <f>CHOOSE(MATCH(B6588, {20,25,30,35,40,45,50,55,60,65,70,75,80,85}, 1), "20-24", "25-29", "30-34", "35-39", "40-44", "45-49", "50-54", "55-59", "60-64", "65-69", "70-74", "75-79", "80-84", "85+")</f>
        <v>60-64</v>
      </c>
      <c r="D6588" t="s">
        <v>8</v>
      </c>
    </row>
    <row r="6589" spans="1:4">
      <c r="A6589" t="s">
        <v>6</v>
      </c>
      <c r="B6589">
        <v>29</v>
      </c>
      <c r="C6589" t="str">
        <f>CHOOSE(MATCH(B6589, {20,25,30,35,40,45,50,55,60,65,70,75,80,85}, 1), "20-24", "25-29", "30-34", "35-39", "40-44", "45-49", "50-54", "55-59", "60-64", "65-69", "70-74", "75-79", "80-84", "85+")</f>
        <v>25-29</v>
      </c>
      <c r="D6589" t="s">
        <v>7</v>
      </c>
    </row>
    <row r="6590" spans="1:4">
      <c r="A6590" t="s">
        <v>6</v>
      </c>
      <c r="B6590">
        <v>28</v>
      </c>
      <c r="C6590" t="str">
        <f>CHOOSE(MATCH(B6590, {20,25,30,35,40,45,50,55,60,65,70,75,80,85}, 1), "20-24", "25-29", "30-34", "35-39", "40-44", "45-49", "50-54", "55-59", "60-64", "65-69", "70-74", "75-79", "80-84", "85+")</f>
        <v>25-29</v>
      </c>
      <c r="D6590" t="s">
        <v>7</v>
      </c>
    </row>
    <row r="6591" spans="1:4">
      <c r="A6591" t="s">
        <v>6</v>
      </c>
      <c r="B6591">
        <v>64</v>
      </c>
      <c r="C6591" t="str">
        <f>CHOOSE(MATCH(B6591, {20,25,30,35,40,45,50,55,60,65,70,75,80,85}, 1), "20-24", "25-29", "30-34", "35-39", "40-44", "45-49", "50-54", "55-59", "60-64", "65-69", "70-74", "75-79", "80-84", "85+")</f>
        <v>60-64</v>
      </c>
      <c r="D6591" t="s">
        <v>8</v>
      </c>
    </row>
    <row r="6592" spans="1:4">
      <c r="A6592" t="s">
        <v>6</v>
      </c>
      <c r="B6592">
        <v>31</v>
      </c>
      <c r="C6592" t="str">
        <f>CHOOSE(MATCH(B6592, {20,25,30,35,40,45,50,55,60,65,70,75,80,85}, 1), "20-24", "25-29", "30-34", "35-39", "40-44", "45-49", "50-54", "55-59", "60-64", "65-69", "70-74", "75-79", "80-84", "85+")</f>
        <v>30-34</v>
      </c>
      <c r="D6592" t="s">
        <v>7</v>
      </c>
    </row>
    <row r="6593" spans="1:4">
      <c r="A6593" t="s">
        <v>6</v>
      </c>
      <c r="B6593">
        <v>68</v>
      </c>
      <c r="C6593" t="str">
        <f>CHOOSE(MATCH(B6593, {20,25,30,35,40,45,50,55,60,65,70,75,80,85}, 1), "20-24", "25-29", "30-34", "35-39", "40-44", "45-49", "50-54", "55-59", "60-64", "65-69", "70-74", "75-79", "80-84", "85+")</f>
        <v>65-69</v>
      </c>
      <c r="D6593" t="s">
        <v>7</v>
      </c>
    </row>
    <row r="6594" spans="1:4">
      <c r="A6594" t="s">
        <v>6</v>
      </c>
      <c r="B6594">
        <v>49</v>
      </c>
      <c r="C6594" t="str">
        <f>CHOOSE(MATCH(B6594, {20,25,30,35,40,45,50,55,60,65,70,75,80,85}, 1), "20-24", "25-29", "30-34", "35-39", "40-44", "45-49", "50-54", "55-59", "60-64", "65-69", "70-74", "75-79", "80-84", "85+")</f>
        <v>45-49</v>
      </c>
      <c r="D6594" t="s">
        <v>8</v>
      </c>
    </row>
    <row r="6595" spans="1:4">
      <c r="A6595" t="s">
        <v>6</v>
      </c>
      <c r="B6595">
        <v>36</v>
      </c>
      <c r="C6595" t="str">
        <f>CHOOSE(MATCH(B6595, {20,25,30,35,40,45,50,55,60,65,70,75,80,85}, 1), "20-24", "25-29", "30-34", "35-39", "40-44", "45-49", "50-54", "55-59", "60-64", "65-69", "70-74", "75-79", "80-84", "85+")</f>
        <v>35-39</v>
      </c>
      <c r="D6595" t="s">
        <v>8</v>
      </c>
    </row>
    <row r="6596" spans="1:4">
      <c r="A6596" t="s">
        <v>6</v>
      </c>
      <c r="B6596">
        <v>56</v>
      </c>
      <c r="C6596" t="str">
        <f>CHOOSE(MATCH(B6596, {20,25,30,35,40,45,50,55,60,65,70,75,80,85}, 1), "20-24", "25-29", "30-34", "35-39", "40-44", "45-49", "50-54", "55-59", "60-64", "65-69", "70-74", "75-79", "80-84", "85+")</f>
        <v>55-59</v>
      </c>
      <c r="D6596" t="s">
        <v>8</v>
      </c>
    </row>
    <row r="6597" spans="1:4">
      <c r="A6597" t="s">
        <v>6</v>
      </c>
      <c r="B6597">
        <v>34</v>
      </c>
      <c r="C6597" t="str">
        <f>CHOOSE(MATCH(B6597, {20,25,30,35,40,45,50,55,60,65,70,75,80,85}, 1), "20-24", "25-29", "30-34", "35-39", "40-44", "45-49", "50-54", "55-59", "60-64", "65-69", "70-74", "75-79", "80-84", "85+")</f>
        <v>30-34</v>
      </c>
      <c r="D6597" t="s">
        <v>7</v>
      </c>
    </row>
    <row r="6598" spans="1:4">
      <c r="A6598" t="s">
        <v>6</v>
      </c>
      <c r="B6598">
        <v>28</v>
      </c>
      <c r="C6598" t="str">
        <f>CHOOSE(MATCH(B6598, {20,25,30,35,40,45,50,55,60,65,70,75,80,85}, 1), "20-24", "25-29", "30-34", "35-39", "40-44", "45-49", "50-54", "55-59", "60-64", "65-69", "70-74", "75-79", "80-84", "85+")</f>
        <v>25-29</v>
      </c>
      <c r="D6598" t="s">
        <v>8</v>
      </c>
    </row>
    <row r="6599" spans="1:4">
      <c r="A6599" t="s">
        <v>6</v>
      </c>
      <c r="B6599">
        <v>62</v>
      </c>
      <c r="C6599" t="str">
        <f>CHOOSE(MATCH(B6599, {20,25,30,35,40,45,50,55,60,65,70,75,80,85}, 1), "20-24", "25-29", "30-34", "35-39", "40-44", "45-49", "50-54", "55-59", "60-64", "65-69", "70-74", "75-79", "80-84", "85+")</f>
        <v>60-64</v>
      </c>
      <c r="D6599" t="s">
        <v>8</v>
      </c>
    </row>
    <row r="6600" spans="1:4">
      <c r="A6600" t="s">
        <v>6</v>
      </c>
      <c r="B6600">
        <v>44</v>
      </c>
      <c r="C6600" t="str">
        <f>CHOOSE(MATCH(B6600, {20,25,30,35,40,45,50,55,60,65,70,75,80,85}, 1), "20-24", "25-29", "30-34", "35-39", "40-44", "45-49", "50-54", "55-59", "60-64", "65-69", "70-74", "75-79", "80-84", "85+")</f>
        <v>40-44</v>
      </c>
      <c r="D6600" t="s">
        <v>7</v>
      </c>
    </row>
    <row r="6601" spans="1:4">
      <c r="A6601" t="s">
        <v>6</v>
      </c>
      <c r="B6601">
        <v>34</v>
      </c>
      <c r="C6601" t="str">
        <f>CHOOSE(MATCH(B6601, {20,25,30,35,40,45,50,55,60,65,70,75,80,85}, 1), "20-24", "25-29", "30-34", "35-39", "40-44", "45-49", "50-54", "55-59", "60-64", "65-69", "70-74", "75-79", "80-84", "85+")</f>
        <v>30-34</v>
      </c>
      <c r="D6601" t="s">
        <v>7</v>
      </c>
    </row>
    <row r="6602" spans="1:4">
      <c r="A6602" t="s">
        <v>6</v>
      </c>
      <c r="B6602">
        <v>39</v>
      </c>
      <c r="C6602" t="str">
        <f>CHOOSE(MATCH(B6602, {20,25,30,35,40,45,50,55,60,65,70,75,80,85}, 1), "20-24", "25-29", "30-34", "35-39", "40-44", "45-49", "50-54", "55-59", "60-64", "65-69", "70-74", "75-79", "80-84", "85+")</f>
        <v>35-39</v>
      </c>
      <c r="D6602" t="s">
        <v>8</v>
      </c>
    </row>
    <row r="6603" spans="1:4">
      <c r="A6603" t="s">
        <v>6</v>
      </c>
      <c r="B6603">
        <v>32</v>
      </c>
      <c r="C6603" t="str">
        <f>CHOOSE(MATCH(B6603, {20,25,30,35,40,45,50,55,60,65,70,75,80,85}, 1), "20-24", "25-29", "30-34", "35-39", "40-44", "45-49", "50-54", "55-59", "60-64", "65-69", "70-74", "75-79", "80-84", "85+")</f>
        <v>30-34</v>
      </c>
      <c r="D6603" t="s">
        <v>7</v>
      </c>
    </row>
    <row r="6604" spans="1:4">
      <c r="A6604" t="s">
        <v>6</v>
      </c>
      <c r="B6604">
        <v>48</v>
      </c>
      <c r="C6604" t="str">
        <f>CHOOSE(MATCH(B6604, {20,25,30,35,40,45,50,55,60,65,70,75,80,85}, 1), "20-24", "25-29", "30-34", "35-39", "40-44", "45-49", "50-54", "55-59", "60-64", "65-69", "70-74", "75-79", "80-84", "85+")</f>
        <v>45-49</v>
      </c>
      <c r="D6604" t="s">
        <v>7</v>
      </c>
    </row>
    <row r="6605" spans="1:4">
      <c r="A6605" t="s">
        <v>6</v>
      </c>
      <c r="B6605">
        <v>37</v>
      </c>
      <c r="C6605" t="str">
        <f>CHOOSE(MATCH(B6605, {20,25,30,35,40,45,50,55,60,65,70,75,80,85}, 1), "20-24", "25-29", "30-34", "35-39", "40-44", "45-49", "50-54", "55-59", "60-64", "65-69", "70-74", "75-79", "80-84", "85+")</f>
        <v>35-39</v>
      </c>
      <c r="D6605" t="s">
        <v>7</v>
      </c>
    </row>
    <row r="6606" spans="1:4">
      <c r="A6606" t="s">
        <v>6</v>
      </c>
      <c r="B6606">
        <v>43</v>
      </c>
      <c r="C6606" t="str">
        <f>CHOOSE(MATCH(B6606, {20,25,30,35,40,45,50,55,60,65,70,75,80,85}, 1), "20-24", "25-29", "30-34", "35-39", "40-44", "45-49", "50-54", "55-59", "60-64", "65-69", "70-74", "75-79", "80-84", "85+")</f>
        <v>40-44</v>
      </c>
      <c r="D6606" t="s">
        <v>8</v>
      </c>
    </row>
    <row r="6607" spans="1:4">
      <c r="A6607" t="s">
        <v>6</v>
      </c>
      <c r="B6607">
        <v>57</v>
      </c>
      <c r="C6607" t="str">
        <f>CHOOSE(MATCH(B6607, {20,25,30,35,40,45,50,55,60,65,70,75,80,85}, 1), "20-24", "25-29", "30-34", "35-39", "40-44", "45-49", "50-54", "55-59", "60-64", "65-69", "70-74", "75-79", "80-84", "85+")</f>
        <v>55-59</v>
      </c>
      <c r="D6607" t="s">
        <v>7</v>
      </c>
    </row>
    <row r="6608" spans="1:4">
      <c r="A6608" t="s">
        <v>6</v>
      </c>
      <c r="B6608">
        <v>51</v>
      </c>
      <c r="C6608" t="str">
        <f>CHOOSE(MATCH(B6608, {20,25,30,35,40,45,50,55,60,65,70,75,80,85}, 1), "20-24", "25-29", "30-34", "35-39", "40-44", "45-49", "50-54", "55-59", "60-64", "65-69", "70-74", "75-79", "80-84", "85+")</f>
        <v>50-54</v>
      </c>
      <c r="D6608" t="s">
        <v>8</v>
      </c>
    </row>
    <row r="6609" spans="1:4">
      <c r="A6609" t="s">
        <v>6</v>
      </c>
      <c r="B6609">
        <v>30</v>
      </c>
      <c r="C6609" t="str">
        <f>CHOOSE(MATCH(B6609, {20,25,30,35,40,45,50,55,60,65,70,75,80,85}, 1), "20-24", "25-29", "30-34", "35-39", "40-44", "45-49", "50-54", "55-59", "60-64", "65-69", "70-74", "75-79", "80-84", "85+")</f>
        <v>30-34</v>
      </c>
      <c r="D6609" t="s">
        <v>7</v>
      </c>
    </row>
    <row r="6610" spans="1:4">
      <c r="A6610" t="s">
        <v>6</v>
      </c>
      <c r="B6610">
        <v>36</v>
      </c>
      <c r="C6610" t="str">
        <f>CHOOSE(MATCH(B6610, {20,25,30,35,40,45,50,55,60,65,70,75,80,85}, 1), "20-24", "25-29", "30-34", "35-39", "40-44", "45-49", "50-54", "55-59", "60-64", "65-69", "70-74", "75-79", "80-84", "85+")</f>
        <v>35-39</v>
      </c>
      <c r="D6610" t="s">
        <v>8</v>
      </c>
    </row>
    <row r="6611" spans="1:4">
      <c r="A6611" t="s">
        <v>6</v>
      </c>
      <c r="B6611">
        <v>77</v>
      </c>
      <c r="C6611" t="str">
        <f>CHOOSE(MATCH(B6611, {20,25,30,35,40,45,50,55,60,65,70,75,80,85}, 1), "20-24", "25-29", "30-34", "35-39", "40-44", "45-49", "50-54", "55-59", "60-64", "65-69", "70-74", "75-79", "80-84", "85+")</f>
        <v>75-79</v>
      </c>
      <c r="D6611" t="s">
        <v>7</v>
      </c>
    </row>
    <row r="6612" spans="1:4">
      <c r="A6612" t="s">
        <v>6</v>
      </c>
      <c r="B6612">
        <v>38</v>
      </c>
      <c r="C6612" t="str">
        <f>CHOOSE(MATCH(B6612, {20,25,30,35,40,45,50,55,60,65,70,75,80,85}, 1), "20-24", "25-29", "30-34", "35-39", "40-44", "45-49", "50-54", "55-59", "60-64", "65-69", "70-74", "75-79", "80-84", "85+")</f>
        <v>35-39</v>
      </c>
      <c r="D6612" t="s">
        <v>7</v>
      </c>
    </row>
    <row r="6613" spans="1:4">
      <c r="A6613" t="s">
        <v>6</v>
      </c>
      <c r="B6613">
        <v>63</v>
      </c>
      <c r="C6613" t="str">
        <f>CHOOSE(MATCH(B6613, {20,25,30,35,40,45,50,55,60,65,70,75,80,85}, 1), "20-24", "25-29", "30-34", "35-39", "40-44", "45-49", "50-54", "55-59", "60-64", "65-69", "70-74", "75-79", "80-84", "85+")</f>
        <v>60-64</v>
      </c>
      <c r="D6613" t="s">
        <v>8</v>
      </c>
    </row>
    <row r="6614" spans="1:4">
      <c r="A6614" t="s">
        <v>6</v>
      </c>
      <c r="B6614">
        <v>43</v>
      </c>
      <c r="C6614" t="str">
        <f>CHOOSE(MATCH(B6614, {20,25,30,35,40,45,50,55,60,65,70,75,80,85}, 1), "20-24", "25-29", "30-34", "35-39", "40-44", "45-49", "50-54", "55-59", "60-64", "65-69", "70-74", "75-79", "80-84", "85+")</f>
        <v>40-44</v>
      </c>
      <c r="D6614" t="s">
        <v>7</v>
      </c>
    </row>
    <row r="6615" spans="1:4">
      <c r="A6615" t="s">
        <v>6</v>
      </c>
      <c r="B6615">
        <v>79</v>
      </c>
      <c r="C6615" t="str">
        <f>CHOOSE(MATCH(B6615, {20,25,30,35,40,45,50,55,60,65,70,75,80,85}, 1), "20-24", "25-29", "30-34", "35-39", "40-44", "45-49", "50-54", "55-59", "60-64", "65-69", "70-74", "75-79", "80-84", "85+")</f>
        <v>75-79</v>
      </c>
      <c r="D6615" t="s">
        <v>8</v>
      </c>
    </row>
    <row r="6616" spans="1:4">
      <c r="A6616" t="s">
        <v>6</v>
      </c>
      <c r="B6616">
        <v>70</v>
      </c>
      <c r="C6616" t="str">
        <f>CHOOSE(MATCH(B6616, {20,25,30,35,40,45,50,55,60,65,70,75,80,85}, 1), "20-24", "25-29", "30-34", "35-39", "40-44", "45-49", "50-54", "55-59", "60-64", "65-69", "70-74", "75-79", "80-84", "85+")</f>
        <v>70-74</v>
      </c>
      <c r="D6616" t="s">
        <v>8</v>
      </c>
    </row>
    <row r="6617" spans="1:4">
      <c r="A6617" t="s">
        <v>6</v>
      </c>
      <c r="B6617">
        <v>24</v>
      </c>
      <c r="C6617" t="str">
        <f>CHOOSE(MATCH(B6617, {20,25,30,35,40,45,50,55,60,65,70,75,80,85}, 1), "20-24", "25-29", "30-34", "35-39", "40-44", "45-49", "50-54", "55-59", "60-64", "65-69", "70-74", "75-79", "80-84", "85+")</f>
        <v>20-24</v>
      </c>
      <c r="D6617" t="s">
        <v>7</v>
      </c>
    </row>
    <row r="6618" spans="1:4">
      <c r="A6618" t="s">
        <v>6</v>
      </c>
      <c r="B6618">
        <v>35</v>
      </c>
      <c r="C6618" t="str">
        <f>CHOOSE(MATCH(B6618, {20,25,30,35,40,45,50,55,60,65,70,75,80,85}, 1), "20-24", "25-29", "30-34", "35-39", "40-44", "45-49", "50-54", "55-59", "60-64", "65-69", "70-74", "75-79", "80-84", "85+")</f>
        <v>35-39</v>
      </c>
      <c r="D6618" t="s">
        <v>8</v>
      </c>
    </row>
    <row r="6619" spans="1:4">
      <c r="A6619" t="s">
        <v>6</v>
      </c>
      <c r="B6619">
        <v>26</v>
      </c>
      <c r="C6619" t="str">
        <f>CHOOSE(MATCH(B6619, {20,25,30,35,40,45,50,55,60,65,70,75,80,85}, 1), "20-24", "25-29", "30-34", "35-39", "40-44", "45-49", "50-54", "55-59", "60-64", "65-69", "70-74", "75-79", "80-84", "85+")</f>
        <v>25-29</v>
      </c>
      <c r="D6619" t="s">
        <v>7</v>
      </c>
    </row>
    <row r="6620" spans="1:4">
      <c r="A6620" t="s">
        <v>6</v>
      </c>
      <c r="B6620">
        <v>24</v>
      </c>
      <c r="C6620" t="str">
        <f>CHOOSE(MATCH(B6620, {20,25,30,35,40,45,50,55,60,65,70,75,80,85}, 1), "20-24", "25-29", "30-34", "35-39", "40-44", "45-49", "50-54", "55-59", "60-64", "65-69", "70-74", "75-79", "80-84", "85+")</f>
        <v>20-24</v>
      </c>
      <c r="D6620" t="s">
        <v>7</v>
      </c>
    </row>
    <row r="6621" spans="1:4">
      <c r="A6621" t="s">
        <v>6</v>
      </c>
      <c r="B6621">
        <v>34</v>
      </c>
      <c r="C6621" t="str">
        <f>CHOOSE(MATCH(B6621, {20,25,30,35,40,45,50,55,60,65,70,75,80,85}, 1), "20-24", "25-29", "30-34", "35-39", "40-44", "45-49", "50-54", "55-59", "60-64", "65-69", "70-74", "75-79", "80-84", "85+")</f>
        <v>30-34</v>
      </c>
      <c r="D6621" t="s">
        <v>8</v>
      </c>
    </row>
    <row r="6622" spans="1:4">
      <c r="A6622" t="s">
        <v>6</v>
      </c>
      <c r="B6622">
        <v>29</v>
      </c>
      <c r="C6622" t="str">
        <f>CHOOSE(MATCH(B6622, {20,25,30,35,40,45,50,55,60,65,70,75,80,85}, 1), "20-24", "25-29", "30-34", "35-39", "40-44", "45-49", "50-54", "55-59", "60-64", "65-69", "70-74", "75-79", "80-84", "85+")</f>
        <v>25-29</v>
      </c>
      <c r="D6622" t="s">
        <v>7</v>
      </c>
    </row>
    <row r="6623" spans="1:4">
      <c r="A6623" t="s">
        <v>6</v>
      </c>
      <c r="B6623">
        <v>26</v>
      </c>
      <c r="C6623" t="str">
        <f>CHOOSE(MATCH(B6623, {20,25,30,35,40,45,50,55,60,65,70,75,80,85}, 1), "20-24", "25-29", "30-34", "35-39", "40-44", "45-49", "50-54", "55-59", "60-64", "65-69", "70-74", "75-79", "80-84", "85+")</f>
        <v>25-29</v>
      </c>
      <c r="D6623" t="s">
        <v>7</v>
      </c>
    </row>
    <row r="6624" spans="1:4">
      <c r="A6624" t="s">
        <v>6</v>
      </c>
      <c r="B6624">
        <v>29</v>
      </c>
      <c r="C6624" t="str">
        <f>CHOOSE(MATCH(B6624, {20,25,30,35,40,45,50,55,60,65,70,75,80,85}, 1), "20-24", "25-29", "30-34", "35-39", "40-44", "45-49", "50-54", "55-59", "60-64", "65-69", "70-74", "75-79", "80-84", "85+")</f>
        <v>25-29</v>
      </c>
      <c r="D6624" t="s">
        <v>7</v>
      </c>
    </row>
    <row r="6625" spans="1:4">
      <c r="A6625" t="s">
        <v>6</v>
      </c>
      <c r="B6625">
        <v>37</v>
      </c>
      <c r="C6625" t="str">
        <f>CHOOSE(MATCH(B6625, {20,25,30,35,40,45,50,55,60,65,70,75,80,85}, 1), "20-24", "25-29", "30-34", "35-39", "40-44", "45-49", "50-54", "55-59", "60-64", "65-69", "70-74", "75-79", "80-84", "85+")</f>
        <v>35-39</v>
      </c>
      <c r="D6625" t="s">
        <v>7</v>
      </c>
    </row>
    <row r="6626" spans="1:4">
      <c r="A6626" t="s">
        <v>6</v>
      </c>
      <c r="B6626">
        <v>42</v>
      </c>
      <c r="C6626" t="str">
        <f>CHOOSE(MATCH(B6626, {20,25,30,35,40,45,50,55,60,65,70,75,80,85}, 1), "20-24", "25-29", "30-34", "35-39", "40-44", "45-49", "50-54", "55-59", "60-64", "65-69", "70-74", "75-79", "80-84", "85+")</f>
        <v>40-44</v>
      </c>
      <c r="D6626" t="s">
        <v>7</v>
      </c>
    </row>
    <row r="6627" spans="1:4">
      <c r="A6627" t="s">
        <v>6</v>
      </c>
      <c r="B6627">
        <v>29</v>
      </c>
      <c r="C6627" t="str">
        <f>CHOOSE(MATCH(B6627, {20,25,30,35,40,45,50,55,60,65,70,75,80,85}, 1), "20-24", "25-29", "30-34", "35-39", "40-44", "45-49", "50-54", "55-59", "60-64", "65-69", "70-74", "75-79", "80-84", "85+")</f>
        <v>25-29</v>
      </c>
      <c r="D6627" t="s">
        <v>7</v>
      </c>
    </row>
    <row r="6628" spans="1:4">
      <c r="A6628" t="s">
        <v>6</v>
      </c>
      <c r="B6628">
        <v>29</v>
      </c>
      <c r="C6628" t="str">
        <f>CHOOSE(MATCH(B6628, {20,25,30,35,40,45,50,55,60,65,70,75,80,85}, 1), "20-24", "25-29", "30-34", "35-39", "40-44", "45-49", "50-54", "55-59", "60-64", "65-69", "70-74", "75-79", "80-84", "85+")</f>
        <v>25-29</v>
      </c>
      <c r="D6628" t="s">
        <v>7</v>
      </c>
    </row>
    <row r="6629" spans="1:4">
      <c r="A6629" t="s">
        <v>6</v>
      </c>
      <c r="B6629">
        <v>27</v>
      </c>
      <c r="C6629" t="str">
        <f>CHOOSE(MATCH(B6629, {20,25,30,35,40,45,50,55,60,65,70,75,80,85}, 1), "20-24", "25-29", "30-34", "35-39", "40-44", "45-49", "50-54", "55-59", "60-64", "65-69", "70-74", "75-79", "80-84", "85+")</f>
        <v>25-29</v>
      </c>
      <c r="D6629" t="s">
        <v>7</v>
      </c>
    </row>
    <row r="6630" spans="1:4">
      <c r="A6630" t="s">
        <v>6</v>
      </c>
      <c r="B6630">
        <v>44</v>
      </c>
      <c r="C6630" t="str">
        <f>CHOOSE(MATCH(B6630, {20,25,30,35,40,45,50,55,60,65,70,75,80,85}, 1), "20-24", "25-29", "30-34", "35-39", "40-44", "45-49", "50-54", "55-59", "60-64", "65-69", "70-74", "75-79", "80-84", "85+")</f>
        <v>40-44</v>
      </c>
      <c r="D6630" t="s">
        <v>7</v>
      </c>
    </row>
    <row r="6631" spans="1:4">
      <c r="A6631" t="s">
        <v>6</v>
      </c>
      <c r="B6631">
        <v>26</v>
      </c>
      <c r="C6631" t="str">
        <f>CHOOSE(MATCH(B6631, {20,25,30,35,40,45,50,55,60,65,70,75,80,85}, 1), "20-24", "25-29", "30-34", "35-39", "40-44", "45-49", "50-54", "55-59", "60-64", "65-69", "70-74", "75-79", "80-84", "85+")</f>
        <v>25-29</v>
      </c>
      <c r="D6631" t="s">
        <v>7</v>
      </c>
    </row>
    <row r="6632" spans="1:4">
      <c r="A6632" t="s">
        <v>6</v>
      </c>
      <c r="B6632">
        <v>53</v>
      </c>
      <c r="C6632" t="str">
        <f>CHOOSE(MATCH(B6632, {20,25,30,35,40,45,50,55,60,65,70,75,80,85}, 1), "20-24", "25-29", "30-34", "35-39", "40-44", "45-49", "50-54", "55-59", "60-64", "65-69", "70-74", "75-79", "80-84", "85+")</f>
        <v>50-54</v>
      </c>
      <c r="D6632" t="s">
        <v>8</v>
      </c>
    </row>
    <row r="6633" spans="1:4">
      <c r="A6633" t="s">
        <v>6</v>
      </c>
      <c r="B6633">
        <v>31</v>
      </c>
      <c r="C6633" t="str">
        <f>CHOOSE(MATCH(B6633, {20,25,30,35,40,45,50,55,60,65,70,75,80,85}, 1), "20-24", "25-29", "30-34", "35-39", "40-44", "45-49", "50-54", "55-59", "60-64", "65-69", "70-74", "75-79", "80-84", "85+")</f>
        <v>30-34</v>
      </c>
      <c r="D6633" t="s">
        <v>8</v>
      </c>
    </row>
    <row r="6634" spans="1:4">
      <c r="A6634" t="s">
        <v>6</v>
      </c>
      <c r="B6634">
        <v>43</v>
      </c>
      <c r="C6634" t="str">
        <f>CHOOSE(MATCH(B6634, {20,25,30,35,40,45,50,55,60,65,70,75,80,85}, 1), "20-24", "25-29", "30-34", "35-39", "40-44", "45-49", "50-54", "55-59", "60-64", "65-69", "70-74", "75-79", "80-84", "85+")</f>
        <v>40-44</v>
      </c>
      <c r="D6634" t="s">
        <v>8</v>
      </c>
    </row>
    <row r="6635" spans="1:4">
      <c r="A6635" t="s">
        <v>6</v>
      </c>
      <c r="B6635">
        <v>25</v>
      </c>
      <c r="C6635" t="str">
        <f>CHOOSE(MATCH(B6635, {20,25,30,35,40,45,50,55,60,65,70,75,80,85}, 1), "20-24", "25-29", "30-34", "35-39", "40-44", "45-49", "50-54", "55-59", "60-64", "65-69", "70-74", "75-79", "80-84", "85+")</f>
        <v>25-29</v>
      </c>
      <c r="D6635" t="s">
        <v>7</v>
      </c>
    </row>
    <row r="6636" spans="1:4">
      <c r="A6636" t="s">
        <v>6</v>
      </c>
      <c r="B6636">
        <v>43</v>
      </c>
      <c r="C6636" t="str">
        <f>CHOOSE(MATCH(B6636, {20,25,30,35,40,45,50,55,60,65,70,75,80,85}, 1), "20-24", "25-29", "30-34", "35-39", "40-44", "45-49", "50-54", "55-59", "60-64", "65-69", "70-74", "75-79", "80-84", "85+")</f>
        <v>40-44</v>
      </c>
      <c r="D6636" t="s">
        <v>7</v>
      </c>
    </row>
    <row r="6637" spans="1:4">
      <c r="A6637" t="s">
        <v>6</v>
      </c>
      <c r="B6637">
        <v>29</v>
      </c>
      <c r="C6637" t="str">
        <f>CHOOSE(MATCH(B6637, {20,25,30,35,40,45,50,55,60,65,70,75,80,85}, 1), "20-24", "25-29", "30-34", "35-39", "40-44", "45-49", "50-54", "55-59", "60-64", "65-69", "70-74", "75-79", "80-84", "85+")</f>
        <v>25-29</v>
      </c>
      <c r="D6637" t="s">
        <v>8</v>
      </c>
    </row>
    <row r="6638" spans="1:4">
      <c r="A6638" t="s">
        <v>6</v>
      </c>
      <c r="B6638">
        <v>56</v>
      </c>
      <c r="C6638" t="str">
        <f>CHOOSE(MATCH(B6638, {20,25,30,35,40,45,50,55,60,65,70,75,80,85}, 1), "20-24", "25-29", "30-34", "35-39", "40-44", "45-49", "50-54", "55-59", "60-64", "65-69", "70-74", "75-79", "80-84", "85+")</f>
        <v>55-59</v>
      </c>
      <c r="D6638" t="s">
        <v>8</v>
      </c>
    </row>
    <row r="6639" spans="1:4">
      <c r="A6639" t="s">
        <v>6</v>
      </c>
      <c r="B6639">
        <v>34</v>
      </c>
      <c r="C6639" t="str">
        <f>CHOOSE(MATCH(B6639, {20,25,30,35,40,45,50,55,60,65,70,75,80,85}, 1), "20-24", "25-29", "30-34", "35-39", "40-44", "45-49", "50-54", "55-59", "60-64", "65-69", "70-74", "75-79", "80-84", "85+")</f>
        <v>30-34</v>
      </c>
      <c r="D6639" t="s">
        <v>7</v>
      </c>
    </row>
    <row r="6640" spans="1:4">
      <c r="A6640" t="s">
        <v>6</v>
      </c>
      <c r="B6640">
        <v>28</v>
      </c>
      <c r="C6640" t="str">
        <f>CHOOSE(MATCH(B6640, {20,25,30,35,40,45,50,55,60,65,70,75,80,85}, 1), "20-24", "25-29", "30-34", "35-39", "40-44", "45-49", "50-54", "55-59", "60-64", "65-69", "70-74", "75-79", "80-84", "85+")</f>
        <v>25-29</v>
      </c>
      <c r="D6640" t="s">
        <v>7</v>
      </c>
    </row>
    <row r="6641" spans="1:4">
      <c r="A6641" t="s">
        <v>6</v>
      </c>
      <c r="B6641">
        <v>53</v>
      </c>
      <c r="C6641" t="str">
        <f>CHOOSE(MATCH(B6641, {20,25,30,35,40,45,50,55,60,65,70,75,80,85}, 1), "20-24", "25-29", "30-34", "35-39", "40-44", "45-49", "50-54", "55-59", "60-64", "65-69", "70-74", "75-79", "80-84", "85+")</f>
        <v>50-54</v>
      </c>
      <c r="D6641" t="s">
        <v>8</v>
      </c>
    </row>
    <row r="6642" spans="1:4">
      <c r="A6642" t="s">
        <v>6</v>
      </c>
      <c r="B6642">
        <v>58</v>
      </c>
      <c r="C6642" t="str">
        <f>CHOOSE(MATCH(B6642, {20,25,30,35,40,45,50,55,60,65,70,75,80,85}, 1), "20-24", "25-29", "30-34", "35-39", "40-44", "45-49", "50-54", "55-59", "60-64", "65-69", "70-74", "75-79", "80-84", "85+")</f>
        <v>55-59</v>
      </c>
      <c r="D6642" t="s">
        <v>8</v>
      </c>
    </row>
    <row r="6643" spans="1:4">
      <c r="A6643" t="s">
        <v>6</v>
      </c>
      <c r="B6643">
        <v>30</v>
      </c>
      <c r="C6643" t="str">
        <f>CHOOSE(MATCH(B6643, {20,25,30,35,40,45,50,55,60,65,70,75,80,85}, 1), "20-24", "25-29", "30-34", "35-39", "40-44", "45-49", "50-54", "55-59", "60-64", "65-69", "70-74", "75-79", "80-84", "85+")</f>
        <v>30-34</v>
      </c>
      <c r="D6643" t="s">
        <v>7</v>
      </c>
    </row>
    <row r="6644" spans="1:4">
      <c r="A6644" t="s">
        <v>6</v>
      </c>
      <c r="B6644">
        <v>27</v>
      </c>
      <c r="C6644" t="str">
        <f>CHOOSE(MATCH(B6644, {20,25,30,35,40,45,50,55,60,65,70,75,80,85}, 1), "20-24", "25-29", "30-34", "35-39", "40-44", "45-49", "50-54", "55-59", "60-64", "65-69", "70-74", "75-79", "80-84", "85+")</f>
        <v>25-29</v>
      </c>
      <c r="D6644" t="s">
        <v>7</v>
      </c>
    </row>
    <row r="6645" spans="1:4">
      <c r="A6645" t="s">
        <v>6</v>
      </c>
      <c r="B6645">
        <v>42</v>
      </c>
      <c r="C6645" t="str">
        <f>CHOOSE(MATCH(B6645, {20,25,30,35,40,45,50,55,60,65,70,75,80,85}, 1), "20-24", "25-29", "30-34", "35-39", "40-44", "45-49", "50-54", "55-59", "60-64", "65-69", "70-74", "75-79", "80-84", "85+")</f>
        <v>40-44</v>
      </c>
      <c r="D6645" t="s">
        <v>8</v>
      </c>
    </row>
    <row r="6646" spans="1:4">
      <c r="A6646" t="s">
        <v>6</v>
      </c>
      <c r="B6646">
        <v>28</v>
      </c>
      <c r="C6646" t="str">
        <f>CHOOSE(MATCH(B6646, {20,25,30,35,40,45,50,55,60,65,70,75,80,85}, 1), "20-24", "25-29", "30-34", "35-39", "40-44", "45-49", "50-54", "55-59", "60-64", "65-69", "70-74", "75-79", "80-84", "85+")</f>
        <v>25-29</v>
      </c>
      <c r="D6646" t="s">
        <v>8</v>
      </c>
    </row>
    <row r="6647" spans="1:4">
      <c r="A6647" t="s">
        <v>6</v>
      </c>
      <c r="B6647">
        <v>48</v>
      </c>
      <c r="C6647" t="str">
        <f>CHOOSE(MATCH(B6647, {20,25,30,35,40,45,50,55,60,65,70,75,80,85}, 1), "20-24", "25-29", "30-34", "35-39", "40-44", "45-49", "50-54", "55-59", "60-64", "65-69", "70-74", "75-79", "80-84", "85+")</f>
        <v>45-49</v>
      </c>
      <c r="D6647" t="s">
        <v>8</v>
      </c>
    </row>
    <row r="6648" spans="1:4">
      <c r="A6648" t="s">
        <v>6</v>
      </c>
      <c r="B6648">
        <v>52</v>
      </c>
      <c r="C6648" t="str">
        <f>CHOOSE(MATCH(B6648, {20,25,30,35,40,45,50,55,60,65,70,75,80,85}, 1), "20-24", "25-29", "30-34", "35-39", "40-44", "45-49", "50-54", "55-59", "60-64", "65-69", "70-74", "75-79", "80-84", "85+")</f>
        <v>50-54</v>
      </c>
      <c r="D6648" t="s">
        <v>7</v>
      </c>
    </row>
    <row r="6649" spans="1:4">
      <c r="A6649" t="s">
        <v>6</v>
      </c>
      <c r="B6649">
        <v>43</v>
      </c>
      <c r="C6649" t="str">
        <f>CHOOSE(MATCH(B6649, {20,25,30,35,40,45,50,55,60,65,70,75,80,85}, 1), "20-24", "25-29", "30-34", "35-39", "40-44", "45-49", "50-54", "55-59", "60-64", "65-69", "70-74", "75-79", "80-84", "85+")</f>
        <v>40-44</v>
      </c>
      <c r="D6649" t="s">
        <v>8</v>
      </c>
    </row>
    <row r="6650" spans="1:4">
      <c r="A6650" t="s">
        <v>6</v>
      </c>
      <c r="B6650">
        <v>37</v>
      </c>
      <c r="C6650" t="str">
        <f>CHOOSE(MATCH(B6650, {20,25,30,35,40,45,50,55,60,65,70,75,80,85}, 1), "20-24", "25-29", "30-34", "35-39", "40-44", "45-49", "50-54", "55-59", "60-64", "65-69", "70-74", "75-79", "80-84", "85+")</f>
        <v>35-39</v>
      </c>
      <c r="D6650" t="s">
        <v>7</v>
      </c>
    </row>
    <row r="6651" spans="1:4">
      <c r="A6651" t="s">
        <v>6</v>
      </c>
      <c r="B6651">
        <v>36</v>
      </c>
      <c r="C6651" t="str">
        <f>CHOOSE(MATCH(B6651, {20,25,30,35,40,45,50,55,60,65,70,75,80,85}, 1), "20-24", "25-29", "30-34", "35-39", "40-44", "45-49", "50-54", "55-59", "60-64", "65-69", "70-74", "75-79", "80-84", "85+")</f>
        <v>35-39</v>
      </c>
      <c r="D6651" t="s">
        <v>7</v>
      </c>
    </row>
    <row r="6652" spans="1:4">
      <c r="A6652" t="s">
        <v>6</v>
      </c>
      <c r="B6652">
        <v>76</v>
      </c>
      <c r="C6652" t="str">
        <f>CHOOSE(MATCH(B6652, {20,25,30,35,40,45,50,55,60,65,70,75,80,85}, 1), "20-24", "25-29", "30-34", "35-39", "40-44", "45-49", "50-54", "55-59", "60-64", "65-69", "70-74", "75-79", "80-84", "85+")</f>
        <v>75-79</v>
      </c>
      <c r="D6652" t="s">
        <v>8</v>
      </c>
    </row>
    <row r="6653" spans="1:4">
      <c r="A6653" t="s">
        <v>6</v>
      </c>
      <c r="B6653">
        <v>35</v>
      </c>
      <c r="C6653" t="str">
        <f>CHOOSE(MATCH(B6653, {20,25,30,35,40,45,50,55,60,65,70,75,80,85}, 1), "20-24", "25-29", "30-34", "35-39", "40-44", "45-49", "50-54", "55-59", "60-64", "65-69", "70-74", "75-79", "80-84", "85+")</f>
        <v>35-39</v>
      </c>
      <c r="D6653" t="s">
        <v>8</v>
      </c>
    </row>
    <row r="6654" spans="1:4">
      <c r="A6654" t="s">
        <v>6</v>
      </c>
      <c r="B6654">
        <v>61</v>
      </c>
      <c r="C6654" t="str">
        <f>CHOOSE(MATCH(B6654, {20,25,30,35,40,45,50,55,60,65,70,75,80,85}, 1), "20-24", "25-29", "30-34", "35-39", "40-44", "45-49", "50-54", "55-59", "60-64", "65-69", "70-74", "75-79", "80-84", "85+")</f>
        <v>60-64</v>
      </c>
      <c r="D6654" t="s">
        <v>7</v>
      </c>
    </row>
    <row r="6655" spans="1:4">
      <c r="A6655" t="s">
        <v>6</v>
      </c>
      <c r="B6655">
        <v>50</v>
      </c>
      <c r="C6655" t="str">
        <f>CHOOSE(MATCH(B6655, {20,25,30,35,40,45,50,55,60,65,70,75,80,85}, 1), "20-24", "25-29", "30-34", "35-39", "40-44", "45-49", "50-54", "55-59", "60-64", "65-69", "70-74", "75-79", "80-84", "85+")</f>
        <v>50-54</v>
      </c>
      <c r="D6655" t="s">
        <v>8</v>
      </c>
    </row>
    <row r="6656" spans="1:4">
      <c r="A6656" t="s">
        <v>6</v>
      </c>
      <c r="B6656">
        <v>31</v>
      </c>
      <c r="C6656" t="str">
        <f>CHOOSE(MATCH(B6656, {20,25,30,35,40,45,50,55,60,65,70,75,80,85}, 1), "20-24", "25-29", "30-34", "35-39", "40-44", "45-49", "50-54", "55-59", "60-64", "65-69", "70-74", "75-79", "80-84", "85+")</f>
        <v>30-34</v>
      </c>
      <c r="D6656" t="s">
        <v>7</v>
      </c>
    </row>
    <row r="6657" spans="1:4">
      <c r="A6657" t="s">
        <v>6</v>
      </c>
      <c r="B6657">
        <v>25</v>
      </c>
      <c r="C6657" t="str">
        <f>CHOOSE(MATCH(B6657, {20,25,30,35,40,45,50,55,60,65,70,75,80,85}, 1), "20-24", "25-29", "30-34", "35-39", "40-44", "45-49", "50-54", "55-59", "60-64", "65-69", "70-74", "75-79", "80-84", "85+")</f>
        <v>25-29</v>
      </c>
      <c r="D6657" t="s">
        <v>7</v>
      </c>
    </row>
    <row r="6658" spans="1:4">
      <c r="A6658" t="s">
        <v>6</v>
      </c>
      <c r="B6658">
        <v>32</v>
      </c>
      <c r="C6658" t="str">
        <f>CHOOSE(MATCH(B6658, {20,25,30,35,40,45,50,55,60,65,70,75,80,85}, 1), "20-24", "25-29", "30-34", "35-39", "40-44", "45-49", "50-54", "55-59", "60-64", "65-69", "70-74", "75-79", "80-84", "85+")</f>
        <v>30-34</v>
      </c>
      <c r="D6658" t="s">
        <v>7</v>
      </c>
    </row>
    <row r="6659" spans="1:4">
      <c r="A6659" t="s">
        <v>6</v>
      </c>
      <c r="B6659">
        <v>73</v>
      </c>
      <c r="C6659" t="str">
        <f>CHOOSE(MATCH(B6659, {20,25,30,35,40,45,50,55,60,65,70,75,80,85}, 1), "20-24", "25-29", "30-34", "35-39", "40-44", "45-49", "50-54", "55-59", "60-64", "65-69", "70-74", "75-79", "80-84", "85+")</f>
        <v>70-74</v>
      </c>
      <c r="D6659" t="s">
        <v>8</v>
      </c>
    </row>
    <row r="6660" spans="1:4">
      <c r="A6660" t="s">
        <v>6</v>
      </c>
      <c r="B6660">
        <v>24</v>
      </c>
      <c r="C6660" t="str">
        <f>CHOOSE(MATCH(B6660, {20,25,30,35,40,45,50,55,60,65,70,75,80,85}, 1), "20-24", "25-29", "30-34", "35-39", "40-44", "45-49", "50-54", "55-59", "60-64", "65-69", "70-74", "75-79", "80-84", "85+")</f>
        <v>20-24</v>
      </c>
      <c r="D6660" t="s">
        <v>7</v>
      </c>
    </row>
    <row r="6661" spans="1:4">
      <c r="A6661" t="s">
        <v>6</v>
      </c>
      <c r="B6661">
        <v>29</v>
      </c>
      <c r="C6661" t="str">
        <f>CHOOSE(MATCH(B6661, {20,25,30,35,40,45,50,55,60,65,70,75,80,85}, 1), "20-24", "25-29", "30-34", "35-39", "40-44", "45-49", "50-54", "55-59", "60-64", "65-69", "70-74", "75-79", "80-84", "85+")</f>
        <v>25-29</v>
      </c>
      <c r="D6661" t="s">
        <v>7</v>
      </c>
    </row>
    <row r="6662" spans="1:4">
      <c r="A6662" t="s">
        <v>6</v>
      </c>
      <c r="B6662">
        <v>54</v>
      </c>
      <c r="C6662" t="str">
        <f>CHOOSE(MATCH(B6662, {20,25,30,35,40,45,50,55,60,65,70,75,80,85}, 1), "20-24", "25-29", "30-34", "35-39", "40-44", "45-49", "50-54", "55-59", "60-64", "65-69", "70-74", "75-79", "80-84", "85+")</f>
        <v>50-54</v>
      </c>
      <c r="D6662" t="s">
        <v>7</v>
      </c>
    </row>
    <row r="6663" spans="1:4">
      <c r="A6663" t="s">
        <v>6</v>
      </c>
      <c r="B6663">
        <v>43</v>
      </c>
      <c r="C6663" t="str">
        <f>CHOOSE(MATCH(B6663, {20,25,30,35,40,45,50,55,60,65,70,75,80,85}, 1), "20-24", "25-29", "30-34", "35-39", "40-44", "45-49", "50-54", "55-59", "60-64", "65-69", "70-74", "75-79", "80-84", "85+")</f>
        <v>40-44</v>
      </c>
      <c r="D6663" t="s">
        <v>8</v>
      </c>
    </row>
    <row r="6664" spans="1:4">
      <c r="A6664" t="s">
        <v>6</v>
      </c>
      <c r="B6664">
        <v>38</v>
      </c>
      <c r="C6664" t="str">
        <f>CHOOSE(MATCH(B6664, {20,25,30,35,40,45,50,55,60,65,70,75,80,85}, 1), "20-24", "25-29", "30-34", "35-39", "40-44", "45-49", "50-54", "55-59", "60-64", "65-69", "70-74", "75-79", "80-84", "85+")</f>
        <v>35-39</v>
      </c>
      <c r="D6664" t="s">
        <v>7</v>
      </c>
    </row>
    <row r="6665" spans="1:4">
      <c r="A6665" t="s">
        <v>6</v>
      </c>
      <c r="B6665">
        <v>49</v>
      </c>
      <c r="C6665" t="str">
        <f>CHOOSE(MATCH(B6665, {20,25,30,35,40,45,50,55,60,65,70,75,80,85}, 1), "20-24", "25-29", "30-34", "35-39", "40-44", "45-49", "50-54", "55-59", "60-64", "65-69", "70-74", "75-79", "80-84", "85+")</f>
        <v>45-49</v>
      </c>
      <c r="D6665" t="s">
        <v>8</v>
      </c>
    </row>
    <row r="6666" spans="1:4">
      <c r="A6666" t="s">
        <v>6</v>
      </c>
      <c r="B6666">
        <v>47</v>
      </c>
      <c r="C6666" t="str">
        <f>CHOOSE(MATCH(B6666, {20,25,30,35,40,45,50,55,60,65,70,75,80,85}, 1), "20-24", "25-29", "30-34", "35-39", "40-44", "45-49", "50-54", "55-59", "60-64", "65-69", "70-74", "75-79", "80-84", "85+")</f>
        <v>45-49</v>
      </c>
      <c r="D6666" t="s">
        <v>7</v>
      </c>
    </row>
    <row r="6667" spans="1:4">
      <c r="A6667" t="s">
        <v>6</v>
      </c>
      <c r="B6667">
        <v>43</v>
      </c>
      <c r="C6667" t="str">
        <f>CHOOSE(MATCH(B6667, {20,25,30,35,40,45,50,55,60,65,70,75,80,85}, 1), "20-24", "25-29", "30-34", "35-39", "40-44", "45-49", "50-54", "55-59", "60-64", "65-69", "70-74", "75-79", "80-84", "85+")</f>
        <v>40-44</v>
      </c>
      <c r="D6667" t="s">
        <v>8</v>
      </c>
    </row>
    <row r="6668" spans="1:4">
      <c r="A6668" t="s">
        <v>6</v>
      </c>
      <c r="B6668">
        <v>20</v>
      </c>
      <c r="C6668" t="str">
        <f>CHOOSE(MATCH(B6668, {20,25,30,35,40,45,50,55,60,65,70,75,80,85}, 1), "20-24", "25-29", "30-34", "35-39", "40-44", "45-49", "50-54", "55-59", "60-64", "65-69", "70-74", "75-79", "80-84", "85+")</f>
        <v>20-24</v>
      </c>
      <c r="D6668" t="s">
        <v>8</v>
      </c>
    </row>
    <row r="6669" spans="1:4">
      <c r="A6669" t="s">
        <v>6</v>
      </c>
      <c r="B6669">
        <v>35</v>
      </c>
      <c r="C6669" t="str">
        <f>CHOOSE(MATCH(B6669, {20,25,30,35,40,45,50,55,60,65,70,75,80,85}, 1), "20-24", "25-29", "30-34", "35-39", "40-44", "45-49", "50-54", "55-59", "60-64", "65-69", "70-74", "75-79", "80-84", "85+")</f>
        <v>35-39</v>
      </c>
      <c r="D6669" t="s">
        <v>8</v>
      </c>
    </row>
    <row r="6670" spans="1:4">
      <c r="A6670" t="s">
        <v>6</v>
      </c>
      <c r="B6670">
        <v>66</v>
      </c>
      <c r="C6670" t="str">
        <f>CHOOSE(MATCH(B6670, {20,25,30,35,40,45,50,55,60,65,70,75,80,85}, 1), "20-24", "25-29", "30-34", "35-39", "40-44", "45-49", "50-54", "55-59", "60-64", "65-69", "70-74", "75-79", "80-84", "85+")</f>
        <v>65-69</v>
      </c>
      <c r="D6670" t="s">
        <v>8</v>
      </c>
    </row>
    <row r="6671" spans="1:4">
      <c r="A6671" t="s">
        <v>6</v>
      </c>
      <c r="B6671">
        <v>42</v>
      </c>
      <c r="C6671" t="str">
        <f>CHOOSE(MATCH(B6671, {20,25,30,35,40,45,50,55,60,65,70,75,80,85}, 1), "20-24", "25-29", "30-34", "35-39", "40-44", "45-49", "50-54", "55-59", "60-64", "65-69", "70-74", "75-79", "80-84", "85+")</f>
        <v>40-44</v>
      </c>
      <c r="D6671" t="s">
        <v>7</v>
      </c>
    </row>
    <row r="6672" spans="1:4">
      <c r="A6672" t="s">
        <v>6</v>
      </c>
      <c r="B6672">
        <v>66</v>
      </c>
      <c r="C6672" t="str">
        <f>CHOOSE(MATCH(B6672, {20,25,30,35,40,45,50,55,60,65,70,75,80,85}, 1), "20-24", "25-29", "30-34", "35-39", "40-44", "45-49", "50-54", "55-59", "60-64", "65-69", "70-74", "75-79", "80-84", "85+")</f>
        <v>65-69</v>
      </c>
      <c r="D6672" t="s">
        <v>7</v>
      </c>
    </row>
    <row r="6673" spans="1:4">
      <c r="A6673" t="s">
        <v>6</v>
      </c>
      <c r="B6673">
        <v>36</v>
      </c>
      <c r="C6673" t="str">
        <f>CHOOSE(MATCH(B6673, {20,25,30,35,40,45,50,55,60,65,70,75,80,85}, 1), "20-24", "25-29", "30-34", "35-39", "40-44", "45-49", "50-54", "55-59", "60-64", "65-69", "70-74", "75-79", "80-84", "85+")</f>
        <v>35-39</v>
      </c>
      <c r="D6673" t="s">
        <v>8</v>
      </c>
    </row>
    <row r="6674" spans="1:4">
      <c r="A6674" t="s">
        <v>6</v>
      </c>
      <c r="B6674">
        <v>23</v>
      </c>
      <c r="C6674" t="str">
        <f>CHOOSE(MATCH(B6674, {20,25,30,35,40,45,50,55,60,65,70,75,80,85}, 1), "20-24", "25-29", "30-34", "35-39", "40-44", "45-49", "50-54", "55-59", "60-64", "65-69", "70-74", "75-79", "80-84", "85+")</f>
        <v>20-24</v>
      </c>
      <c r="D6674" t="s">
        <v>7</v>
      </c>
    </row>
    <row r="6675" spans="1:4">
      <c r="A6675" t="s">
        <v>6</v>
      </c>
      <c r="B6675">
        <v>20</v>
      </c>
      <c r="C6675" t="str">
        <f>CHOOSE(MATCH(B6675, {20,25,30,35,40,45,50,55,60,65,70,75,80,85}, 1), "20-24", "25-29", "30-34", "35-39", "40-44", "45-49", "50-54", "55-59", "60-64", "65-69", "70-74", "75-79", "80-84", "85+")</f>
        <v>20-24</v>
      </c>
      <c r="D6675" t="s">
        <v>7</v>
      </c>
    </row>
    <row r="6676" spans="1:4">
      <c r="A6676" t="s">
        <v>6</v>
      </c>
      <c r="B6676">
        <v>39</v>
      </c>
      <c r="C6676" t="str">
        <f>CHOOSE(MATCH(B6676, {20,25,30,35,40,45,50,55,60,65,70,75,80,85}, 1), "20-24", "25-29", "30-34", "35-39", "40-44", "45-49", "50-54", "55-59", "60-64", "65-69", "70-74", "75-79", "80-84", "85+")</f>
        <v>35-39</v>
      </c>
      <c r="D6676" t="s">
        <v>8</v>
      </c>
    </row>
    <row r="6677" spans="1:4">
      <c r="A6677" t="s">
        <v>6</v>
      </c>
      <c r="B6677">
        <v>37</v>
      </c>
      <c r="C6677" t="str">
        <f>CHOOSE(MATCH(B6677, {20,25,30,35,40,45,50,55,60,65,70,75,80,85}, 1), "20-24", "25-29", "30-34", "35-39", "40-44", "45-49", "50-54", "55-59", "60-64", "65-69", "70-74", "75-79", "80-84", "85+")</f>
        <v>35-39</v>
      </c>
      <c r="D6677" t="s">
        <v>8</v>
      </c>
    </row>
    <row r="6678" spans="1:4">
      <c r="A6678" t="s">
        <v>6</v>
      </c>
      <c r="B6678">
        <v>46</v>
      </c>
      <c r="C6678" t="str">
        <f>CHOOSE(MATCH(B6678, {20,25,30,35,40,45,50,55,60,65,70,75,80,85}, 1), "20-24", "25-29", "30-34", "35-39", "40-44", "45-49", "50-54", "55-59", "60-64", "65-69", "70-74", "75-79", "80-84", "85+")</f>
        <v>45-49</v>
      </c>
      <c r="D6678" t="s">
        <v>8</v>
      </c>
    </row>
    <row r="6679" spans="1:4">
      <c r="A6679" t="s">
        <v>6</v>
      </c>
      <c r="B6679">
        <v>27</v>
      </c>
      <c r="C6679" t="str">
        <f>CHOOSE(MATCH(B6679, {20,25,30,35,40,45,50,55,60,65,70,75,80,85}, 1), "20-24", "25-29", "30-34", "35-39", "40-44", "45-49", "50-54", "55-59", "60-64", "65-69", "70-74", "75-79", "80-84", "85+")</f>
        <v>25-29</v>
      </c>
      <c r="D6679" t="s">
        <v>8</v>
      </c>
    </row>
    <row r="6680" spans="1:4">
      <c r="A6680" t="s">
        <v>6</v>
      </c>
      <c r="B6680">
        <v>29</v>
      </c>
      <c r="C6680" t="str">
        <f>CHOOSE(MATCH(B6680, {20,25,30,35,40,45,50,55,60,65,70,75,80,85}, 1), "20-24", "25-29", "30-34", "35-39", "40-44", "45-49", "50-54", "55-59", "60-64", "65-69", "70-74", "75-79", "80-84", "85+")</f>
        <v>25-29</v>
      </c>
      <c r="D6680" t="s">
        <v>8</v>
      </c>
    </row>
    <row r="6681" spans="1:4">
      <c r="A6681" t="s">
        <v>6</v>
      </c>
      <c r="B6681">
        <v>47</v>
      </c>
      <c r="C6681" t="str">
        <f>CHOOSE(MATCH(B6681, {20,25,30,35,40,45,50,55,60,65,70,75,80,85}, 1), "20-24", "25-29", "30-34", "35-39", "40-44", "45-49", "50-54", "55-59", "60-64", "65-69", "70-74", "75-79", "80-84", "85+")</f>
        <v>45-49</v>
      </c>
      <c r="D6681" t="s">
        <v>8</v>
      </c>
    </row>
    <row r="6682" spans="1:4">
      <c r="A6682" t="s">
        <v>6</v>
      </c>
      <c r="B6682">
        <v>29</v>
      </c>
      <c r="C6682" t="str">
        <f>CHOOSE(MATCH(B6682, {20,25,30,35,40,45,50,55,60,65,70,75,80,85}, 1), "20-24", "25-29", "30-34", "35-39", "40-44", "45-49", "50-54", "55-59", "60-64", "65-69", "70-74", "75-79", "80-84", "85+")</f>
        <v>25-29</v>
      </c>
      <c r="D6682" t="s">
        <v>8</v>
      </c>
    </row>
    <row r="6683" spans="1:4">
      <c r="A6683" t="s">
        <v>6</v>
      </c>
      <c r="B6683">
        <v>30</v>
      </c>
      <c r="C6683" t="str">
        <f>CHOOSE(MATCH(B6683, {20,25,30,35,40,45,50,55,60,65,70,75,80,85}, 1), "20-24", "25-29", "30-34", "35-39", "40-44", "45-49", "50-54", "55-59", "60-64", "65-69", "70-74", "75-79", "80-84", "85+")</f>
        <v>30-34</v>
      </c>
      <c r="D6683" t="s">
        <v>7</v>
      </c>
    </row>
    <row r="6684" spans="1:4">
      <c r="A6684" t="s">
        <v>6</v>
      </c>
      <c r="B6684">
        <v>38</v>
      </c>
      <c r="C6684" t="str">
        <f>CHOOSE(MATCH(B6684, {20,25,30,35,40,45,50,55,60,65,70,75,80,85}, 1), "20-24", "25-29", "30-34", "35-39", "40-44", "45-49", "50-54", "55-59", "60-64", "65-69", "70-74", "75-79", "80-84", "85+")</f>
        <v>35-39</v>
      </c>
      <c r="D6684" t="s">
        <v>8</v>
      </c>
    </row>
    <row r="6685" spans="1:4">
      <c r="A6685" t="s">
        <v>6</v>
      </c>
      <c r="B6685">
        <v>36</v>
      </c>
      <c r="C6685" t="str">
        <f>CHOOSE(MATCH(B6685, {20,25,30,35,40,45,50,55,60,65,70,75,80,85}, 1), "20-24", "25-29", "30-34", "35-39", "40-44", "45-49", "50-54", "55-59", "60-64", "65-69", "70-74", "75-79", "80-84", "85+")</f>
        <v>35-39</v>
      </c>
      <c r="D6685" t="s">
        <v>8</v>
      </c>
    </row>
    <row r="6686" spans="1:4">
      <c r="A6686" t="s">
        <v>6</v>
      </c>
      <c r="B6686">
        <v>47</v>
      </c>
      <c r="C6686" t="str">
        <f>CHOOSE(MATCH(B6686, {20,25,30,35,40,45,50,55,60,65,70,75,80,85}, 1), "20-24", "25-29", "30-34", "35-39", "40-44", "45-49", "50-54", "55-59", "60-64", "65-69", "70-74", "75-79", "80-84", "85+")</f>
        <v>45-49</v>
      </c>
      <c r="D6686" t="s">
        <v>8</v>
      </c>
    </row>
    <row r="6687" spans="1:4">
      <c r="A6687" t="s">
        <v>6</v>
      </c>
      <c r="B6687">
        <v>31</v>
      </c>
      <c r="C6687" t="str">
        <f>CHOOSE(MATCH(B6687, {20,25,30,35,40,45,50,55,60,65,70,75,80,85}, 1), "20-24", "25-29", "30-34", "35-39", "40-44", "45-49", "50-54", "55-59", "60-64", "65-69", "70-74", "75-79", "80-84", "85+")</f>
        <v>30-34</v>
      </c>
      <c r="D6687" t="s">
        <v>7</v>
      </c>
    </row>
    <row r="6688" spans="1:4">
      <c r="A6688" t="s">
        <v>6</v>
      </c>
      <c r="B6688">
        <v>39</v>
      </c>
      <c r="C6688" t="str">
        <f>CHOOSE(MATCH(B6688, {20,25,30,35,40,45,50,55,60,65,70,75,80,85}, 1), "20-24", "25-29", "30-34", "35-39", "40-44", "45-49", "50-54", "55-59", "60-64", "65-69", "70-74", "75-79", "80-84", "85+")</f>
        <v>35-39</v>
      </c>
      <c r="D6688" t="s">
        <v>8</v>
      </c>
    </row>
    <row r="6689" spans="1:4">
      <c r="A6689" t="s">
        <v>6</v>
      </c>
      <c r="B6689">
        <v>36</v>
      </c>
      <c r="C6689" t="str">
        <f>CHOOSE(MATCH(B6689, {20,25,30,35,40,45,50,55,60,65,70,75,80,85}, 1), "20-24", "25-29", "30-34", "35-39", "40-44", "45-49", "50-54", "55-59", "60-64", "65-69", "70-74", "75-79", "80-84", "85+")</f>
        <v>35-39</v>
      </c>
      <c r="D6689" t="s">
        <v>8</v>
      </c>
    </row>
    <row r="6690" spans="1:4">
      <c r="A6690" t="s">
        <v>6</v>
      </c>
      <c r="B6690">
        <v>83</v>
      </c>
      <c r="C6690" t="str">
        <f>CHOOSE(MATCH(B6690, {20,25,30,35,40,45,50,55,60,65,70,75,80,85}, 1), "20-24", "25-29", "30-34", "35-39", "40-44", "45-49", "50-54", "55-59", "60-64", "65-69", "70-74", "75-79", "80-84", "85+")</f>
        <v>80-84</v>
      </c>
      <c r="D6690" t="s">
        <v>8</v>
      </c>
    </row>
    <row r="6691" spans="1:4">
      <c r="A6691" t="s">
        <v>6</v>
      </c>
      <c r="B6691">
        <v>62</v>
      </c>
      <c r="C6691" t="str">
        <f>CHOOSE(MATCH(B6691, {20,25,30,35,40,45,50,55,60,65,70,75,80,85}, 1), "20-24", "25-29", "30-34", "35-39", "40-44", "45-49", "50-54", "55-59", "60-64", "65-69", "70-74", "75-79", "80-84", "85+")</f>
        <v>60-64</v>
      </c>
      <c r="D6691" t="s">
        <v>7</v>
      </c>
    </row>
    <row r="6692" spans="1:4">
      <c r="A6692" t="s">
        <v>6</v>
      </c>
      <c r="B6692">
        <v>60</v>
      </c>
      <c r="C6692" t="str">
        <f>CHOOSE(MATCH(B6692, {20,25,30,35,40,45,50,55,60,65,70,75,80,85}, 1), "20-24", "25-29", "30-34", "35-39", "40-44", "45-49", "50-54", "55-59", "60-64", "65-69", "70-74", "75-79", "80-84", "85+")</f>
        <v>60-64</v>
      </c>
      <c r="D6692" t="s">
        <v>7</v>
      </c>
    </row>
    <row r="6693" spans="1:4">
      <c r="A6693" t="s">
        <v>6</v>
      </c>
      <c r="B6693">
        <v>28</v>
      </c>
      <c r="C6693" t="str">
        <f>CHOOSE(MATCH(B6693, {20,25,30,35,40,45,50,55,60,65,70,75,80,85}, 1), "20-24", "25-29", "30-34", "35-39", "40-44", "45-49", "50-54", "55-59", "60-64", "65-69", "70-74", "75-79", "80-84", "85+")</f>
        <v>25-29</v>
      </c>
      <c r="D6693" t="s">
        <v>8</v>
      </c>
    </row>
    <row r="6694" spans="1:4">
      <c r="A6694" t="s">
        <v>6</v>
      </c>
      <c r="B6694">
        <v>76</v>
      </c>
      <c r="C6694" t="str">
        <f>CHOOSE(MATCH(B6694, {20,25,30,35,40,45,50,55,60,65,70,75,80,85}, 1), "20-24", "25-29", "30-34", "35-39", "40-44", "45-49", "50-54", "55-59", "60-64", "65-69", "70-74", "75-79", "80-84", "85+")</f>
        <v>75-79</v>
      </c>
      <c r="D6694" t="s">
        <v>8</v>
      </c>
    </row>
    <row r="6695" spans="1:4">
      <c r="A6695" t="s">
        <v>6</v>
      </c>
      <c r="B6695">
        <v>42</v>
      </c>
      <c r="C6695" t="str">
        <f>CHOOSE(MATCH(B6695, {20,25,30,35,40,45,50,55,60,65,70,75,80,85}, 1), "20-24", "25-29", "30-34", "35-39", "40-44", "45-49", "50-54", "55-59", "60-64", "65-69", "70-74", "75-79", "80-84", "85+")</f>
        <v>40-44</v>
      </c>
      <c r="D6695" t="s">
        <v>8</v>
      </c>
    </row>
    <row r="6696" spans="1:4">
      <c r="A6696" t="s">
        <v>6</v>
      </c>
      <c r="B6696">
        <v>56</v>
      </c>
      <c r="C6696" t="str">
        <f>CHOOSE(MATCH(B6696, {20,25,30,35,40,45,50,55,60,65,70,75,80,85}, 1), "20-24", "25-29", "30-34", "35-39", "40-44", "45-49", "50-54", "55-59", "60-64", "65-69", "70-74", "75-79", "80-84", "85+")</f>
        <v>55-59</v>
      </c>
      <c r="D6696" t="s">
        <v>8</v>
      </c>
    </row>
    <row r="6697" spans="1:4">
      <c r="A6697" t="s">
        <v>6</v>
      </c>
      <c r="B6697">
        <v>35</v>
      </c>
      <c r="C6697" t="str">
        <f>CHOOSE(MATCH(B6697, {20,25,30,35,40,45,50,55,60,65,70,75,80,85}, 1), "20-24", "25-29", "30-34", "35-39", "40-44", "45-49", "50-54", "55-59", "60-64", "65-69", "70-74", "75-79", "80-84", "85+")</f>
        <v>35-39</v>
      </c>
      <c r="D6697" t="s">
        <v>8</v>
      </c>
    </row>
    <row r="6698" spans="1:4">
      <c r="A6698" t="s">
        <v>6</v>
      </c>
      <c r="B6698">
        <v>58</v>
      </c>
      <c r="C6698" t="str">
        <f>CHOOSE(MATCH(B6698, {20,25,30,35,40,45,50,55,60,65,70,75,80,85}, 1), "20-24", "25-29", "30-34", "35-39", "40-44", "45-49", "50-54", "55-59", "60-64", "65-69", "70-74", "75-79", "80-84", "85+")</f>
        <v>55-59</v>
      </c>
      <c r="D6698" t="s">
        <v>8</v>
      </c>
    </row>
    <row r="6699" spans="1:4">
      <c r="A6699" t="s">
        <v>6</v>
      </c>
      <c r="B6699">
        <v>67</v>
      </c>
      <c r="C6699" t="str">
        <f>CHOOSE(MATCH(B6699, {20,25,30,35,40,45,50,55,60,65,70,75,80,85}, 1), "20-24", "25-29", "30-34", "35-39", "40-44", "45-49", "50-54", "55-59", "60-64", "65-69", "70-74", "75-79", "80-84", "85+")</f>
        <v>65-69</v>
      </c>
      <c r="D6699" t="s">
        <v>7</v>
      </c>
    </row>
    <row r="6700" spans="1:4">
      <c r="A6700" t="s">
        <v>6</v>
      </c>
      <c r="B6700">
        <v>45</v>
      </c>
      <c r="C6700" t="str">
        <f>CHOOSE(MATCH(B6700, {20,25,30,35,40,45,50,55,60,65,70,75,80,85}, 1), "20-24", "25-29", "30-34", "35-39", "40-44", "45-49", "50-54", "55-59", "60-64", "65-69", "70-74", "75-79", "80-84", "85+")</f>
        <v>45-49</v>
      </c>
      <c r="D6700" t="s">
        <v>7</v>
      </c>
    </row>
    <row r="6701" spans="1:4">
      <c r="A6701" t="s">
        <v>6</v>
      </c>
      <c r="B6701">
        <v>31</v>
      </c>
      <c r="C6701" t="str">
        <f>CHOOSE(MATCH(B6701, {20,25,30,35,40,45,50,55,60,65,70,75,80,85}, 1), "20-24", "25-29", "30-34", "35-39", "40-44", "45-49", "50-54", "55-59", "60-64", "65-69", "70-74", "75-79", "80-84", "85+")</f>
        <v>30-34</v>
      </c>
      <c r="D6701" t="s">
        <v>8</v>
      </c>
    </row>
    <row r="6702" spans="1:4">
      <c r="A6702" t="s">
        <v>6</v>
      </c>
      <c r="B6702">
        <v>31</v>
      </c>
      <c r="C6702" t="str">
        <f>CHOOSE(MATCH(B6702, {20,25,30,35,40,45,50,55,60,65,70,75,80,85}, 1), "20-24", "25-29", "30-34", "35-39", "40-44", "45-49", "50-54", "55-59", "60-64", "65-69", "70-74", "75-79", "80-84", "85+")</f>
        <v>30-34</v>
      </c>
      <c r="D6702" t="s">
        <v>7</v>
      </c>
    </row>
    <row r="6703" spans="1:4">
      <c r="A6703" t="s">
        <v>6</v>
      </c>
      <c r="B6703">
        <v>71</v>
      </c>
      <c r="C6703" t="str">
        <f>CHOOSE(MATCH(B6703, {20,25,30,35,40,45,50,55,60,65,70,75,80,85}, 1), "20-24", "25-29", "30-34", "35-39", "40-44", "45-49", "50-54", "55-59", "60-64", "65-69", "70-74", "75-79", "80-84", "85+")</f>
        <v>70-74</v>
      </c>
      <c r="D6703" t="s">
        <v>8</v>
      </c>
    </row>
    <row r="6704" spans="1:4">
      <c r="A6704" t="s">
        <v>6</v>
      </c>
      <c r="B6704">
        <v>47</v>
      </c>
      <c r="C6704" t="str">
        <f>CHOOSE(MATCH(B6704, {20,25,30,35,40,45,50,55,60,65,70,75,80,85}, 1), "20-24", "25-29", "30-34", "35-39", "40-44", "45-49", "50-54", "55-59", "60-64", "65-69", "70-74", "75-79", "80-84", "85+")</f>
        <v>45-49</v>
      </c>
      <c r="D6704" t="s">
        <v>7</v>
      </c>
    </row>
    <row r="6705" spans="1:4">
      <c r="A6705" t="s">
        <v>6</v>
      </c>
      <c r="B6705">
        <v>40</v>
      </c>
      <c r="C6705" t="str">
        <f>CHOOSE(MATCH(B6705, {20,25,30,35,40,45,50,55,60,65,70,75,80,85}, 1), "20-24", "25-29", "30-34", "35-39", "40-44", "45-49", "50-54", "55-59", "60-64", "65-69", "70-74", "75-79", "80-84", "85+")</f>
        <v>40-44</v>
      </c>
      <c r="D6705" t="s">
        <v>8</v>
      </c>
    </row>
    <row r="6706" spans="1:4">
      <c r="A6706" t="s">
        <v>6</v>
      </c>
      <c r="B6706">
        <v>28</v>
      </c>
      <c r="C6706" t="str">
        <f>CHOOSE(MATCH(B6706, {20,25,30,35,40,45,50,55,60,65,70,75,80,85}, 1), "20-24", "25-29", "30-34", "35-39", "40-44", "45-49", "50-54", "55-59", "60-64", "65-69", "70-74", "75-79", "80-84", "85+")</f>
        <v>25-29</v>
      </c>
      <c r="D6706" t="s">
        <v>8</v>
      </c>
    </row>
    <row r="6707" spans="1:4">
      <c r="A6707" t="s">
        <v>6</v>
      </c>
      <c r="B6707">
        <v>52</v>
      </c>
      <c r="C6707" t="str">
        <f>CHOOSE(MATCH(B6707, {20,25,30,35,40,45,50,55,60,65,70,75,80,85}, 1), "20-24", "25-29", "30-34", "35-39", "40-44", "45-49", "50-54", "55-59", "60-64", "65-69", "70-74", "75-79", "80-84", "85+")</f>
        <v>50-54</v>
      </c>
      <c r="D6707" t="s">
        <v>8</v>
      </c>
    </row>
    <row r="6708" spans="1:4">
      <c r="A6708" t="s">
        <v>6</v>
      </c>
      <c r="B6708">
        <v>26</v>
      </c>
      <c r="C6708" t="str">
        <f>CHOOSE(MATCH(B6708, {20,25,30,35,40,45,50,55,60,65,70,75,80,85}, 1), "20-24", "25-29", "30-34", "35-39", "40-44", "45-49", "50-54", "55-59", "60-64", "65-69", "70-74", "75-79", "80-84", "85+")</f>
        <v>25-29</v>
      </c>
      <c r="D6708" t="s">
        <v>8</v>
      </c>
    </row>
    <row r="6709" spans="1:4">
      <c r="A6709" t="s">
        <v>6</v>
      </c>
      <c r="B6709">
        <v>28</v>
      </c>
      <c r="C6709" t="str">
        <f>CHOOSE(MATCH(B6709, {20,25,30,35,40,45,50,55,60,65,70,75,80,85}, 1), "20-24", "25-29", "30-34", "35-39", "40-44", "45-49", "50-54", "55-59", "60-64", "65-69", "70-74", "75-79", "80-84", "85+")</f>
        <v>25-29</v>
      </c>
      <c r="D6709" t="s">
        <v>7</v>
      </c>
    </row>
    <row r="6710" spans="1:4">
      <c r="A6710" t="s">
        <v>6</v>
      </c>
      <c r="B6710">
        <v>35</v>
      </c>
      <c r="C6710" t="str">
        <f>CHOOSE(MATCH(B6710, {20,25,30,35,40,45,50,55,60,65,70,75,80,85}, 1), "20-24", "25-29", "30-34", "35-39", "40-44", "45-49", "50-54", "55-59", "60-64", "65-69", "70-74", "75-79", "80-84", "85+")</f>
        <v>35-39</v>
      </c>
      <c r="D6710" t="s">
        <v>7</v>
      </c>
    </row>
    <row r="6711" spans="1:4">
      <c r="A6711" t="s">
        <v>6</v>
      </c>
      <c r="B6711">
        <v>33</v>
      </c>
      <c r="C6711" t="str">
        <f>CHOOSE(MATCH(B6711, {20,25,30,35,40,45,50,55,60,65,70,75,80,85}, 1), "20-24", "25-29", "30-34", "35-39", "40-44", "45-49", "50-54", "55-59", "60-64", "65-69", "70-74", "75-79", "80-84", "85+")</f>
        <v>30-34</v>
      </c>
      <c r="D6711" t="s">
        <v>7</v>
      </c>
    </row>
    <row r="6712" spans="1:4">
      <c r="A6712" t="s">
        <v>6</v>
      </c>
      <c r="B6712">
        <v>66</v>
      </c>
      <c r="C6712" t="str">
        <f>CHOOSE(MATCH(B6712, {20,25,30,35,40,45,50,55,60,65,70,75,80,85}, 1), "20-24", "25-29", "30-34", "35-39", "40-44", "45-49", "50-54", "55-59", "60-64", "65-69", "70-74", "75-79", "80-84", "85+")</f>
        <v>65-69</v>
      </c>
      <c r="D6712" t="s">
        <v>8</v>
      </c>
    </row>
    <row r="6713" spans="1:4">
      <c r="A6713" t="s">
        <v>6</v>
      </c>
      <c r="B6713">
        <v>41</v>
      </c>
      <c r="C6713" t="str">
        <f>CHOOSE(MATCH(B6713, {20,25,30,35,40,45,50,55,60,65,70,75,80,85}, 1), "20-24", "25-29", "30-34", "35-39", "40-44", "45-49", "50-54", "55-59", "60-64", "65-69", "70-74", "75-79", "80-84", "85+")</f>
        <v>40-44</v>
      </c>
      <c r="D6713" t="s">
        <v>7</v>
      </c>
    </row>
    <row r="6714" spans="1:4">
      <c r="A6714" t="s">
        <v>6</v>
      </c>
      <c r="B6714">
        <v>33</v>
      </c>
      <c r="C6714" t="str">
        <f>CHOOSE(MATCH(B6714, {20,25,30,35,40,45,50,55,60,65,70,75,80,85}, 1), "20-24", "25-29", "30-34", "35-39", "40-44", "45-49", "50-54", "55-59", "60-64", "65-69", "70-74", "75-79", "80-84", "85+")</f>
        <v>30-34</v>
      </c>
      <c r="D6714" t="s">
        <v>7</v>
      </c>
    </row>
    <row r="6715" spans="1:4">
      <c r="A6715" t="s">
        <v>6</v>
      </c>
      <c r="B6715">
        <v>44</v>
      </c>
      <c r="C6715" t="str">
        <f>CHOOSE(MATCH(B6715, {20,25,30,35,40,45,50,55,60,65,70,75,80,85}, 1), "20-24", "25-29", "30-34", "35-39", "40-44", "45-49", "50-54", "55-59", "60-64", "65-69", "70-74", "75-79", "80-84", "85+")</f>
        <v>40-44</v>
      </c>
      <c r="D6715" t="s">
        <v>7</v>
      </c>
    </row>
    <row r="6716" spans="1:4">
      <c r="A6716" t="s">
        <v>6</v>
      </c>
      <c r="B6716">
        <v>33</v>
      </c>
      <c r="C6716" t="str">
        <f>CHOOSE(MATCH(B6716, {20,25,30,35,40,45,50,55,60,65,70,75,80,85}, 1), "20-24", "25-29", "30-34", "35-39", "40-44", "45-49", "50-54", "55-59", "60-64", "65-69", "70-74", "75-79", "80-84", "85+")</f>
        <v>30-34</v>
      </c>
      <c r="D6716" t="s">
        <v>7</v>
      </c>
    </row>
    <row r="6717" spans="1:4">
      <c r="A6717" t="s">
        <v>6</v>
      </c>
      <c r="B6717">
        <v>36</v>
      </c>
      <c r="C6717" t="str">
        <f>CHOOSE(MATCH(B6717, {20,25,30,35,40,45,50,55,60,65,70,75,80,85}, 1), "20-24", "25-29", "30-34", "35-39", "40-44", "45-49", "50-54", "55-59", "60-64", "65-69", "70-74", "75-79", "80-84", "85+")</f>
        <v>35-39</v>
      </c>
      <c r="D6717" t="s">
        <v>7</v>
      </c>
    </row>
    <row r="6718" spans="1:4">
      <c r="A6718" t="s">
        <v>6</v>
      </c>
      <c r="B6718">
        <v>45</v>
      </c>
      <c r="C6718" t="str">
        <f>CHOOSE(MATCH(B6718, {20,25,30,35,40,45,50,55,60,65,70,75,80,85}, 1), "20-24", "25-29", "30-34", "35-39", "40-44", "45-49", "50-54", "55-59", "60-64", "65-69", "70-74", "75-79", "80-84", "85+")</f>
        <v>45-49</v>
      </c>
      <c r="D6718" t="s">
        <v>7</v>
      </c>
    </row>
    <row r="6719" spans="1:4">
      <c r="A6719" t="s">
        <v>6</v>
      </c>
      <c r="B6719">
        <v>31</v>
      </c>
      <c r="C6719" t="str">
        <f>CHOOSE(MATCH(B6719, {20,25,30,35,40,45,50,55,60,65,70,75,80,85}, 1), "20-24", "25-29", "30-34", "35-39", "40-44", "45-49", "50-54", "55-59", "60-64", "65-69", "70-74", "75-79", "80-84", "85+")</f>
        <v>30-34</v>
      </c>
      <c r="D6719" t="s">
        <v>7</v>
      </c>
    </row>
    <row r="6720" spans="1:4">
      <c r="A6720" t="s">
        <v>6</v>
      </c>
      <c r="B6720">
        <v>49</v>
      </c>
      <c r="C6720" t="str">
        <f>CHOOSE(MATCH(B6720, {20,25,30,35,40,45,50,55,60,65,70,75,80,85}, 1), "20-24", "25-29", "30-34", "35-39", "40-44", "45-49", "50-54", "55-59", "60-64", "65-69", "70-74", "75-79", "80-84", "85+")</f>
        <v>45-49</v>
      </c>
      <c r="D6720" t="s">
        <v>7</v>
      </c>
    </row>
    <row r="6721" spans="1:4">
      <c r="A6721" t="s">
        <v>6</v>
      </c>
      <c r="B6721">
        <v>32</v>
      </c>
      <c r="C6721" t="str">
        <f>CHOOSE(MATCH(B6721, {20,25,30,35,40,45,50,55,60,65,70,75,80,85}, 1), "20-24", "25-29", "30-34", "35-39", "40-44", "45-49", "50-54", "55-59", "60-64", "65-69", "70-74", "75-79", "80-84", "85+")</f>
        <v>30-34</v>
      </c>
      <c r="D6721" t="s">
        <v>7</v>
      </c>
    </row>
    <row r="6722" spans="1:4">
      <c r="A6722" t="s">
        <v>6</v>
      </c>
      <c r="B6722">
        <v>65</v>
      </c>
      <c r="C6722" t="str">
        <f>CHOOSE(MATCH(B6722, {20,25,30,35,40,45,50,55,60,65,70,75,80,85}, 1), "20-24", "25-29", "30-34", "35-39", "40-44", "45-49", "50-54", "55-59", "60-64", "65-69", "70-74", "75-79", "80-84", "85+")</f>
        <v>65-69</v>
      </c>
      <c r="D6722" t="s">
        <v>7</v>
      </c>
    </row>
    <row r="6723" spans="1:4">
      <c r="A6723" t="s">
        <v>6</v>
      </c>
      <c r="B6723">
        <v>54</v>
      </c>
      <c r="C6723" t="str">
        <f>CHOOSE(MATCH(B6723, {20,25,30,35,40,45,50,55,60,65,70,75,80,85}, 1), "20-24", "25-29", "30-34", "35-39", "40-44", "45-49", "50-54", "55-59", "60-64", "65-69", "70-74", "75-79", "80-84", "85+")</f>
        <v>50-54</v>
      </c>
      <c r="D6723" t="s">
        <v>7</v>
      </c>
    </row>
    <row r="6724" spans="1:4">
      <c r="A6724" t="s">
        <v>6</v>
      </c>
      <c r="B6724">
        <v>38</v>
      </c>
      <c r="C6724" t="str">
        <f>CHOOSE(MATCH(B6724, {20,25,30,35,40,45,50,55,60,65,70,75,80,85}, 1), "20-24", "25-29", "30-34", "35-39", "40-44", "45-49", "50-54", "55-59", "60-64", "65-69", "70-74", "75-79", "80-84", "85+")</f>
        <v>35-39</v>
      </c>
      <c r="D6724" t="s">
        <v>7</v>
      </c>
    </row>
    <row r="6725" spans="1:4">
      <c r="A6725" t="s">
        <v>6</v>
      </c>
      <c r="B6725">
        <v>39</v>
      </c>
      <c r="C6725" t="str">
        <f>CHOOSE(MATCH(B6725, {20,25,30,35,40,45,50,55,60,65,70,75,80,85}, 1), "20-24", "25-29", "30-34", "35-39", "40-44", "45-49", "50-54", "55-59", "60-64", "65-69", "70-74", "75-79", "80-84", "85+")</f>
        <v>35-39</v>
      </c>
      <c r="D6725" t="s">
        <v>7</v>
      </c>
    </row>
    <row r="6726" spans="1:4">
      <c r="A6726" t="s">
        <v>6</v>
      </c>
      <c r="B6726">
        <v>52</v>
      </c>
      <c r="C6726" t="str">
        <f>CHOOSE(MATCH(B6726, {20,25,30,35,40,45,50,55,60,65,70,75,80,85}, 1), "20-24", "25-29", "30-34", "35-39", "40-44", "45-49", "50-54", "55-59", "60-64", "65-69", "70-74", "75-79", "80-84", "85+")</f>
        <v>50-54</v>
      </c>
      <c r="D6726" t="s">
        <v>8</v>
      </c>
    </row>
    <row r="6727" spans="1:4">
      <c r="A6727" t="s">
        <v>6</v>
      </c>
      <c r="B6727">
        <v>30</v>
      </c>
      <c r="C6727" t="str">
        <f>CHOOSE(MATCH(B6727, {20,25,30,35,40,45,50,55,60,65,70,75,80,85}, 1), "20-24", "25-29", "30-34", "35-39", "40-44", "45-49", "50-54", "55-59", "60-64", "65-69", "70-74", "75-79", "80-84", "85+")</f>
        <v>30-34</v>
      </c>
      <c r="D6727" t="s">
        <v>8</v>
      </c>
    </row>
    <row r="6728" spans="1:4">
      <c r="A6728" t="s">
        <v>6</v>
      </c>
      <c r="B6728">
        <v>58</v>
      </c>
      <c r="C6728" t="str">
        <f>CHOOSE(MATCH(B6728, {20,25,30,35,40,45,50,55,60,65,70,75,80,85}, 1), "20-24", "25-29", "30-34", "35-39", "40-44", "45-49", "50-54", "55-59", "60-64", "65-69", "70-74", "75-79", "80-84", "85+")</f>
        <v>55-59</v>
      </c>
      <c r="D6728" t="s">
        <v>8</v>
      </c>
    </row>
    <row r="6729" spans="1:4">
      <c r="A6729" t="s">
        <v>6</v>
      </c>
      <c r="B6729">
        <v>31</v>
      </c>
      <c r="C6729" t="str">
        <f>CHOOSE(MATCH(B6729, {20,25,30,35,40,45,50,55,60,65,70,75,80,85}, 1), "20-24", "25-29", "30-34", "35-39", "40-44", "45-49", "50-54", "55-59", "60-64", "65-69", "70-74", "75-79", "80-84", "85+")</f>
        <v>30-34</v>
      </c>
      <c r="D6729" t="s">
        <v>7</v>
      </c>
    </row>
    <row r="6730" spans="1:4">
      <c r="A6730" t="s">
        <v>6</v>
      </c>
      <c r="B6730">
        <v>30</v>
      </c>
      <c r="C6730" t="str">
        <f>CHOOSE(MATCH(B6730, {20,25,30,35,40,45,50,55,60,65,70,75,80,85}, 1), "20-24", "25-29", "30-34", "35-39", "40-44", "45-49", "50-54", "55-59", "60-64", "65-69", "70-74", "75-79", "80-84", "85+")</f>
        <v>30-34</v>
      </c>
      <c r="D6730" t="s">
        <v>7</v>
      </c>
    </row>
    <row r="6731" spans="1:4">
      <c r="A6731" t="s">
        <v>6</v>
      </c>
      <c r="B6731">
        <v>50</v>
      </c>
      <c r="C6731" t="str">
        <f>CHOOSE(MATCH(B6731, {20,25,30,35,40,45,50,55,60,65,70,75,80,85}, 1), "20-24", "25-29", "30-34", "35-39", "40-44", "45-49", "50-54", "55-59", "60-64", "65-69", "70-74", "75-79", "80-84", "85+")</f>
        <v>50-54</v>
      </c>
      <c r="D6731" t="s">
        <v>8</v>
      </c>
    </row>
    <row r="6732" spans="1:4">
      <c r="A6732" t="s">
        <v>6</v>
      </c>
      <c r="B6732">
        <v>25</v>
      </c>
      <c r="C6732" t="str">
        <f>CHOOSE(MATCH(B6732, {20,25,30,35,40,45,50,55,60,65,70,75,80,85}, 1), "20-24", "25-29", "30-34", "35-39", "40-44", "45-49", "50-54", "55-59", "60-64", "65-69", "70-74", "75-79", "80-84", "85+")</f>
        <v>25-29</v>
      </c>
      <c r="D6732" t="s">
        <v>8</v>
      </c>
    </row>
    <row r="6733" spans="1:4">
      <c r="A6733" t="s">
        <v>6</v>
      </c>
      <c r="B6733">
        <v>35</v>
      </c>
      <c r="C6733" t="str">
        <f>CHOOSE(MATCH(B6733, {20,25,30,35,40,45,50,55,60,65,70,75,80,85}, 1), "20-24", "25-29", "30-34", "35-39", "40-44", "45-49", "50-54", "55-59", "60-64", "65-69", "70-74", "75-79", "80-84", "85+")</f>
        <v>35-39</v>
      </c>
      <c r="D6733" t="s">
        <v>7</v>
      </c>
    </row>
    <row r="6734" spans="1:4">
      <c r="A6734" t="s">
        <v>6</v>
      </c>
      <c r="B6734">
        <v>46</v>
      </c>
      <c r="C6734" t="str">
        <f>CHOOSE(MATCH(B6734, {20,25,30,35,40,45,50,55,60,65,70,75,80,85}, 1), "20-24", "25-29", "30-34", "35-39", "40-44", "45-49", "50-54", "55-59", "60-64", "65-69", "70-74", "75-79", "80-84", "85+")</f>
        <v>45-49</v>
      </c>
      <c r="D6734" t="s">
        <v>8</v>
      </c>
    </row>
    <row r="6735" spans="1:4">
      <c r="A6735" t="s">
        <v>6</v>
      </c>
      <c r="B6735">
        <v>35</v>
      </c>
      <c r="C6735" t="str">
        <f>CHOOSE(MATCH(B6735, {20,25,30,35,40,45,50,55,60,65,70,75,80,85}, 1), "20-24", "25-29", "30-34", "35-39", "40-44", "45-49", "50-54", "55-59", "60-64", "65-69", "70-74", "75-79", "80-84", "85+")</f>
        <v>35-39</v>
      </c>
      <c r="D6735" t="s">
        <v>7</v>
      </c>
    </row>
    <row r="6736" spans="1:4">
      <c r="A6736" t="s">
        <v>6</v>
      </c>
      <c r="B6736">
        <v>48</v>
      </c>
      <c r="C6736" t="str">
        <f>CHOOSE(MATCH(B6736, {20,25,30,35,40,45,50,55,60,65,70,75,80,85}, 1), "20-24", "25-29", "30-34", "35-39", "40-44", "45-49", "50-54", "55-59", "60-64", "65-69", "70-74", "75-79", "80-84", "85+")</f>
        <v>45-49</v>
      </c>
      <c r="D6736" t="s">
        <v>8</v>
      </c>
    </row>
    <row r="6737" spans="1:4">
      <c r="A6737" t="s">
        <v>6</v>
      </c>
      <c r="B6737">
        <v>26</v>
      </c>
      <c r="C6737" t="str">
        <f>CHOOSE(MATCH(B6737, {20,25,30,35,40,45,50,55,60,65,70,75,80,85}, 1), "20-24", "25-29", "30-34", "35-39", "40-44", "45-49", "50-54", "55-59", "60-64", "65-69", "70-74", "75-79", "80-84", "85+")</f>
        <v>25-29</v>
      </c>
      <c r="D6737" t="s">
        <v>7</v>
      </c>
    </row>
    <row r="6738" spans="1:4">
      <c r="A6738" t="s">
        <v>6</v>
      </c>
      <c r="B6738">
        <v>36</v>
      </c>
      <c r="C6738" t="str">
        <f>CHOOSE(MATCH(B6738, {20,25,30,35,40,45,50,55,60,65,70,75,80,85}, 1), "20-24", "25-29", "30-34", "35-39", "40-44", "45-49", "50-54", "55-59", "60-64", "65-69", "70-74", "75-79", "80-84", "85+")</f>
        <v>35-39</v>
      </c>
      <c r="D6738" t="s">
        <v>7</v>
      </c>
    </row>
    <row r="6739" spans="1:4">
      <c r="A6739" t="s">
        <v>6</v>
      </c>
      <c r="B6739">
        <v>43</v>
      </c>
      <c r="C6739" t="str">
        <f>CHOOSE(MATCH(B6739, {20,25,30,35,40,45,50,55,60,65,70,75,80,85}, 1), "20-24", "25-29", "30-34", "35-39", "40-44", "45-49", "50-54", "55-59", "60-64", "65-69", "70-74", "75-79", "80-84", "85+")</f>
        <v>40-44</v>
      </c>
      <c r="D6739" t="s">
        <v>7</v>
      </c>
    </row>
    <row r="6740" spans="1:4">
      <c r="A6740" t="s">
        <v>6</v>
      </c>
      <c r="B6740">
        <v>37</v>
      </c>
      <c r="C6740" t="str">
        <f>CHOOSE(MATCH(B6740, {20,25,30,35,40,45,50,55,60,65,70,75,80,85}, 1), "20-24", "25-29", "30-34", "35-39", "40-44", "45-49", "50-54", "55-59", "60-64", "65-69", "70-74", "75-79", "80-84", "85+")</f>
        <v>35-39</v>
      </c>
      <c r="D6740" t="s">
        <v>7</v>
      </c>
    </row>
    <row r="6741" spans="1:4">
      <c r="A6741" t="s">
        <v>6</v>
      </c>
      <c r="B6741">
        <v>34</v>
      </c>
      <c r="C6741" t="str">
        <f>CHOOSE(MATCH(B6741, {20,25,30,35,40,45,50,55,60,65,70,75,80,85}, 1), "20-24", "25-29", "30-34", "35-39", "40-44", "45-49", "50-54", "55-59", "60-64", "65-69", "70-74", "75-79", "80-84", "85+")</f>
        <v>30-34</v>
      </c>
      <c r="D6741" t="s">
        <v>7</v>
      </c>
    </row>
    <row r="6742" spans="1:4">
      <c r="A6742" t="s">
        <v>6</v>
      </c>
      <c r="B6742">
        <v>41</v>
      </c>
      <c r="C6742" t="str">
        <f>CHOOSE(MATCH(B6742, {20,25,30,35,40,45,50,55,60,65,70,75,80,85}, 1), "20-24", "25-29", "30-34", "35-39", "40-44", "45-49", "50-54", "55-59", "60-64", "65-69", "70-74", "75-79", "80-84", "85+")</f>
        <v>40-44</v>
      </c>
      <c r="D6742" t="s">
        <v>8</v>
      </c>
    </row>
    <row r="6743" spans="1:4">
      <c r="A6743" t="s">
        <v>6</v>
      </c>
      <c r="B6743">
        <v>37</v>
      </c>
      <c r="C6743" t="str">
        <f>CHOOSE(MATCH(B6743, {20,25,30,35,40,45,50,55,60,65,70,75,80,85}, 1), "20-24", "25-29", "30-34", "35-39", "40-44", "45-49", "50-54", "55-59", "60-64", "65-69", "70-74", "75-79", "80-84", "85+")</f>
        <v>35-39</v>
      </c>
      <c r="D6743" t="s">
        <v>7</v>
      </c>
    </row>
    <row r="6744" spans="1:4">
      <c r="A6744" t="s">
        <v>6</v>
      </c>
      <c r="B6744">
        <v>80</v>
      </c>
      <c r="C6744" t="str">
        <f>CHOOSE(MATCH(B6744, {20,25,30,35,40,45,50,55,60,65,70,75,80,85}, 1), "20-24", "25-29", "30-34", "35-39", "40-44", "45-49", "50-54", "55-59", "60-64", "65-69", "70-74", "75-79", "80-84", "85+")</f>
        <v>80-84</v>
      </c>
      <c r="D6744" t="s">
        <v>7</v>
      </c>
    </row>
    <row r="6745" spans="1:4">
      <c r="A6745" t="s">
        <v>6</v>
      </c>
      <c r="B6745">
        <v>40</v>
      </c>
      <c r="C6745" t="str">
        <f>CHOOSE(MATCH(B6745, {20,25,30,35,40,45,50,55,60,65,70,75,80,85}, 1), "20-24", "25-29", "30-34", "35-39", "40-44", "45-49", "50-54", "55-59", "60-64", "65-69", "70-74", "75-79", "80-84", "85+")</f>
        <v>40-44</v>
      </c>
      <c r="D6745" t="s">
        <v>8</v>
      </c>
    </row>
    <row r="6746" spans="1:4">
      <c r="A6746" t="s">
        <v>6</v>
      </c>
      <c r="B6746">
        <v>61</v>
      </c>
      <c r="C6746" t="str">
        <f>CHOOSE(MATCH(B6746, {20,25,30,35,40,45,50,55,60,65,70,75,80,85}, 1), "20-24", "25-29", "30-34", "35-39", "40-44", "45-49", "50-54", "55-59", "60-64", "65-69", "70-74", "75-79", "80-84", "85+")</f>
        <v>60-64</v>
      </c>
      <c r="D6746" t="s">
        <v>7</v>
      </c>
    </row>
    <row r="6747" spans="1:4">
      <c r="A6747" t="s">
        <v>6</v>
      </c>
      <c r="B6747">
        <v>57</v>
      </c>
      <c r="C6747" t="str">
        <f>CHOOSE(MATCH(B6747, {20,25,30,35,40,45,50,55,60,65,70,75,80,85}, 1), "20-24", "25-29", "30-34", "35-39", "40-44", "45-49", "50-54", "55-59", "60-64", "65-69", "70-74", "75-79", "80-84", "85+")</f>
        <v>55-59</v>
      </c>
      <c r="D6747" t="s">
        <v>8</v>
      </c>
    </row>
    <row r="6748" spans="1:4">
      <c r="A6748" t="s">
        <v>6</v>
      </c>
      <c r="B6748">
        <v>64</v>
      </c>
      <c r="C6748" t="str">
        <f>CHOOSE(MATCH(B6748, {20,25,30,35,40,45,50,55,60,65,70,75,80,85}, 1), "20-24", "25-29", "30-34", "35-39", "40-44", "45-49", "50-54", "55-59", "60-64", "65-69", "70-74", "75-79", "80-84", "85+")</f>
        <v>60-64</v>
      </c>
      <c r="D6748" t="s">
        <v>7</v>
      </c>
    </row>
    <row r="6749" spans="1:4">
      <c r="A6749" t="s">
        <v>6</v>
      </c>
      <c r="B6749">
        <v>38</v>
      </c>
      <c r="C6749" t="str">
        <f>CHOOSE(MATCH(B6749, {20,25,30,35,40,45,50,55,60,65,70,75,80,85}, 1), "20-24", "25-29", "30-34", "35-39", "40-44", "45-49", "50-54", "55-59", "60-64", "65-69", "70-74", "75-79", "80-84", "85+")</f>
        <v>35-39</v>
      </c>
      <c r="D6749" t="s">
        <v>8</v>
      </c>
    </row>
    <row r="6750" spans="1:4">
      <c r="A6750" t="s">
        <v>6</v>
      </c>
      <c r="B6750">
        <v>34</v>
      </c>
      <c r="C6750" t="str">
        <f>CHOOSE(MATCH(B6750, {20,25,30,35,40,45,50,55,60,65,70,75,80,85}, 1), "20-24", "25-29", "30-34", "35-39", "40-44", "45-49", "50-54", "55-59", "60-64", "65-69", "70-74", "75-79", "80-84", "85+")</f>
        <v>30-34</v>
      </c>
      <c r="D6750" t="s">
        <v>7</v>
      </c>
    </row>
    <row r="6751" spans="1:4">
      <c r="A6751" t="s">
        <v>6</v>
      </c>
      <c r="B6751">
        <v>28</v>
      </c>
      <c r="C6751" t="str">
        <f>CHOOSE(MATCH(B6751, {20,25,30,35,40,45,50,55,60,65,70,75,80,85}, 1), "20-24", "25-29", "30-34", "35-39", "40-44", "45-49", "50-54", "55-59", "60-64", "65-69", "70-74", "75-79", "80-84", "85+")</f>
        <v>25-29</v>
      </c>
      <c r="D6751" t="s">
        <v>8</v>
      </c>
    </row>
    <row r="6752" spans="1:4">
      <c r="A6752" t="s">
        <v>6</v>
      </c>
      <c r="B6752">
        <v>79</v>
      </c>
      <c r="C6752" t="str">
        <f>CHOOSE(MATCH(B6752, {20,25,30,35,40,45,50,55,60,65,70,75,80,85}, 1), "20-24", "25-29", "30-34", "35-39", "40-44", "45-49", "50-54", "55-59", "60-64", "65-69", "70-74", "75-79", "80-84", "85+")</f>
        <v>75-79</v>
      </c>
      <c r="D6752" t="s">
        <v>7</v>
      </c>
    </row>
    <row r="6753" spans="1:4">
      <c r="A6753" t="s">
        <v>6</v>
      </c>
      <c r="B6753">
        <v>37</v>
      </c>
      <c r="C6753" t="str">
        <f>CHOOSE(MATCH(B6753, {20,25,30,35,40,45,50,55,60,65,70,75,80,85}, 1), "20-24", "25-29", "30-34", "35-39", "40-44", "45-49", "50-54", "55-59", "60-64", "65-69", "70-74", "75-79", "80-84", "85+")</f>
        <v>35-39</v>
      </c>
      <c r="D6753" t="s">
        <v>8</v>
      </c>
    </row>
    <row r="6754" spans="1:4">
      <c r="A6754" t="s">
        <v>6</v>
      </c>
      <c r="B6754">
        <v>25</v>
      </c>
      <c r="C6754" t="str">
        <f>CHOOSE(MATCH(B6754, {20,25,30,35,40,45,50,55,60,65,70,75,80,85}, 1), "20-24", "25-29", "30-34", "35-39", "40-44", "45-49", "50-54", "55-59", "60-64", "65-69", "70-74", "75-79", "80-84", "85+")</f>
        <v>25-29</v>
      </c>
      <c r="D6754" t="s">
        <v>8</v>
      </c>
    </row>
    <row r="6755" spans="1:4">
      <c r="A6755" t="s">
        <v>6</v>
      </c>
      <c r="B6755">
        <v>54</v>
      </c>
      <c r="C6755" t="str">
        <f>CHOOSE(MATCH(B6755, {20,25,30,35,40,45,50,55,60,65,70,75,80,85}, 1), "20-24", "25-29", "30-34", "35-39", "40-44", "45-49", "50-54", "55-59", "60-64", "65-69", "70-74", "75-79", "80-84", "85+")</f>
        <v>50-54</v>
      </c>
      <c r="D6755" t="s">
        <v>8</v>
      </c>
    </row>
    <row r="6756" spans="1:4">
      <c r="A6756" t="s">
        <v>6</v>
      </c>
      <c r="B6756">
        <v>54</v>
      </c>
      <c r="C6756" t="str">
        <f>CHOOSE(MATCH(B6756, {20,25,30,35,40,45,50,55,60,65,70,75,80,85}, 1), "20-24", "25-29", "30-34", "35-39", "40-44", "45-49", "50-54", "55-59", "60-64", "65-69", "70-74", "75-79", "80-84", "85+")</f>
        <v>50-54</v>
      </c>
      <c r="D6756" t="s">
        <v>8</v>
      </c>
    </row>
    <row r="6757" spans="1:4">
      <c r="A6757" t="s">
        <v>6</v>
      </c>
      <c r="B6757">
        <v>67</v>
      </c>
      <c r="C6757" t="str">
        <f>CHOOSE(MATCH(B6757, {20,25,30,35,40,45,50,55,60,65,70,75,80,85}, 1), "20-24", "25-29", "30-34", "35-39", "40-44", "45-49", "50-54", "55-59", "60-64", "65-69", "70-74", "75-79", "80-84", "85+")</f>
        <v>65-69</v>
      </c>
      <c r="D6757" t="s">
        <v>7</v>
      </c>
    </row>
    <row r="6758" spans="1:4">
      <c r="A6758" t="s">
        <v>6</v>
      </c>
      <c r="B6758">
        <v>31</v>
      </c>
      <c r="C6758" t="str">
        <f>CHOOSE(MATCH(B6758, {20,25,30,35,40,45,50,55,60,65,70,75,80,85}, 1), "20-24", "25-29", "30-34", "35-39", "40-44", "45-49", "50-54", "55-59", "60-64", "65-69", "70-74", "75-79", "80-84", "85+")</f>
        <v>30-34</v>
      </c>
      <c r="D6758" t="s">
        <v>7</v>
      </c>
    </row>
    <row r="6759" spans="1:4">
      <c r="A6759" t="s">
        <v>6</v>
      </c>
      <c r="B6759">
        <v>38</v>
      </c>
      <c r="C6759" t="str">
        <f>CHOOSE(MATCH(B6759, {20,25,30,35,40,45,50,55,60,65,70,75,80,85}, 1), "20-24", "25-29", "30-34", "35-39", "40-44", "45-49", "50-54", "55-59", "60-64", "65-69", "70-74", "75-79", "80-84", "85+")</f>
        <v>35-39</v>
      </c>
      <c r="D6759" t="s">
        <v>7</v>
      </c>
    </row>
    <row r="6760" spans="1:4">
      <c r="A6760" t="s">
        <v>6</v>
      </c>
      <c r="B6760">
        <v>43</v>
      </c>
      <c r="C6760" t="str">
        <f>CHOOSE(MATCH(B6760, {20,25,30,35,40,45,50,55,60,65,70,75,80,85}, 1), "20-24", "25-29", "30-34", "35-39", "40-44", "45-49", "50-54", "55-59", "60-64", "65-69", "70-74", "75-79", "80-84", "85+")</f>
        <v>40-44</v>
      </c>
      <c r="D6760" t="s">
        <v>8</v>
      </c>
    </row>
    <row r="6761" spans="1:4">
      <c r="A6761" t="s">
        <v>6</v>
      </c>
      <c r="B6761">
        <v>56</v>
      </c>
      <c r="C6761" t="str">
        <f>CHOOSE(MATCH(B6761, {20,25,30,35,40,45,50,55,60,65,70,75,80,85}, 1), "20-24", "25-29", "30-34", "35-39", "40-44", "45-49", "50-54", "55-59", "60-64", "65-69", "70-74", "75-79", "80-84", "85+")</f>
        <v>55-59</v>
      </c>
      <c r="D6761" t="s">
        <v>8</v>
      </c>
    </row>
    <row r="6762" spans="1:4">
      <c r="A6762" t="s">
        <v>6</v>
      </c>
      <c r="B6762">
        <v>43</v>
      </c>
      <c r="C6762" t="str">
        <f>CHOOSE(MATCH(B6762, {20,25,30,35,40,45,50,55,60,65,70,75,80,85}, 1), "20-24", "25-29", "30-34", "35-39", "40-44", "45-49", "50-54", "55-59", "60-64", "65-69", "70-74", "75-79", "80-84", "85+")</f>
        <v>40-44</v>
      </c>
      <c r="D6762" t="s">
        <v>8</v>
      </c>
    </row>
    <row r="6763" spans="1:4">
      <c r="A6763" t="s">
        <v>6</v>
      </c>
      <c r="B6763">
        <v>54</v>
      </c>
      <c r="C6763" t="str">
        <f>CHOOSE(MATCH(B6763, {20,25,30,35,40,45,50,55,60,65,70,75,80,85}, 1), "20-24", "25-29", "30-34", "35-39", "40-44", "45-49", "50-54", "55-59", "60-64", "65-69", "70-74", "75-79", "80-84", "85+")</f>
        <v>50-54</v>
      </c>
      <c r="D6763" t="s">
        <v>8</v>
      </c>
    </row>
    <row r="6764" spans="1:4">
      <c r="A6764" t="s">
        <v>6</v>
      </c>
      <c r="B6764">
        <v>34</v>
      </c>
      <c r="C6764" t="str">
        <f>CHOOSE(MATCH(B6764, {20,25,30,35,40,45,50,55,60,65,70,75,80,85}, 1), "20-24", "25-29", "30-34", "35-39", "40-44", "45-49", "50-54", "55-59", "60-64", "65-69", "70-74", "75-79", "80-84", "85+")</f>
        <v>30-34</v>
      </c>
      <c r="D6764" t="s">
        <v>7</v>
      </c>
    </row>
    <row r="6765" spans="1:4">
      <c r="A6765" t="s">
        <v>6</v>
      </c>
      <c r="B6765">
        <v>61</v>
      </c>
      <c r="C6765" t="str">
        <f>CHOOSE(MATCH(B6765, {20,25,30,35,40,45,50,55,60,65,70,75,80,85}, 1), "20-24", "25-29", "30-34", "35-39", "40-44", "45-49", "50-54", "55-59", "60-64", "65-69", "70-74", "75-79", "80-84", "85+")</f>
        <v>60-64</v>
      </c>
      <c r="D6765" t="s">
        <v>7</v>
      </c>
    </row>
    <row r="6766" spans="1:4">
      <c r="A6766" t="s">
        <v>6</v>
      </c>
      <c r="B6766">
        <v>56</v>
      </c>
      <c r="C6766" t="str">
        <f>CHOOSE(MATCH(B6766, {20,25,30,35,40,45,50,55,60,65,70,75,80,85}, 1), "20-24", "25-29", "30-34", "35-39", "40-44", "45-49", "50-54", "55-59", "60-64", "65-69", "70-74", "75-79", "80-84", "85+")</f>
        <v>55-59</v>
      </c>
      <c r="D6766" t="s">
        <v>7</v>
      </c>
    </row>
    <row r="6767" spans="1:4">
      <c r="A6767" t="s">
        <v>6</v>
      </c>
      <c r="B6767">
        <v>62</v>
      </c>
      <c r="C6767" t="str">
        <f>CHOOSE(MATCH(B6767, {20,25,30,35,40,45,50,55,60,65,70,75,80,85}, 1), "20-24", "25-29", "30-34", "35-39", "40-44", "45-49", "50-54", "55-59", "60-64", "65-69", "70-74", "75-79", "80-84", "85+")</f>
        <v>60-64</v>
      </c>
      <c r="D6767" t="s">
        <v>7</v>
      </c>
    </row>
    <row r="6768" spans="1:4">
      <c r="A6768" t="s">
        <v>6</v>
      </c>
      <c r="B6768">
        <v>41</v>
      </c>
      <c r="C6768" t="str">
        <f>CHOOSE(MATCH(B6768, {20,25,30,35,40,45,50,55,60,65,70,75,80,85}, 1), "20-24", "25-29", "30-34", "35-39", "40-44", "45-49", "50-54", "55-59", "60-64", "65-69", "70-74", "75-79", "80-84", "85+")</f>
        <v>40-44</v>
      </c>
      <c r="D6768" t="s">
        <v>7</v>
      </c>
    </row>
    <row r="6769" spans="1:4">
      <c r="A6769" t="s">
        <v>6</v>
      </c>
      <c r="B6769">
        <v>63</v>
      </c>
      <c r="C6769" t="str">
        <f>CHOOSE(MATCH(B6769, {20,25,30,35,40,45,50,55,60,65,70,75,80,85}, 1), "20-24", "25-29", "30-34", "35-39", "40-44", "45-49", "50-54", "55-59", "60-64", "65-69", "70-74", "75-79", "80-84", "85+")</f>
        <v>60-64</v>
      </c>
      <c r="D6769" t="s">
        <v>8</v>
      </c>
    </row>
    <row r="6770" spans="1:4">
      <c r="A6770" t="s">
        <v>6</v>
      </c>
      <c r="B6770">
        <v>41</v>
      </c>
      <c r="C6770" t="str">
        <f>CHOOSE(MATCH(B6770, {20,25,30,35,40,45,50,55,60,65,70,75,80,85}, 1), "20-24", "25-29", "30-34", "35-39", "40-44", "45-49", "50-54", "55-59", "60-64", "65-69", "70-74", "75-79", "80-84", "85+")</f>
        <v>40-44</v>
      </c>
      <c r="D6770" t="s">
        <v>8</v>
      </c>
    </row>
    <row r="6771" spans="1:4">
      <c r="A6771" t="s">
        <v>6</v>
      </c>
      <c r="B6771">
        <v>37</v>
      </c>
      <c r="C6771" t="str">
        <f>CHOOSE(MATCH(B6771, {20,25,30,35,40,45,50,55,60,65,70,75,80,85}, 1), "20-24", "25-29", "30-34", "35-39", "40-44", "45-49", "50-54", "55-59", "60-64", "65-69", "70-74", "75-79", "80-84", "85+")</f>
        <v>35-39</v>
      </c>
      <c r="D6771" t="s">
        <v>8</v>
      </c>
    </row>
    <row r="6772" spans="1:4">
      <c r="A6772" t="s">
        <v>6</v>
      </c>
      <c r="B6772">
        <v>49</v>
      </c>
      <c r="C6772" t="str">
        <f>CHOOSE(MATCH(B6772, {20,25,30,35,40,45,50,55,60,65,70,75,80,85}, 1), "20-24", "25-29", "30-34", "35-39", "40-44", "45-49", "50-54", "55-59", "60-64", "65-69", "70-74", "75-79", "80-84", "85+")</f>
        <v>45-49</v>
      </c>
      <c r="D6772" t="s">
        <v>7</v>
      </c>
    </row>
    <row r="6773" spans="1:4">
      <c r="A6773" t="s">
        <v>6</v>
      </c>
      <c r="B6773">
        <v>58</v>
      </c>
      <c r="C6773" t="str">
        <f>CHOOSE(MATCH(B6773, {20,25,30,35,40,45,50,55,60,65,70,75,80,85}, 1), "20-24", "25-29", "30-34", "35-39", "40-44", "45-49", "50-54", "55-59", "60-64", "65-69", "70-74", "75-79", "80-84", "85+")</f>
        <v>55-59</v>
      </c>
      <c r="D6773" t="s">
        <v>7</v>
      </c>
    </row>
    <row r="6774" spans="1:4">
      <c r="A6774" t="s">
        <v>6</v>
      </c>
      <c r="B6774">
        <v>27</v>
      </c>
      <c r="C6774" t="str">
        <f>CHOOSE(MATCH(B6774, {20,25,30,35,40,45,50,55,60,65,70,75,80,85}, 1), "20-24", "25-29", "30-34", "35-39", "40-44", "45-49", "50-54", "55-59", "60-64", "65-69", "70-74", "75-79", "80-84", "85+")</f>
        <v>25-29</v>
      </c>
      <c r="D6774" t="s">
        <v>7</v>
      </c>
    </row>
    <row r="6775" spans="1:4">
      <c r="A6775" t="s">
        <v>6</v>
      </c>
      <c r="B6775">
        <v>29</v>
      </c>
      <c r="C6775" t="str">
        <f>CHOOSE(MATCH(B6775, {20,25,30,35,40,45,50,55,60,65,70,75,80,85}, 1), "20-24", "25-29", "30-34", "35-39", "40-44", "45-49", "50-54", "55-59", "60-64", "65-69", "70-74", "75-79", "80-84", "85+")</f>
        <v>25-29</v>
      </c>
      <c r="D6775" t="s">
        <v>8</v>
      </c>
    </row>
    <row r="6776" spans="1:4">
      <c r="A6776" t="s">
        <v>6</v>
      </c>
      <c r="B6776">
        <v>41</v>
      </c>
      <c r="C6776" t="str">
        <f>CHOOSE(MATCH(B6776, {20,25,30,35,40,45,50,55,60,65,70,75,80,85}, 1), "20-24", "25-29", "30-34", "35-39", "40-44", "45-49", "50-54", "55-59", "60-64", "65-69", "70-74", "75-79", "80-84", "85+")</f>
        <v>40-44</v>
      </c>
      <c r="D6776" t="s">
        <v>7</v>
      </c>
    </row>
    <row r="6777" spans="1:4">
      <c r="A6777" t="s">
        <v>6</v>
      </c>
      <c r="B6777">
        <v>35</v>
      </c>
      <c r="C6777" t="str">
        <f>CHOOSE(MATCH(B6777, {20,25,30,35,40,45,50,55,60,65,70,75,80,85}, 1), "20-24", "25-29", "30-34", "35-39", "40-44", "45-49", "50-54", "55-59", "60-64", "65-69", "70-74", "75-79", "80-84", "85+")</f>
        <v>35-39</v>
      </c>
      <c r="D6777" t="s">
        <v>7</v>
      </c>
    </row>
    <row r="6778" spans="1:4">
      <c r="A6778" t="s">
        <v>6</v>
      </c>
      <c r="B6778">
        <v>56</v>
      </c>
      <c r="C6778" t="str">
        <f>CHOOSE(MATCH(B6778, {20,25,30,35,40,45,50,55,60,65,70,75,80,85}, 1), "20-24", "25-29", "30-34", "35-39", "40-44", "45-49", "50-54", "55-59", "60-64", "65-69", "70-74", "75-79", "80-84", "85+")</f>
        <v>55-59</v>
      </c>
      <c r="D6778" t="s">
        <v>8</v>
      </c>
    </row>
    <row r="6779" spans="1:4">
      <c r="A6779" t="s">
        <v>6</v>
      </c>
      <c r="B6779">
        <v>41</v>
      </c>
      <c r="C6779" t="str">
        <f>CHOOSE(MATCH(B6779, {20,25,30,35,40,45,50,55,60,65,70,75,80,85}, 1), "20-24", "25-29", "30-34", "35-39", "40-44", "45-49", "50-54", "55-59", "60-64", "65-69", "70-74", "75-79", "80-84", "85+")</f>
        <v>40-44</v>
      </c>
      <c r="D6779" t="s">
        <v>7</v>
      </c>
    </row>
    <row r="6780" spans="1:4">
      <c r="A6780" t="s">
        <v>6</v>
      </c>
      <c r="B6780">
        <v>45</v>
      </c>
      <c r="C6780" t="str">
        <f>CHOOSE(MATCH(B6780, {20,25,30,35,40,45,50,55,60,65,70,75,80,85}, 1), "20-24", "25-29", "30-34", "35-39", "40-44", "45-49", "50-54", "55-59", "60-64", "65-69", "70-74", "75-79", "80-84", "85+")</f>
        <v>45-49</v>
      </c>
      <c r="D6780" t="s">
        <v>7</v>
      </c>
    </row>
    <row r="6781" spans="1:4">
      <c r="A6781" t="s">
        <v>6</v>
      </c>
      <c r="B6781">
        <v>35</v>
      </c>
      <c r="C6781" t="str">
        <f>CHOOSE(MATCH(B6781, {20,25,30,35,40,45,50,55,60,65,70,75,80,85}, 1), "20-24", "25-29", "30-34", "35-39", "40-44", "45-49", "50-54", "55-59", "60-64", "65-69", "70-74", "75-79", "80-84", "85+")</f>
        <v>35-39</v>
      </c>
      <c r="D6781" t="s">
        <v>7</v>
      </c>
    </row>
    <row r="6782" spans="1:4">
      <c r="A6782" t="s">
        <v>6</v>
      </c>
      <c r="B6782">
        <v>39</v>
      </c>
      <c r="C6782" t="str">
        <f>CHOOSE(MATCH(B6782, {20,25,30,35,40,45,50,55,60,65,70,75,80,85}, 1), "20-24", "25-29", "30-34", "35-39", "40-44", "45-49", "50-54", "55-59", "60-64", "65-69", "70-74", "75-79", "80-84", "85+")</f>
        <v>35-39</v>
      </c>
      <c r="D6782" t="s">
        <v>7</v>
      </c>
    </row>
    <row r="6783" spans="1:4">
      <c r="A6783" t="s">
        <v>6</v>
      </c>
      <c r="B6783">
        <v>49</v>
      </c>
      <c r="C6783" t="str">
        <f>CHOOSE(MATCH(B6783, {20,25,30,35,40,45,50,55,60,65,70,75,80,85}, 1), "20-24", "25-29", "30-34", "35-39", "40-44", "45-49", "50-54", "55-59", "60-64", "65-69", "70-74", "75-79", "80-84", "85+")</f>
        <v>45-49</v>
      </c>
      <c r="D6783" t="s">
        <v>8</v>
      </c>
    </row>
    <row r="6784" spans="1:4">
      <c r="A6784" t="s">
        <v>6</v>
      </c>
      <c r="B6784">
        <v>35</v>
      </c>
      <c r="C6784" t="str">
        <f>CHOOSE(MATCH(B6784, {20,25,30,35,40,45,50,55,60,65,70,75,80,85}, 1), "20-24", "25-29", "30-34", "35-39", "40-44", "45-49", "50-54", "55-59", "60-64", "65-69", "70-74", "75-79", "80-84", "85+")</f>
        <v>35-39</v>
      </c>
      <c r="D6784" t="s">
        <v>8</v>
      </c>
    </row>
    <row r="6785" spans="1:4">
      <c r="A6785" t="s">
        <v>6</v>
      </c>
      <c r="B6785">
        <v>43</v>
      </c>
      <c r="C6785" t="str">
        <f>CHOOSE(MATCH(B6785, {20,25,30,35,40,45,50,55,60,65,70,75,80,85}, 1), "20-24", "25-29", "30-34", "35-39", "40-44", "45-49", "50-54", "55-59", "60-64", "65-69", "70-74", "75-79", "80-84", "85+")</f>
        <v>40-44</v>
      </c>
      <c r="D6785" t="s">
        <v>8</v>
      </c>
    </row>
    <row r="6786" spans="1:4">
      <c r="A6786" t="s">
        <v>6</v>
      </c>
      <c r="B6786">
        <v>47</v>
      </c>
      <c r="C6786" t="str">
        <f>CHOOSE(MATCH(B6786, {20,25,30,35,40,45,50,55,60,65,70,75,80,85}, 1), "20-24", "25-29", "30-34", "35-39", "40-44", "45-49", "50-54", "55-59", "60-64", "65-69", "70-74", "75-79", "80-84", "85+")</f>
        <v>45-49</v>
      </c>
      <c r="D6786" t="s">
        <v>8</v>
      </c>
    </row>
    <row r="6787" spans="1:4">
      <c r="A6787" t="s">
        <v>6</v>
      </c>
      <c r="B6787">
        <v>40</v>
      </c>
      <c r="C6787" t="str">
        <f>CHOOSE(MATCH(B6787, {20,25,30,35,40,45,50,55,60,65,70,75,80,85}, 1), "20-24", "25-29", "30-34", "35-39", "40-44", "45-49", "50-54", "55-59", "60-64", "65-69", "70-74", "75-79", "80-84", "85+")</f>
        <v>40-44</v>
      </c>
      <c r="D6787" t="s">
        <v>7</v>
      </c>
    </row>
    <row r="6788" spans="1:4">
      <c r="A6788" t="s">
        <v>6</v>
      </c>
      <c r="B6788">
        <v>28</v>
      </c>
      <c r="C6788" t="str">
        <f>CHOOSE(MATCH(B6788, {20,25,30,35,40,45,50,55,60,65,70,75,80,85}, 1), "20-24", "25-29", "30-34", "35-39", "40-44", "45-49", "50-54", "55-59", "60-64", "65-69", "70-74", "75-79", "80-84", "85+")</f>
        <v>25-29</v>
      </c>
      <c r="D6788" t="s">
        <v>7</v>
      </c>
    </row>
    <row r="6789" spans="1:4">
      <c r="A6789" t="s">
        <v>6</v>
      </c>
      <c r="B6789">
        <v>54</v>
      </c>
      <c r="C6789" t="str">
        <f>CHOOSE(MATCH(B6789, {20,25,30,35,40,45,50,55,60,65,70,75,80,85}, 1), "20-24", "25-29", "30-34", "35-39", "40-44", "45-49", "50-54", "55-59", "60-64", "65-69", "70-74", "75-79", "80-84", "85+")</f>
        <v>50-54</v>
      </c>
      <c r="D6789" t="s">
        <v>8</v>
      </c>
    </row>
    <row r="6790" spans="1:4">
      <c r="A6790" t="s">
        <v>6</v>
      </c>
      <c r="B6790">
        <v>53</v>
      </c>
      <c r="C6790" t="str">
        <f>CHOOSE(MATCH(B6790, {20,25,30,35,40,45,50,55,60,65,70,75,80,85}, 1), "20-24", "25-29", "30-34", "35-39", "40-44", "45-49", "50-54", "55-59", "60-64", "65-69", "70-74", "75-79", "80-84", "85+")</f>
        <v>50-54</v>
      </c>
      <c r="D6790" t="s">
        <v>8</v>
      </c>
    </row>
    <row r="6791" spans="1:4">
      <c r="A6791" t="s">
        <v>6</v>
      </c>
      <c r="B6791">
        <v>51</v>
      </c>
      <c r="C6791" t="str">
        <f>CHOOSE(MATCH(B6791, {20,25,30,35,40,45,50,55,60,65,70,75,80,85}, 1), "20-24", "25-29", "30-34", "35-39", "40-44", "45-49", "50-54", "55-59", "60-64", "65-69", "70-74", "75-79", "80-84", "85+")</f>
        <v>50-54</v>
      </c>
      <c r="D6791" t="s">
        <v>8</v>
      </c>
    </row>
    <row r="6792" spans="1:4">
      <c r="A6792" t="s">
        <v>6</v>
      </c>
      <c r="B6792">
        <v>51</v>
      </c>
      <c r="C6792" t="str">
        <f>CHOOSE(MATCH(B6792, {20,25,30,35,40,45,50,55,60,65,70,75,80,85}, 1), "20-24", "25-29", "30-34", "35-39", "40-44", "45-49", "50-54", "55-59", "60-64", "65-69", "70-74", "75-79", "80-84", "85+")</f>
        <v>50-54</v>
      </c>
      <c r="D6792" t="s">
        <v>7</v>
      </c>
    </row>
    <row r="6793" spans="1:4">
      <c r="A6793" t="s">
        <v>6</v>
      </c>
      <c r="B6793">
        <v>34</v>
      </c>
      <c r="C6793" t="str">
        <f>CHOOSE(MATCH(B6793, {20,25,30,35,40,45,50,55,60,65,70,75,80,85}, 1), "20-24", "25-29", "30-34", "35-39", "40-44", "45-49", "50-54", "55-59", "60-64", "65-69", "70-74", "75-79", "80-84", "85+")</f>
        <v>30-34</v>
      </c>
      <c r="D6793" t="s">
        <v>7</v>
      </c>
    </row>
    <row r="6794" spans="1:4">
      <c r="A6794" t="s">
        <v>6</v>
      </c>
      <c r="B6794">
        <v>45</v>
      </c>
      <c r="C6794" t="str">
        <f>CHOOSE(MATCH(B6794, {20,25,30,35,40,45,50,55,60,65,70,75,80,85}, 1), "20-24", "25-29", "30-34", "35-39", "40-44", "45-49", "50-54", "55-59", "60-64", "65-69", "70-74", "75-79", "80-84", "85+")</f>
        <v>45-49</v>
      </c>
      <c r="D6794" t="s">
        <v>7</v>
      </c>
    </row>
    <row r="6795" spans="1:4">
      <c r="A6795" t="s">
        <v>6</v>
      </c>
      <c r="B6795">
        <v>34</v>
      </c>
      <c r="C6795" t="str">
        <f>CHOOSE(MATCH(B6795, {20,25,30,35,40,45,50,55,60,65,70,75,80,85}, 1), "20-24", "25-29", "30-34", "35-39", "40-44", "45-49", "50-54", "55-59", "60-64", "65-69", "70-74", "75-79", "80-84", "85+")</f>
        <v>30-34</v>
      </c>
      <c r="D6795" t="s">
        <v>7</v>
      </c>
    </row>
    <row r="6796" spans="1:4">
      <c r="A6796" t="s">
        <v>6</v>
      </c>
      <c r="B6796">
        <v>29</v>
      </c>
      <c r="C6796" t="str">
        <f>CHOOSE(MATCH(B6796, {20,25,30,35,40,45,50,55,60,65,70,75,80,85}, 1), "20-24", "25-29", "30-34", "35-39", "40-44", "45-49", "50-54", "55-59", "60-64", "65-69", "70-74", "75-79", "80-84", "85+")</f>
        <v>25-29</v>
      </c>
      <c r="D6796" t="s">
        <v>7</v>
      </c>
    </row>
    <row r="6797" spans="1:4">
      <c r="A6797" t="s">
        <v>6</v>
      </c>
      <c r="B6797">
        <v>33</v>
      </c>
      <c r="C6797" t="str">
        <f>CHOOSE(MATCH(B6797, {20,25,30,35,40,45,50,55,60,65,70,75,80,85}, 1), "20-24", "25-29", "30-34", "35-39", "40-44", "45-49", "50-54", "55-59", "60-64", "65-69", "70-74", "75-79", "80-84", "85+")</f>
        <v>30-34</v>
      </c>
      <c r="D6797" t="s">
        <v>7</v>
      </c>
    </row>
    <row r="6798" spans="1:4">
      <c r="A6798" t="s">
        <v>6</v>
      </c>
      <c r="B6798">
        <v>27</v>
      </c>
      <c r="C6798" t="str">
        <f>CHOOSE(MATCH(B6798, {20,25,30,35,40,45,50,55,60,65,70,75,80,85}, 1), "20-24", "25-29", "30-34", "35-39", "40-44", "45-49", "50-54", "55-59", "60-64", "65-69", "70-74", "75-79", "80-84", "85+")</f>
        <v>25-29</v>
      </c>
      <c r="D6798" t="s">
        <v>7</v>
      </c>
    </row>
    <row r="6799" spans="1:4">
      <c r="A6799" t="s">
        <v>6</v>
      </c>
      <c r="B6799">
        <v>57</v>
      </c>
      <c r="C6799" t="str">
        <f>CHOOSE(MATCH(B6799, {20,25,30,35,40,45,50,55,60,65,70,75,80,85}, 1), "20-24", "25-29", "30-34", "35-39", "40-44", "45-49", "50-54", "55-59", "60-64", "65-69", "70-74", "75-79", "80-84", "85+")</f>
        <v>55-59</v>
      </c>
      <c r="D6799" t="s">
        <v>7</v>
      </c>
    </row>
    <row r="6800" spans="1:4">
      <c r="A6800" t="s">
        <v>6</v>
      </c>
      <c r="B6800">
        <v>53</v>
      </c>
      <c r="C6800" t="str">
        <f>CHOOSE(MATCH(B6800, {20,25,30,35,40,45,50,55,60,65,70,75,80,85}, 1), "20-24", "25-29", "30-34", "35-39", "40-44", "45-49", "50-54", "55-59", "60-64", "65-69", "70-74", "75-79", "80-84", "85+")</f>
        <v>50-54</v>
      </c>
      <c r="D6800" t="s">
        <v>8</v>
      </c>
    </row>
    <row r="6801" spans="1:4">
      <c r="A6801" t="s">
        <v>6</v>
      </c>
      <c r="B6801">
        <v>73</v>
      </c>
      <c r="C6801" t="str">
        <f>CHOOSE(MATCH(B6801, {20,25,30,35,40,45,50,55,60,65,70,75,80,85}, 1), "20-24", "25-29", "30-34", "35-39", "40-44", "45-49", "50-54", "55-59", "60-64", "65-69", "70-74", "75-79", "80-84", "85+")</f>
        <v>70-74</v>
      </c>
      <c r="D6801" t="s">
        <v>8</v>
      </c>
    </row>
    <row r="6802" spans="1:4">
      <c r="A6802" t="s">
        <v>6</v>
      </c>
      <c r="B6802">
        <v>35</v>
      </c>
      <c r="C6802" t="str">
        <f>CHOOSE(MATCH(B6802, {20,25,30,35,40,45,50,55,60,65,70,75,80,85}, 1), "20-24", "25-29", "30-34", "35-39", "40-44", "45-49", "50-54", "55-59", "60-64", "65-69", "70-74", "75-79", "80-84", "85+")</f>
        <v>35-39</v>
      </c>
      <c r="D6802" t="s">
        <v>7</v>
      </c>
    </row>
    <row r="6803" spans="1:4">
      <c r="A6803" t="s">
        <v>6</v>
      </c>
      <c r="B6803">
        <v>36</v>
      </c>
      <c r="C6803" t="str">
        <f>CHOOSE(MATCH(B6803, {20,25,30,35,40,45,50,55,60,65,70,75,80,85}, 1), "20-24", "25-29", "30-34", "35-39", "40-44", "45-49", "50-54", "55-59", "60-64", "65-69", "70-74", "75-79", "80-84", "85+")</f>
        <v>35-39</v>
      </c>
      <c r="D6803" t="s">
        <v>7</v>
      </c>
    </row>
    <row r="6804" spans="1:4">
      <c r="A6804" t="s">
        <v>6</v>
      </c>
      <c r="B6804">
        <v>66</v>
      </c>
      <c r="C6804" t="str">
        <f>CHOOSE(MATCH(B6804, {20,25,30,35,40,45,50,55,60,65,70,75,80,85}, 1), "20-24", "25-29", "30-34", "35-39", "40-44", "45-49", "50-54", "55-59", "60-64", "65-69", "70-74", "75-79", "80-84", "85+")</f>
        <v>65-69</v>
      </c>
      <c r="D6804" t="s">
        <v>7</v>
      </c>
    </row>
    <row r="6805" spans="1:4">
      <c r="A6805" t="s">
        <v>6</v>
      </c>
      <c r="B6805">
        <v>44</v>
      </c>
      <c r="C6805" t="str">
        <f>CHOOSE(MATCH(B6805, {20,25,30,35,40,45,50,55,60,65,70,75,80,85}, 1), "20-24", "25-29", "30-34", "35-39", "40-44", "45-49", "50-54", "55-59", "60-64", "65-69", "70-74", "75-79", "80-84", "85+")</f>
        <v>40-44</v>
      </c>
      <c r="D6805" t="s">
        <v>7</v>
      </c>
    </row>
    <row r="6806" spans="1:4">
      <c r="A6806" t="s">
        <v>6</v>
      </c>
      <c r="B6806">
        <v>32</v>
      </c>
      <c r="C6806" t="str">
        <f>CHOOSE(MATCH(B6806, {20,25,30,35,40,45,50,55,60,65,70,75,80,85}, 1), "20-24", "25-29", "30-34", "35-39", "40-44", "45-49", "50-54", "55-59", "60-64", "65-69", "70-74", "75-79", "80-84", "85+")</f>
        <v>30-34</v>
      </c>
      <c r="D6806" t="s">
        <v>7</v>
      </c>
    </row>
    <row r="6807" spans="1:4">
      <c r="A6807" t="s">
        <v>6</v>
      </c>
      <c r="B6807">
        <v>39</v>
      </c>
      <c r="C6807" t="str">
        <f>CHOOSE(MATCH(B6807, {20,25,30,35,40,45,50,55,60,65,70,75,80,85}, 1), "20-24", "25-29", "30-34", "35-39", "40-44", "45-49", "50-54", "55-59", "60-64", "65-69", "70-74", "75-79", "80-84", "85+")</f>
        <v>35-39</v>
      </c>
      <c r="D6807" t="s">
        <v>7</v>
      </c>
    </row>
    <row r="6808" spans="1:4">
      <c r="A6808" t="s">
        <v>6</v>
      </c>
      <c r="B6808">
        <v>77</v>
      </c>
      <c r="C6808" t="str">
        <f>CHOOSE(MATCH(B6808, {20,25,30,35,40,45,50,55,60,65,70,75,80,85}, 1), "20-24", "25-29", "30-34", "35-39", "40-44", "45-49", "50-54", "55-59", "60-64", "65-69", "70-74", "75-79", "80-84", "85+")</f>
        <v>75-79</v>
      </c>
      <c r="D6808" t="s">
        <v>8</v>
      </c>
    </row>
    <row r="6809" spans="1:4">
      <c r="A6809" t="s">
        <v>6</v>
      </c>
      <c r="B6809">
        <v>47</v>
      </c>
      <c r="C6809" t="str">
        <f>CHOOSE(MATCH(B6809, {20,25,30,35,40,45,50,55,60,65,70,75,80,85}, 1), "20-24", "25-29", "30-34", "35-39", "40-44", "45-49", "50-54", "55-59", "60-64", "65-69", "70-74", "75-79", "80-84", "85+")</f>
        <v>45-49</v>
      </c>
      <c r="D6809" t="s">
        <v>8</v>
      </c>
    </row>
    <row r="6810" spans="1:4">
      <c r="A6810" t="s">
        <v>6</v>
      </c>
      <c r="B6810">
        <v>40</v>
      </c>
      <c r="C6810" t="str">
        <f>CHOOSE(MATCH(B6810, {20,25,30,35,40,45,50,55,60,65,70,75,80,85}, 1), "20-24", "25-29", "30-34", "35-39", "40-44", "45-49", "50-54", "55-59", "60-64", "65-69", "70-74", "75-79", "80-84", "85+")</f>
        <v>40-44</v>
      </c>
      <c r="D6810" t="s">
        <v>8</v>
      </c>
    </row>
    <row r="6811" spans="1:4">
      <c r="A6811" t="s">
        <v>6</v>
      </c>
      <c r="B6811">
        <v>31</v>
      </c>
      <c r="C6811" t="str">
        <f>CHOOSE(MATCH(B6811, {20,25,30,35,40,45,50,55,60,65,70,75,80,85}, 1), "20-24", "25-29", "30-34", "35-39", "40-44", "45-49", "50-54", "55-59", "60-64", "65-69", "70-74", "75-79", "80-84", "85+")</f>
        <v>30-34</v>
      </c>
      <c r="D6811" t="s">
        <v>7</v>
      </c>
    </row>
    <row r="6812" spans="1:4">
      <c r="A6812" t="s">
        <v>6</v>
      </c>
      <c r="B6812">
        <v>24</v>
      </c>
      <c r="C6812" t="str">
        <f>CHOOSE(MATCH(B6812, {20,25,30,35,40,45,50,55,60,65,70,75,80,85}, 1), "20-24", "25-29", "30-34", "35-39", "40-44", "45-49", "50-54", "55-59", "60-64", "65-69", "70-74", "75-79", "80-84", "85+")</f>
        <v>20-24</v>
      </c>
      <c r="D6812" t="s">
        <v>7</v>
      </c>
    </row>
    <row r="6813" spans="1:4">
      <c r="A6813" t="s">
        <v>6</v>
      </c>
      <c r="B6813">
        <v>42</v>
      </c>
      <c r="C6813" t="str">
        <f>CHOOSE(MATCH(B6813, {20,25,30,35,40,45,50,55,60,65,70,75,80,85}, 1), "20-24", "25-29", "30-34", "35-39", "40-44", "45-49", "50-54", "55-59", "60-64", "65-69", "70-74", "75-79", "80-84", "85+")</f>
        <v>40-44</v>
      </c>
      <c r="D6813" t="s">
        <v>7</v>
      </c>
    </row>
    <row r="6814" spans="1:4">
      <c r="A6814" t="s">
        <v>6</v>
      </c>
      <c r="B6814">
        <v>75</v>
      </c>
      <c r="C6814" t="str">
        <f>CHOOSE(MATCH(B6814, {20,25,30,35,40,45,50,55,60,65,70,75,80,85}, 1), "20-24", "25-29", "30-34", "35-39", "40-44", "45-49", "50-54", "55-59", "60-64", "65-69", "70-74", "75-79", "80-84", "85+")</f>
        <v>75-79</v>
      </c>
      <c r="D6814" t="s">
        <v>7</v>
      </c>
    </row>
    <row r="6815" spans="1:4">
      <c r="A6815" t="s">
        <v>6</v>
      </c>
      <c r="B6815">
        <v>48</v>
      </c>
      <c r="C6815" t="str">
        <f>CHOOSE(MATCH(B6815, {20,25,30,35,40,45,50,55,60,65,70,75,80,85}, 1), "20-24", "25-29", "30-34", "35-39", "40-44", "45-49", "50-54", "55-59", "60-64", "65-69", "70-74", "75-79", "80-84", "85+")</f>
        <v>45-49</v>
      </c>
      <c r="D6815" t="s">
        <v>7</v>
      </c>
    </row>
    <row r="6816" spans="1:4">
      <c r="A6816" t="s">
        <v>6</v>
      </c>
      <c r="B6816">
        <v>46</v>
      </c>
      <c r="C6816" t="str">
        <f>CHOOSE(MATCH(B6816, {20,25,30,35,40,45,50,55,60,65,70,75,80,85}, 1), "20-24", "25-29", "30-34", "35-39", "40-44", "45-49", "50-54", "55-59", "60-64", "65-69", "70-74", "75-79", "80-84", "85+")</f>
        <v>45-49</v>
      </c>
      <c r="D6816" t="s">
        <v>8</v>
      </c>
    </row>
    <row r="6817" spans="1:4">
      <c r="A6817" t="s">
        <v>6</v>
      </c>
      <c r="B6817">
        <v>64</v>
      </c>
      <c r="C6817" t="str">
        <f>CHOOSE(MATCH(B6817, {20,25,30,35,40,45,50,55,60,65,70,75,80,85}, 1), "20-24", "25-29", "30-34", "35-39", "40-44", "45-49", "50-54", "55-59", "60-64", "65-69", "70-74", "75-79", "80-84", "85+")</f>
        <v>60-64</v>
      </c>
      <c r="D6817" t="s">
        <v>8</v>
      </c>
    </row>
    <row r="6818" spans="1:4">
      <c r="A6818" t="s">
        <v>6</v>
      </c>
      <c r="B6818">
        <v>40</v>
      </c>
      <c r="C6818" t="str">
        <f>CHOOSE(MATCH(B6818, {20,25,30,35,40,45,50,55,60,65,70,75,80,85}, 1), "20-24", "25-29", "30-34", "35-39", "40-44", "45-49", "50-54", "55-59", "60-64", "65-69", "70-74", "75-79", "80-84", "85+")</f>
        <v>40-44</v>
      </c>
      <c r="D6818" t="s">
        <v>7</v>
      </c>
    </row>
    <row r="6819" spans="1:4">
      <c r="A6819" t="s">
        <v>6</v>
      </c>
      <c r="B6819">
        <v>38</v>
      </c>
      <c r="C6819" t="str">
        <f>CHOOSE(MATCH(B6819, {20,25,30,35,40,45,50,55,60,65,70,75,80,85}, 1), "20-24", "25-29", "30-34", "35-39", "40-44", "45-49", "50-54", "55-59", "60-64", "65-69", "70-74", "75-79", "80-84", "85+")</f>
        <v>35-39</v>
      </c>
      <c r="D6819" t="s">
        <v>7</v>
      </c>
    </row>
    <row r="6820" spans="1:4">
      <c r="A6820" t="s">
        <v>6</v>
      </c>
      <c r="B6820">
        <v>55</v>
      </c>
      <c r="C6820" t="str">
        <f>CHOOSE(MATCH(B6820, {20,25,30,35,40,45,50,55,60,65,70,75,80,85}, 1), "20-24", "25-29", "30-34", "35-39", "40-44", "45-49", "50-54", "55-59", "60-64", "65-69", "70-74", "75-79", "80-84", "85+")</f>
        <v>55-59</v>
      </c>
      <c r="D6820" t="s">
        <v>8</v>
      </c>
    </row>
    <row r="6821" spans="1:4">
      <c r="A6821" t="s">
        <v>6</v>
      </c>
      <c r="B6821">
        <v>63</v>
      </c>
      <c r="C6821" t="str">
        <f>CHOOSE(MATCH(B6821, {20,25,30,35,40,45,50,55,60,65,70,75,80,85}, 1), "20-24", "25-29", "30-34", "35-39", "40-44", "45-49", "50-54", "55-59", "60-64", "65-69", "70-74", "75-79", "80-84", "85+")</f>
        <v>60-64</v>
      </c>
      <c r="D6821" t="s">
        <v>7</v>
      </c>
    </row>
    <row r="6822" spans="1:4">
      <c r="A6822" t="s">
        <v>6</v>
      </c>
      <c r="B6822">
        <v>58</v>
      </c>
      <c r="C6822" t="str">
        <f>CHOOSE(MATCH(B6822, {20,25,30,35,40,45,50,55,60,65,70,75,80,85}, 1), "20-24", "25-29", "30-34", "35-39", "40-44", "45-49", "50-54", "55-59", "60-64", "65-69", "70-74", "75-79", "80-84", "85+")</f>
        <v>55-59</v>
      </c>
      <c r="D6822" t="s">
        <v>8</v>
      </c>
    </row>
    <row r="6823" spans="1:4">
      <c r="A6823" t="s">
        <v>6</v>
      </c>
      <c r="B6823">
        <v>38</v>
      </c>
      <c r="C6823" t="str">
        <f>CHOOSE(MATCH(B6823, {20,25,30,35,40,45,50,55,60,65,70,75,80,85}, 1), "20-24", "25-29", "30-34", "35-39", "40-44", "45-49", "50-54", "55-59", "60-64", "65-69", "70-74", "75-79", "80-84", "85+")</f>
        <v>35-39</v>
      </c>
      <c r="D6823" t="s">
        <v>7</v>
      </c>
    </row>
    <row r="6824" spans="1:4">
      <c r="A6824" t="s">
        <v>6</v>
      </c>
      <c r="B6824">
        <v>43</v>
      </c>
      <c r="C6824" t="str">
        <f>CHOOSE(MATCH(B6824, {20,25,30,35,40,45,50,55,60,65,70,75,80,85}, 1), "20-24", "25-29", "30-34", "35-39", "40-44", "45-49", "50-54", "55-59", "60-64", "65-69", "70-74", "75-79", "80-84", "85+")</f>
        <v>40-44</v>
      </c>
      <c r="D6824" t="s">
        <v>7</v>
      </c>
    </row>
    <row r="6825" spans="1:4">
      <c r="A6825" t="s">
        <v>6</v>
      </c>
      <c r="B6825">
        <v>34</v>
      </c>
      <c r="C6825" t="str">
        <f>CHOOSE(MATCH(B6825, {20,25,30,35,40,45,50,55,60,65,70,75,80,85}, 1), "20-24", "25-29", "30-34", "35-39", "40-44", "45-49", "50-54", "55-59", "60-64", "65-69", "70-74", "75-79", "80-84", "85+")</f>
        <v>30-34</v>
      </c>
      <c r="D6825" t="s">
        <v>7</v>
      </c>
    </row>
    <row r="6826" spans="1:4">
      <c r="A6826" t="s">
        <v>6</v>
      </c>
      <c r="B6826">
        <v>41</v>
      </c>
      <c r="C6826" t="str">
        <f>CHOOSE(MATCH(B6826, {20,25,30,35,40,45,50,55,60,65,70,75,80,85}, 1), "20-24", "25-29", "30-34", "35-39", "40-44", "45-49", "50-54", "55-59", "60-64", "65-69", "70-74", "75-79", "80-84", "85+")</f>
        <v>40-44</v>
      </c>
      <c r="D6826" t="s">
        <v>7</v>
      </c>
    </row>
    <row r="6827" spans="1:4">
      <c r="A6827" t="s">
        <v>6</v>
      </c>
      <c r="B6827">
        <v>35</v>
      </c>
      <c r="C6827" t="str">
        <f>CHOOSE(MATCH(B6827, {20,25,30,35,40,45,50,55,60,65,70,75,80,85}, 1), "20-24", "25-29", "30-34", "35-39", "40-44", "45-49", "50-54", "55-59", "60-64", "65-69", "70-74", "75-79", "80-84", "85+")</f>
        <v>35-39</v>
      </c>
      <c r="D6827" t="s">
        <v>8</v>
      </c>
    </row>
    <row r="6828" spans="1:4">
      <c r="A6828" t="s">
        <v>6</v>
      </c>
      <c r="B6828">
        <v>42</v>
      </c>
      <c r="C6828" t="str">
        <f>CHOOSE(MATCH(B6828, {20,25,30,35,40,45,50,55,60,65,70,75,80,85}, 1), "20-24", "25-29", "30-34", "35-39", "40-44", "45-49", "50-54", "55-59", "60-64", "65-69", "70-74", "75-79", "80-84", "85+")</f>
        <v>40-44</v>
      </c>
      <c r="D6828" t="s">
        <v>7</v>
      </c>
    </row>
    <row r="6829" spans="1:4">
      <c r="A6829" t="s">
        <v>6</v>
      </c>
      <c r="B6829">
        <v>28</v>
      </c>
      <c r="C6829" t="str">
        <f>CHOOSE(MATCH(B6829, {20,25,30,35,40,45,50,55,60,65,70,75,80,85}, 1), "20-24", "25-29", "30-34", "35-39", "40-44", "45-49", "50-54", "55-59", "60-64", "65-69", "70-74", "75-79", "80-84", "85+")</f>
        <v>25-29</v>
      </c>
      <c r="D6829" t="s">
        <v>8</v>
      </c>
    </row>
    <row r="6830" spans="1:4">
      <c r="A6830" t="s">
        <v>6</v>
      </c>
      <c r="B6830">
        <v>35</v>
      </c>
      <c r="C6830" t="str">
        <f>CHOOSE(MATCH(B6830, {20,25,30,35,40,45,50,55,60,65,70,75,80,85}, 1), "20-24", "25-29", "30-34", "35-39", "40-44", "45-49", "50-54", "55-59", "60-64", "65-69", "70-74", "75-79", "80-84", "85+")</f>
        <v>35-39</v>
      </c>
      <c r="D6830" t="s">
        <v>8</v>
      </c>
    </row>
    <row r="6831" spans="1:4">
      <c r="A6831" t="s">
        <v>6</v>
      </c>
      <c r="B6831">
        <v>84</v>
      </c>
      <c r="C6831" t="str">
        <f>CHOOSE(MATCH(B6831, {20,25,30,35,40,45,50,55,60,65,70,75,80,85}, 1), "20-24", "25-29", "30-34", "35-39", "40-44", "45-49", "50-54", "55-59", "60-64", "65-69", "70-74", "75-79", "80-84", "85+")</f>
        <v>80-84</v>
      </c>
      <c r="D6831" t="s">
        <v>8</v>
      </c>
    </row>
    <row r="6832" spans="1:4">
      <c r="A6832" t="s">
        <v>6</v>
      </c>
      <c r="B6832">
        <v>48</v>
      </c>
      <c r="C6832" t="str">
        <f>CHOOSE(MATCH(B6832, {20,25,30,35,40,45,50,55,60,65,70,75,80,85}, 1), "20-24", "25-29", "30-34", "35-39", "40-44", "45-49", "50-54", "55-59", "60-64", "65-69", "70-74", "75-79", "80-84", "85+")</f>
        <v>45-49</v>
      </c>
      <c r="D6832" t="s">
        <v>7</v>
      </c>
    </row>
    <row r="6833" spans="1:4">
      <c r="A6833" t="s">
        <v>6</v>
      </c>
      <c r="B6833">
        <v>46</v>
      </c>
      <c r="C6833" t="str">
        <f>CHOOSE(MATCH(B6833, {20,25,30,35,40,45,50,55,60,65,70,75,80,85}, 1), "20-24", "25-29", "30-34", "35-39", "40-44", "45-49", "50-54", "55-59", "60-64", "65-69", "70-74", "75-79", "80-84", "85+")</f>
        <v>45-49</v>
      </c>
      <c r="D6833" t="s">
        <v>7</v>
      </c>
    </row>
    <row r="6834" spans="1:4">
      <c r="A6834" t="s">
        <v>6</v>
      </c>
      <c r="B6834">
        <v>25</v>
      </c>
      <c r="C6834" t="str">
        <f>CHOOSE(MATCH(B6834, {20,25,30,35,40,45,50,55,60,65,70,75,80,85}, 1), "20-24", "25-29", "30-34", "35-39", "40-44", "45-49", "50-54", "55-59", "60-64", "65-69", "70-74", "75-79", "80-84", "85+")</f>
        <v>25-29</v>
      </c>
      <c r="D6834" t="s">
        <v>7</v>
      </c>
    </row>
    <row r="6835" spans="1:4">
      <c r="A6835" t="s">
        <v>6</v>
      </c>
      <c r="B6835">
        <v>47</v>
      </c>
      <c r="C6835" t="str">
        <f>CHOOSE(MATCH(B6835, {20,25,30,35,40,45,50,55,60,65,70,75,80,85}, 1), "20-24", "25-29", "30-34", "35-39", "40-44", "45-49", "50-54", "55-59", "60-64", "65-69", "70-74", "75-79", "80-84", "85+")</f>
        <v>45-49</v>
      </c>
      <c r="D6835" t="s">
        <v>7</v>
      </c>
    </row>
    <row r="6836" spans="1:4">
      <c r="A6836" t="s">
        <v>6</v>
      </c>
      <c r="B6836">
        <v>20</v>
      </c>
      <c r="C6836" t="str">
        <f>CHOOSE(MATCH(B6836, {20,25,30,35,40,45,50,55,60,65,70,75,80,85}, 1), "20-24", "25-29", "30-34", "35-39", "40-44", "45-49", "50-54", "55-59", "60-64", "65-69", "70-74", "75-79", "80-84", "85+")</f>
        <v>20-24</v>
      </c>
      <c r="D6836" t="s">
        <v>8</v>
      </c>
    </row>
    <row r="6837" spans="1:4">
      <c r="A6837" t="s">
        <v>6</v>
      </c>
      <c r="B6837">
        <v>65</v>
      </c>
      <c r="C6837" t="str">
        <f>CHOOSE(MATCH(B6837, {20,25,30,35,40,45,50,55,60,65,70,75,80,85}, 1), "20-24", "25-29", "30-34", "35-39", "40-44", "45-49", "50-54", "55-59", "60-64", "65-69", "70-74", "75-79", "80-84", "85+")</f>
        <v>65-69</v>
      </c>
      <c r="D6837" t="s">
        <v>8</v>
      </c>
    </row>
    <row r="6838" spans="1:4">
      <c r="A6838" t="s">
        <v>6</v>
      </c>
      <c r="B6838">
        <v>24</v>
      </c>
      <c r="C6838" t="str">
        <f>CHOOSE(MATCH(B6838, {20,25,30,35,40,45,50,55,60,65,70,75,80,85}, 1), "20-24", "25-29", "30-34", "35-39", "40-44", "45-49", "50-54", "55-59", "60-64", "65-69", "70-74", "75-79", "80-84", "85+")</f>
        <v>20-24</v>
      </c>
      <c r="D6838" t="s">
        <v>7</v>
      </c>
    </row>
    <row r="6839" spans="1:4">
      <c r="A6839" t="s">
        <v>6</v>
      </c>
      <c r="B6839">
        <v>39</v>
      </c>
      <c r="C6839" t="str">
        <f>CHOOSE(MATCH(B6839, {20,25,30,35,40,45,50,55,60,65,70,75,80,85}, 1), "20-24", "25-29", "30-34", "35-39", "40-44", "45-49", "50-54", "55-59", "60-64", "65-69", "70-74", "75-79", "80-84", "85+")</f>
        <v>35-39</v>
      </c>
      <c r="D6839" t="s">
        <v>7</v>
      </c>
    </row>
    <row r="6840" spans="1:4">
      <c r="A6840" t="s">
        <v>6</v>
      </c>
      <c r="B6840">
        <v>65</v>
      </c>
      <c r="C6840" t="str">
        <f>CHOOSE(MATCH(B6840, {20,25,30,35,40,45,50,55,60,65,70,75,80,85}, 1), "20-24", "25-29", "30-34", "35-39", "40-44", "45-49", "50-54", "55-59", "60-64", "65-69", "70-74", "75-79", "80-84", "85+")</f>
        <v>65-69</v>
      </c>
      <c r="D6840" t="s">
        <v>7</v>
      </c>
    </row>
    <row r="6841" spans="1:4">
      <c r="A6841" t="s">
        <v>6</v>
      </c>
      <c r="B6841">
        <v>36</v>
      </c>
      <c r="C6841" t="str">
        <f>CHOOSE(MATCH(B6841, {20,25,30,35,40,45,50,55,60,65,70,75,80,85}, 1), "20-24", "25-29", "30-34", "35-39", "40-44", "45-49", "50-54", "55-59", "60-64", "65-69", "70-74", "75-79", "80-84", "85+")</f>
        <v>35-39</v>
      </c>
      <c r="D6841" t="s">
        <v>7</v>
      </c>
    </row>
    <row r="6842" spans="1:4">
      <c r="A6842" t="s">
        <v>6</v>
      </c>
      <c r="B6842">
        <v>28</v>
      </c>
      <c r="C6842" t="str">
        <f>CHOOSE(MATCH(B6842, {20,25,30,35,40,45,50,55,60,65,70,75,80,85}, 1), "20-24", "25-29", "30-34", "35-39", "40-44", "45-49", "50-54", "55-59", "60-64", "65-69", "70-74", "75-79", "80-84", "85+")</f>
        <v>25-29</v>
      </c>
      <c r="D6842" t="s">
        <v>7</v>
      </c>
    </row>
    <row r="6843" spans="1:4">
      <c r="A6843" t="s">
        <v>6</v>
      </c>
      <c r="B6843">
        <v>32</v>
      </c>
      <c r="C6843" t="str">
        <f>CHOOSE(MATCH(B6843, {20,25,30,35,40,45,50,55,60,65,70,75,80,85}, 1), "20-24", "25-29", "30-34", "35-39", "40-44", "45-49", "50-54", "55-59", "60-64", "65-69", "70-74", "75-79", "80-84", "85+")</f>
        <v>30-34</v>
      </c>
      <c r="D6843" t="s">
        <v>7</v>
      </c>
    </row>
    <row r="6844" spans="1:4">
      <c r="A6844" t="s">
        <v>6</v>
      </c>
      <c r="B6844">
        <v>32</v>
      </c>
      <c r="C6844" t="str">
        <f>CHOOSE(MATCH(B6844, {20,25,30,35,40,45,50,55,60,65,70,75,80,85}, 1), "20-24", "25-29", "30-34", "35-39", "40-44", "45-49", "50-54", "55-59", "60-64", "65-69", "70-74", "75-79", "80-84", "85+")</f>
        <v>30-34</v>
      </c>
      <c r="D6844" t="s">
        <v>7</v>
      </c>
    </row>
    <row r="6845" spans="1:4">
      <c r="A6845" t="s">
        <v>6</v>
      </c>
      <c r="B6845">
        <v>38</v>
      </c>
      <c r="C6845" t="str">
        <f>CHOOSE(MATCH(B6845, {20,25,30,35,40,45,50,55,60,65,70,75,80,85}, 1), "20-24", "25-29", "30-34", "35-39", "40-44", "45-49", "50-54", "55-59", "60-64", "65-69", "70-74", "75-79", "80-84", "85+")</f>
        <v>35-39</v>
      </c>
      <c r="D6845" t="s">
        <v>8</v>
      </c>
    </row>
    <row r="6846" spans="1:4">
      <c r="A6846" t="s">
        <v>6</v>
      </c>
      <c r="B6846">
        <v>40</v>
      </c>
      <c r="C6846" t="str">
        <f>CHOOSE(MATCH(B6846, {20,25,30,35,40,45,50,55,60,65,70,75,80,85}, 1), "20-24", "25-29", "30-34", "35-39", "40-44", "45-49", "50-54", "55-59", "60-64", "65-69", "70-74", "75-79", "80-84", "85+")</f>
        <v>40-44</v>
      </c>
      <c r="D6846" t="s">
        <v>7</v>
      </c>
    </row>
    <row r="6847" spans="1:4">
      <c r="A6847" t="s">
        <v>6</v>
      </c>
      <c r="B6847">
        <v>51</v>
      </c>
      <c r="C6847" t="str">
        <f>CHOOSE(MATCH(B6847, {20,25,30,35,40,45,50,55,60,65,70,75,80,85}, 1), "20-24", "25-29", "30-34", "35-39", "40-44", "45-49", "50-54", "55-59", "60-64", "65-69", "70-74", "75-79", "80-84", "85+")</f>
        <v>50-54</v>
      </c>
      <c r="D6847" t="s">
        <v>7</v>
      </c>
    </row>
    <row r="6848" spans="1:4">
      <c r="A6848" t="s">
        <v>6</v>
      </c>
      <c r="B6848">
        <v>76</v>
      </c>
      <c r="C6848" t="str">
        <f>CHOOSE(MATCH(B6848, {20,25,30,35,40,45,50,55,60,65,70,75,80,85}, 1), "20-24", "25-29", "30-34", "35-39", "40-44", "45-49", "50-54", "55-59", "60-64", "65-69", "70-74", "75-79", "80-84", "85+")</f>
        <v>75-79</v>
      </c>
      <c r="D6848" t="s">
        <v>7</v>
      </c>
    </row>
    <row r="6849" spans="1:4">
      <c r="A6849" t="s">
        <v>6</v>
      </c>
      <c r="B6849">
        <v>52</v>
      </c>
      <c r="C6849" t="str">
        <f>CHOOSE(MATCH(B6849, {20,25,30,35,40,45,50,55,60,65,70,75,80,85}, 1), "20-24", "25-29", "30-34", "35-39", "40-44", "45-49", "50-54", "55-59", "60-64", "65-69", "70-74", "75-79", "80-84", "85+")</f>
        <v>50-54</v>
      </c>
      <c r="D6849" t="s">
        <v>7</v>
      </c>
    </row>
    <row r="6850" spans="1:4">
      <c r="A6850" t="s">
        <v>6</v>
      </c>
      <c r="B6850">
        <v>34</v>
      </c>
      <c r="C6850" t="str">
        <f>CHOOSE(MATCH(B6850, {20,25,30,35,40,45,50,55,60,65,70,75,80,85}, 1), "20-24", "25-29", "30-34", "35-39", "40-44", "45-49", "50-54", "55-59", "60-64", "65-69", "70-74", "75-79", "80-84", "85+")</f>
        <v>30-34</v>
      </c>
      <c r="D6850" t="s">
        <v>8</v>
      </c>
    </row>
    <row r="6851" spans="1:4">
      <c r="A6851" t="s">
        <v>6</v>
      </c>
      <c r="B6851">
        <v>36</v>
      </c>
      <c r="C6851" t="str">
        <f>CHOOSE(MATCH(B6851, {20,25,30,35,40,45,50,55,60,65,70,75,80,85}, 1), "20-24", "25-29", "30-34", "35-39", "40-44", "45-49", "50-54", "55-59", "60-64", "65-69", "70-74", "75-79", "80-84", "85+")</f>
        <v>35-39</v>
      </c>
      <c r="D6851" t="s">
        <v>7</v>
      </c>
    </row>
    <row r="6852" spans="1:4">
      <c r="A6852" t="s">
        <v>6</v>
      </c>
      <c r="B6852">
        <v>33</v>
      </c>
      <c r="C6852" t="str">
        <f>CHOOSE(MATCH(B6852, {20,25,30,35,40,45,50,55,60,65,70,75,80,85}, 1), "20-24", "25-29", "30-34", "35-39", "40-44", "45-49", "50-54", "55-59", "60-64", "65-69", "70-74", "75-79", "80-84", "85+")</f>
        <v>30-34</v>
      </c>
      <c r="D6852" t="s">
        <v>8</v>
      </c>
    </row>
    <row r="6853" spans="1:4">
      <c r="A6853" t="s">
        <v>6</v>
      </c>
      <c r="B6853">
        <v>38</v>
      </c>
      <c r="C6853" t="str">
        <f>CHOOSE(MATCH(B6853, {20,25,30,35,40,45,50,55,60,65,70,75,80,85}, 1), "20-24", "25-29", "30-34", "35-39", "40-44", "45-49", "50-54", "55-59", "60-64", "65-69", "70-74", "75-79", "80-84", "85+")</f>
        <v>35-39</v>
      </c>
      <c r="D6853" t="s">
        <v>7</v>
      </c>
    </row>
    <row r="6854" spans="1:4">
      <c r="A6854" t="s">
        <v>6</v>
      </c>
      <c r="B6854">
        <v>35</v>
      </c>
      <c r="C6854" t="str">
        <f>CHOOSE(MATCH(B6854, {20,25,30,35,40,45,50,55,60,65,70,75,80,85}, 1), "20-24", "25-29", "30-34", "35-39", "40-44", "45-49", "50-54", "55-59", "60-64", "65-69", "70-74", "75-79", "80-84", "85+")</f>
        <v>35-39</v>
      </c>
      <c r="D6854" t="s">
        <v>8</v>
      </c>
    </row>
    <row r="6855" spans="1:4">
      <c r="A6855" t="s">
        <v>6</v>
      </c>
      <c r="B6855">
        <v>74</v>
      </c>
      <c r="C6855" t="str">
        <f>CHOOSE(MATCH(B6855, {20,25,30,35,40,45,50,55,60,65,70,75,80,85}, 1), "20-24", "25-29", "30-34", "35-39", "40-44", "45-49", "50-54", "55-59", "60-64", "65-69", "70-74", "75-79", "80-84", "85+")</f>
        <v>70-74</v>
      </c>
      <c r="D6855" t="s">
        <v>8</v>
      </c>
    </row>
    <row r="6856" spans="1:4">
      <c r="A6856" t="s">
        <v>6</v>
      </c>
      <c r="B6856">
        <v>68</v>
      </c>
      <c r="C6856" t="str">
        <f>CHOOSE(MATCH(B6856, {20,25,30,35,40,45,50,55,60,65,70,75,80,85}, 1), "20-24", "25-29", "30-34", "35-39", "40-44", "45-49", "50-54", "55-59", "60-64", "65-69", "70-74", "75-79", "80-84", "85+")</f>
        <v>65-69</v>
      </c>
      <c r="D6856" t="s">
        <v>8</v>
      </c>
    </row>
    <row r="6857" spans="1:4">
      <c r="A6857" t="s">
        <v>6</v>
      </c>
      <c r="B6857">
        <v>47</v>
      </c>
      <c r="C6857" t="str">
        <f>CHOOSE(MATCH(B6857, {20,25,30,35,40,45,50,55,60,65,70,75,80,85}, 1), "20-24", "25-29", "30-34", "35-39", "40-44", "45-49", "50-54", "55-59", "60-64", "65-69", "70-74", "75-79", "80-84", "85+")</f>
        <v>45-49</v>
      </c>
      <c r="D6857" t="s">
        <v>8</v>
      </c>
    </row>
    <row r="6858" spans="1:4">
      <c r="A6858" t="s">
        <v>6</v>
      </c>
      <c r="B6858">
        <v>23</v>
      </c>
      <c r="C6858" t="str">
        <f>CHOOSE(MATCH(B6858, {20,25,30,35,40,45,50,55,60,65,70,75,80,85}, 1), "20-24", "25-29", "30-34", "35-39", "40-44", "45-49", "50-54", "55-59", "60-64", "65-69", "70-74", "75-79", "80-84", "85+")</f>
        <v>20-24</v>
      </c>
      <c r="D6858" t="s">
        <v>7</v>
      </c>
    </row>
    <row r="6859" spans="1:4">
      <c r="A6859" t="s">
        <v>6</v>
      </c>
      <c r="B6859">
        <v>48</v>
      </c>
      <c r="C6859" t="str">
        <f>CHOOSE(MATCH(B6859, {20,25,30,35,40,45,50,55,60,65,70,75,80,85}, 1), "20-24", "25-29", "30-34", "35-39", "40-44", "45-49", "50-54", "55-59", "60-64", "65-69", "70-74", "75-79", "80-84", "85+")</f>
        <v>45-49</v>
      </c>
      <c r="D6859" t="s">
        <v>8</v>
      </c>
    </row>
    <row r="6860" spans="1:4">
      <c r="A6860" t="s">
        <v>6</v>
      </c>
      <c r="B6860">
        <v>58</v>
      </c>
      <c r="C6860" t="str">
        <f>CHOOSE(MATCH(B6860, {20,25,30,35,40,45,50,55,60,65,70,75,80,85}, 1), "20-24", "25-29", "30-34", "35-39", "40-44", "45-49", "50-54", "55-59", "60-64", "65-69", "70-74", "75-79", "80-84", "85+")</f>
        <v>55-59</v>
      </c>
      <c r="D6860" t="s">
        <v>8</v>
      </c>
    </row>
    <row r="6861" spans="1:4">
      <c r="A6861" t="s">
        <v>6</v>
      </c>
      <c r="B6861">
        <v>73</v>
      </c>
      <c r="C6861" t="str">
        <f>CHOOSE(MATCH(B6861, {20,25,30,35,40,45,50,55,60,65,70,75,80,85}, 1), "20-24", "25-29", "30-34", "35-39", "40-44", "45-49", "50-54", "55-59", "60-64", "65-69", "70-74", "75-79", "80-84", "85+")</f>
        <v>70-74</v>
      </c>
      <c r="D6861" t="s">
        <v>7</v>
      </c>
    </row>
    <row r="6862" spans="1:4">
      <c r="A6862" t="s">
        <v>6</v>
      </c>
      <c r="B6862">
        <v>65</v>
      </c>
      <c r="C6862" t="str">
        <f>CHOOSE(MATCH(B6862, {20,25,30,35,40,45,50,55,60,65,70,75,80,85}, 1), "20-24", "25-29", "30-34", "35-39", "40-44", "45-49", "50-54", "55-59", "60-64", "65-69", "70-74", "75-79", "80-84", "85+")</f>
        <v>65-69</v>
      </c>
      <c r="D6862" t="s">
        <v>7</v>
      </c>
    </row>
    <row r="6863" spans="1:4">
      <c r="A6863" t="s">
        <v>6</v>
      </c>
      <c r="B6863">
        <v>51</v>
      </c>
      <c r="C6863" t="str">
        <f>CHOOSE(MATCH(B6863, {20,25,30,35,40,45,50,55,60,65,70,75,80,85}, 1), "20-24", "25-29", "30-34", "35-39", "40-44", "45-49", "50-54", "55-59", "60-64", "65-69", "70-74", "75-79", "80-84", "85+")</f>
        <v>50-54</v>
      </c>
      <c r="D6863" t="s">
        <v>7</v>
      </c>
    </row>
    <row r="6864" spans="1:4">
      <c r="A6864" t="s">
        <v>6</v>
      </c>
      <c r="B6864">
        <v>57</v>
      </c>
      <c r="C6864" t="str">
        <f>CHOOSE(MATCH(B6864, {20,25,30,35,40,45,50,55,60,65,70,75,80,85}, 1), "20-24", "25-29", "30-34", "35-39", "40-44", "45-49", "50-54", "55-59", "60-64", "65-69", "70-74", "75-79", "80-84", "85+")</f>
        <v>55-59</v>
      </c>
      <c r="D6864" t="s">
        <v>8</v>
      </c>
    </row>
    <row r="6865" spans="1:4">
      <c r="A6865" t="s">
        <v>6</v>
      </c>
      <c r="B6865">
        <v>47</v>
      </c>
      <c r="C6865" t="str">
        <f>CHOOSE(MATCH(B6865, {20,25,30,35,40,45,50,55,60,65,70,75,80,85}, 1), "20-24", "25-29", "30-34", "35-39", "40-44", "45-49", "50-54", "55-59", "60-64", "65-69", "70-74", "75-79", "80-84", "85+")</f>
        <v>45-49</v>
      </c>
      <c r="D6865" t="s">
        <v>8</v>
      </c>
    </row>
    <row r="6866" spans="1:4">
      <c r="A6866" t="s">
        <v>6</v>
      </c>
      <c r="B6866">
        <v>31</v>
      </c>
      <c r="C6866" t="str">
        <f>CHOOSE(MATCH(B6866, {20,25,30,35,40,45,50,55,60,65,70,75,80,85}, 1), "20-24", "25-29", "30-34", "35-39", "40-44", "45-49", "50-54", "55-59", "60-64", "65-69", "70-74", "75-79", "80-84", "85+")</f>
        <v>30-34</v>
      </c>
      <c r="D6866" t="s">
        <v>8</v>
      </c>
    </row>
    <row r="6867" spans="1:4">
      <c r="A6867" t="s">
        <v>6</v>
      </c>
      <c r="B6867">
        <v>81</v>
      </c>
      <c r="C6867" t="str">
        <f>CHOOSE(MATCH(B6867, {20,25,30,35,40,45,50,55,60,65,70,75,80,85}, 1), "20-24", "25-29", "30-34", "35-39", "40-44", "45-49", "50-54", "55-59", "60-64", "65-69", "70-74", "75-79", "80-84", "85+")</f>
        <v>80-84</v>
      </c>
      <c r="D6867" t="s">
        <v>7</v>
      </c>
    </row>
    <row r="6868" spans="1:4">
      <c r="A6868" t="s">
        <v>6</v>
      </c>
      <c r="B6868">
        <v>54</v>
      </c>
      <c r="C6868" t="str">
        <f>CHOOSE(MATCH(B6868, {20,25,30,35,40,45,50,55,60,65,70,75,80,85}, 1), "20-24", "25-29", "30-34", "35-39", "40-44", "45-49", "50-54", "55-59", "60-64", "65-69", "70-74", "75-79", "80-84", "85+")</f>
        <v>50-54</v>
      </c>
      <c r="D6868" t="s">
        <v>7</v>
      </c>
    </row>
    <row r="6869" spans="1:4">
      <c r="A6869" t="s">
        <v>6</v>
      </c>
      <c r="B6869">
        <v>32</v>
      </c>
      <c r="C6869" t="str">
        <f>CHOOSE(MATCH(B6869, {20,25,30,35,40,45,50,55,60,65,70,75,80,85}, 1), "20-24", "25-29", "30-34", "35-39", "40-44", "45-49", "50-54", "55-59", "60-64", "65-69", "70-74", "75-79", "80-84", "85+")</f>
        <v>30-34</v>
      </c>
      <c r="D6869" t="s">
        <v>7</v>
      </c>
    </row>
    <row r="6870" spans="1:4">
      <c r="A6870" t="s">
        <v>6</v>
      </c>
      <c r="B6870">
        <v>29</v>
      </c>
      <c r="C6870" t="str">
        <f>CHOOSE(MATCH(B6870, {20,25,30,35,40,45,50,55,60,65,70,75,80,85}, 1), "20-24", "25-29", "30-34", "35-39", "40-44", "45-49", "50-54", "55-59", "60-64", "65-69", "70-74", "75-79", "80-84", "85+")</f>
        <v>25-29</v>
      </c>
      <c r="D6870" t="s">
        <v>7</v>
      </c>
    </row>
    <row r="6871" spans="1:4">
      <c r="A6871" t="s">
        <v>6</v>
      </c>
      <c r="B6871">
        <v>37</v>
      </c>
      <c r="C6871" t="str">
        <f>CHOOSE(MATCH(B6871, {20,25,30,35,40,45,50,55,60,65,70,75,80,85}, 1), "20-24", "25-29", "30-34", "35-39", "40-44", "45-49", "50-54", "55-59", "60-64", "65-69", "70-74", "75-79", "80-84", "85+")</f>
        <v>35-39</v>
      </c>
      <c r="D6871" t="s">
        <v>7</v>
      </c>
    </row>
    <row r="6872" spans="1:4">
      <c r="A6872" t="s">
        <v>6</v>
      </c>
      <c r="B6872">
        <v>66</v>
      </c>
      <c r="C6872" t="str">
        <f>CHOOSE(MATCH(B6872, {20,25,30,35,40,45,50,55,60,65,70,75,80,85}, 1), "20-24", "25-29", "30-34", "35-39", "40-44", "45-49", "50-54", "55-59", "60-64", "65-69", "70-74", "75-79", "80-84", "85+")</f>
        <v>65-69</v>
      </c>
      <c r="D6872" t="s">
        <v>8</v>
      </c>
    </row>
    <row r="6873" spans="1:4">
      <c r="A6873" t="s">
        <v>6</v>
      </c>
      <c r="B6873">
        <v>45</v>
      </c>
      <c r="C6873" t="str">
        <f>CHOOSE(MATCH(B6873, {20,25,30,35,40,45,50,55,60,65,70,75,80,85}, 1), "20-24", "25-29", "30-34", "35-39", "40-44", "45-49", "50-54", "55-59", "60-64", "65-69", "70-74", "75-79", "80-84", "85+")</f>
        <v>45-49</v>
      </c>
      <c r="D6873" t="s">
        <v>8</v>
      </c>
    </row>
    <row r="6874" spans="1:4">
      <c r="A6874" t="s">
        <v>6</v>
      </c>
      <c r="B6874">
        <v>34</v>
      </c>
      <c r="C6874" t="str">
        <f>CHOOSE(MATCH(B6874, {20,25,30,35,40,45,50,55,60,65,70,75,80,85}, 1), "20-24", "25-29", "30-34", "35-39", "40-44", "45-49", "50-54", "55-59", "60-64", "65-69", "70-74", "75-79", "80-84", "85+")</f>
        <v>30-34</v>
      </c>
      <c r="D6874" t="s">
        <v>7</v>
      </c>
    </row>
    <row r="6875" spans="1:4">
      <c r="A6875" t="s">
        <v>6</v>
      </c>
      <c r="B6875">
        <v>48</v>
      </c>
      <c r="C6875" t="str">
        <f>CHOOSE(MATCH(B6875, {20,25,30,35,40,45,50,55,60,65,70,75,80,85}, 1), "20-24", "25-29", "30-34", "35-39", "40-44", "45-49", "50-54", "55-59", "60-64", "65-69", "70-74", "75-79", "80-84", "85+")</f>
        <v>45-49</v>
      </c>
      <c r="D6875" t="s">
        <v>8</v>
      </c>
    </row>
    <row r="6876" spans="1:4">
      <c r="A6876" t="s">
        <v>6</v>
      </c>
      <c r="B6876">
        <v>26</v>
      </c>
      <c r="C6876" t="str">
        <f>CHOOSE(MATCH(B6876, {20,25,30,35,40,45,50,55,60,65,70,75,80,85}, 1), "20-24", "25-29", "30-34", "35-39", "40-44", "45-49", "50-54", "55-59", "60-64", "65-69", "70-74", "75-79", "80-84", "85+")</f>
        <v>25-29</v>
      </c>
      <c r="D6876" t="s">
        <v>7</v>
      </c>
    </row>
    <row r="6877" spans="1:4">
      <c r="A6877" t="s">
        <v>6</v>
      </c>
      <c r="B6877">
        <v>33</v>
      </c>
      <c r="C6877" t="str">
        <f>CHOOSE(MATCH(B6877, {20,25,30,35,40,45,50,55,60,65,70,75,80,85}, 1), "20-24", "25-29", "30-34", "35-39", "40-44", "45-49", "50-54", "55-59", "60-64", "65-69", "70-74", "75-79", "80-84", "85+")</f>
        <v>30-34</v>
      </c>
      <c r="D6877" t="s">
        <v>7</v>
      </c>
    </row>
    <row r="6878" spans="1:4">
      <c r="A6878" t="s">
        <v>6</v>
      </c>
      <c r="B6878">
        <v>66</v>
      </c>
      <c r="C6878" t="str">
        <f>CHOOSE(MATCH(B6878, {20,25,30,35,40,45,50,55,60,65,70,75,80,85}, 1), "20-24", "25-29", "30-34", "35-39", "40-44", "45-49", "50-54", "55-59", "60-64", "65-69", "70-74", "75-79", "80-84", "85+")</f>
        <v>65-69</v>
      </c>
      <c r="D6878" t="s">
        <v>8</v>
      </c>
    </row>
    <row r="6879" spans="1:4">
      <c r="A6879" t="s">
        <v>6</v>
      </c>
      <c r="B6879">
        <v>44</v>
      </c>
      <c r="C6879" t="str">
        <f>CHOOSE(MATCH(B6879, {20,25,30,35,40,45,50,55,60,65,70,75,80,85}, 1), "20-24", "25-29", "30-34", "35-39", "40-44", "45-49", "50-54", "55-59", "60-64", "65-69", "70-74", "75-79", "80-84", "85+")</f>
        <v>40-44</v>
      </c>
      <c r="D6879" t="s">
        <v>8</v>
      </c>
    </row>
    <row r="6880" spans="1:4">
      <c r="A6880" t="s">
        <v>6</v>
      </c>
      <c r="B6880">
        <v>29</v>
      </c>
      <c r="C6880" t="str">
        <f>CHOOSE(MATCH(B6880, {20,25,30,35,40,45,50,55,60,65,70,75,80,85}, 1), "20-24", "25-29", "30-34", "35-39", "40-44", "45-49", "50-54", "55-59", "60-64", "65-69", "70-74", "75-79", "80-84", "85+")</f>
        <v>25-29</v>
      </c>
      <c r="D6880" t="s">
        <v>7</v>
      </c>
    </row>
    <row r="6881" spans="1:4">
      <c r="A6881" t="s">
        <v>6</v>
      </c>
      <c r="B6881">
        <v>47</v>
      </c>
      <c r="C6881" t="str">
        <f>CHOOSE(MATCH(B6881, {20,25,30,35,40,45,50,55,60,65,70,75,80,85}, 1), "20-24", "25-29", "30-34", "35-39", "40-44", "45-49", "50-54", "55-59", "60-64", "65-69", "70-74", "75-79", "80-84", "85+")</f>
        <v>45-49</v>
      </c>
      <c r="D6881" t="s">
        <v>7</v>
      </c>
    </row>
    <row r="6882" spans="1:4">
      <c r="A6882" t="s">
        <v>6</v>
      </c>
      <c r="B6882">
        <v>28</v>
      </c>
      <c r="C6882" t="str">
        <f>CHOOSE(MATCH(B6882, {20,25,30,35,40,45,50,55,60,65,70,75,80,85}, 1), "20-24", "25-29", "30-34", "35-39", "40-44", "45-49", "50-54", "55-59", "60-64", "65-69", "70-74", "75-79", "80-84", "85+")</f>
        <v>25-29</v>
      </c>
      <c r="D6882" t="s">
        <v>7</v>
      </c>
    </row>
    <row r="6883" spans="1:4">
      <c r="A6883" t="s">
        <v>6</v>
      </c>
      <c r="B6883">
        <v>48</v>
      </c>
      <c r="C6883" t="str">
        <f>CHOOSE(MATCH(B6883, {20,25,30,35,40,45,50,55,60,65,70,75,80,85}, 1), "20-24", "25-29", "30-34", "35-39", "40-44", "45-49", "50-54", "55-59", "60-64", "65-69", "70-74", "75-79", "80-84", "85+")</f>
        <v>45-49</v>
      </c>
      <c r="D6883" t="s">
        <v>8</v>
      </c>
    </row>
    <row r="6884" spans="1:4">
      <c r="A6884" t="s">
        <v>6</v>
      </c>
      <c r="B6884">
        <v>58</v>
      </c>
      <c r="C6884" t="str">
        <f>CHOOSE(MATCH(B6884, {20,25,30,35,40,45,50,55,60,65,70,75,80,85}, 1), "20-24", "25-29", "30-34", "35-39", "40-44", "45-49", "50-54", "55-59", "60-64", "65-69", "70-74", "75-79", "80-84", "85+")</f>
        <v>55-59</v>
      </c>
      <c r="D6884" t="s">
        <v>7</v>
      </c>
    </row>
    <row r="6885" spans="1:4">
      <c r="A6885" t="s">
        <v>6</v>
      </c>
      <c r="B6885">
        <v>34</v>
      </c>
      <c r="C6885" t="str">
        <f>CHOOSE(MATCH(B6885, {20,25,30,35,40,45,50,55,60,65,70,75,80,85}, 1), "20-24", "25-29", "30-34", "35-39", "40-44", "45-49", "50-54", "55-59", "60-64", "65-69", "70-74", "75-79", "80-84", "85+")</f>
        <v>30-34</v>
      </c>
      <c r="D6885" t="s">
        <v>7</v>
      </c>
    </row>
    <row r="6886" spans="1:4">
      <c r="A6886" t="s">
        <v>6</v>
      </c>
      <c r="B6886">
        <v>43</v>
      </c>
      <c r="C6886" t="str">
        <f>CHOOSE(MATCH(B6886, {20,25,30,35,40,45,50,55,60,65,70,75,80,85}, 1), "20-24", "25-29", "30-34", "35-39", "40-44", "45-49", "50-54", "55-59", "60-64", "65-69", "70-74", "75-79", "80-84", "85+")</f>
        <v>40-44</v>
      </c>
      <c r="D6886" t="s">
        <v>7</v>
      </c>
    </row>
    <row r="6887" spans="1:4">
      <c r="A6887" t="s">
        <v>6</v>
      </c>
      <c r="B6887">
        <v>68</v>
      </c>
      <c r="C6887" t="str">
        <f>CHOOSE(MATCH(B6887, {20,25,30,35,40,45,50,55,60,65,70,75,80,85}, 1), "20-24", "25-29", "30-34", "35-39", "40-44", "45-49", "50-54", "55-59", "60-64", "65-69", "70-74", "75-79", "80-84", "85+")</f>
        <v>65-69</v>
      </c>
      <c r="D6887" t="s">
        <v>8</v>
      </c>
    </row>
    <row r="6888" spans="1:4">
      <c r="A6888" t="s">
        <v>6</v>
      </c>
      <c r="B6888">
        <v>43</v>
      </c>
      <c r="C6888" t="str">
        <f>CHOOSE(MATCH(B6888, {20,25,30,35,40,45,50,55,60,65,70,75,80,85}, 1), "20-24", "25-29", "30-34", "35-39", "40-44", "45-49", "50-54", "55-59", "60-64", "65-69", "70-74", "75-79", "80-84", "85+")</f>
        <v>40-44</v>
      </c>
      <c r="D6888" t="s">
        <v>7</v>
      </c>
    </row>
    <row r="6889" spans="1:4">
      <c r="A6889" t="s">
        <v>6</v>
      </c>
      <c r="B6889">
        <v>56</v>
      </c>
      <c r="C6889" t="str">
        <f>CHOOSE(MATCH(B6889, {20,25,30,35,40,45,50,55,60,65,70,75,80,85}, 1), "20-24", "25-29", "30-34", "35-39", "40-44", "45-49", "50-54", "55-59", "60-64", "65-69", "70-74", "75-79", "80-84", "85+")</f>
        <v>55-59</v>
      </c>
      <c r="D6889" t="s">
        <v>7</v>
      </c>
    </row>
    <row r="6890" spans="1:4">
      <c r="A6890" t="s">
        <v>6</v>
      </c>
      <c r="B6890">
        <v>49</v>
      </c>
      <c r="C6890" t="str">
        <f>CHOOSE(MATCH(B6890, {20,25,30,35,40,45,50,55,60,65,70,75,80,85}, 1), "20-24", "25-29", "30-34", "35-39", "40-44", "45-49", "50-54", "55-59", "60-64", "65-69", "70-74", "75-79", "80-84", "85+")</f>
        <v>45-49</v>
      </c>
      <c r="D6890" t="s">
        <v>8</v>
      </c>
    </row>
    <row r="6891" spans="1:4">
      <c r="A6891" t="s">
        <v>6</v>
      </c>
      <c r="B6891">
        <v>38</v>
      </c>
      <c r="C6891" t="str">
        <f>CHOOSE(MATCH(B6891, {20,25,30,35,40,45,50,55,60,65,70,75,80,85}, 1), "20-24", "25-29", "30-34", "35-39", "40-44", "45-49", "50-54", "55-59", "60-64", "65-69", "70-74", "75-79", "80-84", "85+")</f>
        <v>35-39</v>
      </c>
      <c r="D6891" t="s">
        <v>7</v>
      </c>
    </row>
    <row r="6892" spans="1:4">
      <c r="A6892" t="s">
        <v>6</v>
      </c>
      <c r="B6892">
        <v>40</v>
      </c>
      <c r="C6892" t="str">
        <f>CHOOSE(MATCH(B6892, {20,25,30,35,40,45,50,55,60,65,70,75,80,85}, 1), "20-24", "25-29", "30-34", "35-39", "40-44", "45-49", "50-54", "55-59", "60-64", "65-69", "70-74", "75-79", "80-84", "85+")</f>
        <v>40-44</v>
      </c>
      <c r="D6892" t="s">
        <v>7</v>
      </c>
    </row>
    <row r="6893" spans="1:4">
      <c r="A6893" t="s">
        <v>6</v>
      </c>
      <c r="B6893">
        <v>42</v>
      </c>
      <c r="C6893" t="str">
        <f>CHOOSE(MATCH(B6893, {20,25,30,35,40,45,50,55,60,65,70,75,80,85}, 1), "20-24", "25-29", "30-34", "35-39", "40-44", "45-49", "50-54", "55-59", "60-64", "65-69", "70-74", "75-79", "80-84", "85+")</f>
        <v>40-44</v>
      </c>
      <c r="D6893" t="s">
        <v>8</v>
      </c>
    </row>
    <row r="6894" spans="1:4">
      <c r="A6894" t="s">
        <v>6</v>
      </c>
      <c r="B6894">
        <v>75</v>
      </c>
      <c r="C6894" t="str">
        <f>CHOOSE(MATCH(B6894, {20,25,30,35,40,45,50,55,60,65,70,75,80,85}, 1), "20-24", "25-29", "30-34", "35-39", "40-44", "45-49", "50-54", "55-59", "60-64", "65-69", "70-74", "75-79", "80-84", "85+")</f>
        <v>75-79</v>
      </c>
      <c r="D6894" t="s">
        <v>7</v>
      </c>
    </row>
    <row r="6895" spans="1:4">
      <c r="A6895" t="s">
        <v>6</v>
      </c>
      <c r="B6895">
        <v>24</v>
      </c>
      <c r="C6895" t="str">
        <f>CHOOSE(MATCH(B6895, {20,25,30,35,40,45,50,55,60,65,70,75,80,85}, 1), "20-24", "25-29", "30-34", "35-39", "40-44", "45-49", "50-54", "55-59", "60-64", "65-69", "70-74", "75-79", "80-84", "85+")</f>
        <v>20-24</v>
      </c>
      <c r="D6895" t="s">
        <v>8</v>
      </c>
    </row>
    <row r="6896" spans="1:4">
      <c r="A6896" t="s">
        <v>6</v>
      </c>
      <c r="B6896">
        <v>53</v>
      </c>
      <c r="C6896" t="str">
        <f>CHOOSE(MATCH(B6896, {20,25,30,35,40,45,50,55,60,65,70,75,80,85}, 1), "20-24", "25-29", "30-34", "35-39", "40-44", "45-49", "50-54", "55-59", "60-64", "65-69", "70-74", "75-79", "80-84", "85+")</f>
        <v>50-54</v>
      </c>
      <c r="D6896" t="s">
        <v>7</v>
      </c>
    </row>
    <row r="6897" spans="1:4">
      <c r="A6897" t="s">
        <v>6</v>
      </c>
      <c r="B6897">
        <v>31</v>
      </c>
      <c r="C6897" t="str">
        <f>CHOOSE(MATCH(B6897, {20,25,30,35,40,45,50,55,60,65,70,75,80,85}, 1), "20-24", "25-29", "30-34", "35-39", "40-44", "45-49", "50-54", "55-59", "60-64", "65-69", "70-74", "75-79", "80-84", "85+")</f>
        <v>30-34</v>
      </c>
      <c r="D6897" t="s">
        <v>7</v>
      </c>
    </row>
    <row r="6898" spans="1:4">
      <c r="A6898" t="s">
        <v>6</v>
      </c>
      <c r="B6898">
        <v>36</v>
      </c>
      <c r="C6898" t="str">
        <f>CHOOSE(MATCH(B6898, {20,25,30,35,40,45,50,55,60,65,70,75,80,85}, 1), "20-24", "25-29", "30-34", "35-39", "40-44", "45-49", "50-54", "55-59", "60-64", "65-69", "70-74", "75-79", "80-84", "85+")</f>
        <v>35-39</v>
      </c>
      <c r="D6898" t="s">
        <v>7</v>
      </c>
    </row>
    <row r="6899" spans="1:4">
      <c r="A6899" t="s">
        <v>6</v>
      </c>
      <c r="B6899">
        <v>53</v>
      </c>
      <c r="C6899" t="str">
        <f>CHOOSE(MATCH(B6899, {20,25,30,35,40,45,50,55,60,65,70,75,80,85}, 1), "20-24", "25-29", "30-34", "35-39", "40-44", "45-49", "50-54", "55-59", "60-64", "65-69", "70-74", "75-79", "80-84", "85+")</f>
        <v>50-54</v>
      </c>
      <c r="D6899" t="s">
        <v>7</v>
      </c>
    </row>
    <row r="6900" spans="1:4">
      <c r="A6900" t="s">
        <v>6</v>
      </c>
      <c r="B6900">
        <v>31</v>
      </c>
      <c r="C6900" t="str">
        <f>CHOOSE(MATCH(B6900, {20,25,30,35,40,45,50,55,60,65,70,75,80,85}, 1), "20-24", "25-29", "30-34", "35-39", "40-44", "45-49", "50-54", "55-59", "60-64", "65-69", "70-74", "75-79", "80-84", "85+")</f>
        <v>30-34</v>
      </c>
      <c r="D6900" t="s">
        <v>7</v>
      </c>
    </row>
    <row r="6901" spans="1:4">
      <c r="A6901" t="s">
        <v>6</v>
      </c>
      <c r="B6901">
        <v>24</v>
      </c>
      <c r="C6901" t="str">
        <f>CHOOSE(MATCH(B6901, {20,25,30,35,40,45,50,55,60,65,70,75,80,85}, 1), "20-24", "25-29", "30-34", "35-39", "40-44", "45-49", "50-54", "55-59", "60-64", "65-69", "70-74", "75-79", "80-84", "85+")</f>
        <v>20-24</v>
      </c>
      <c r="D6901" t="s">
        <v>7</v>
      </c>
    </row>
    <row r="6902" spans="1:4">
      <c r="A6902" t="s">
        <v>6</v>
      </c>
      <c r="B6902">
        <v>43</v>
      </c>
      <c r="C6902" t="str">
        <f>CHOOSE(MATCH(B6902, {20,25,30,35,40,45,50,55,60,65,70,75,80,85}, 1), "20-24", "25-29", "30-34", "35-39", "40-44", "45-49", "50-54", "55-59", "60-64", "65-69", "70-74", "75-79", "80-84", "85+")</f>
        <v>40-44</v>
      </c>
      <c r="D6902" t="s">
        <v>7</v>
      </c>
    </row>
    <row r="6903" spans="1:4">
      <c r="A6903" t="s">
        <v>6</v>
      </c>
      <c r="B6903">
        <v>41</v>
      </c>
      <c r="C6903" t="str">
        <f>CHOOSE(MATCH(B6903, {20,25,30,35,40,45,50,55,60,65,70,75,80,85}, 1), "20-24", "25-29", "30-34", "35-39", "40-44", "45-49", "50-54", "55-59", "60-64", "65-69", "70-74", "75-79", "80-84", "85+")</f>
        <v>40-44</v>
      </c>
      <c r="D6903" t="s">
        <v>8</v>
      </c>
    </row>
    <row r="6904" spans="1:4">
      <c r="A6904" t="s">
        <v>6</v>
      </c>
      <c r="B6904">
        <v>25</v>
      </c>
      <c r="C6904" t="str">
        <f>CHOOSE(MATCH(B6904, {20,25,30,35,40,45,50,55,60,65,70,75,80,85}, 1), "20-24", "25-29", "30-34", "35-39", "40-44", "45-49", "50-54", "55-59", "60-64", "65-69", "70-74", "75-79", "80-84", "85+")</f>
        <v>25-29</v>
      </c>
      <c r="D6904" t="s">
        <v>7</v>
      </c>
    </row>
    <row r="6905" spans="1:4">
      <c r="A6905" t="s">
        <v>6</v>
      </c>
      <c r="B6905">
        <v>49</v>
      </c>
      <c r="C6905" t="str">
        <f>CHOOSE(MATCH(B6905, {20,25,30,35,40,45,50,55,60,65,70,75,80,85}, 1), "20-24", "25-29", "30-34", "35-39", "40-44", "45-49", "50-54", "55-59", "60-64", "65-69", "70-74", "75-79", "80-84", "85+")</f>
        <v>45-49</v>
      </c>
      <c r="D6905" t="s">
        <v>7</v>
      </c>
    </row>
    <row r="6906" spans="1:4">
      <c r="A6906" t="s">
        <v>6</v>
      </c>
      <c r="B6906">
        <v>30</v>
      </c>
      <c r="C6906" t="str">
        <f>CHOOSE(MATCH(B6906, {20,25,30,35,40,45,50,55,60,65,70,75,80,85}, 1), "20-24", "25-29", "30-34", "35-39", "40-44", "45-49", "50-54", "55-59", "60-64", "65-69", "70-74", "75-79", "80-84", "85+")</f>
        <v>30-34</v>
      </c>
      <c r="D6906" t="s">
        <v>7</v>
      </c>
    </row>
    <row r="6907" spans="1:4">
      <c r="A6907" t="s">
        <v>6</v>
      </c>
      <c r="B6907">
        <v>71</v>
      </c>
      <c r="C6907" t="str">
        <f>CHOOSE(MATCH(B6907, {20,25,30,35,40,45,50,55,60,65,70,75,80,85}, 1), "20-24", "25-29", "30-34", "35-39", "40-44", "45-49", "50-54", "55-59", "60-64", "65-69", "70-74", "75-79", "80-84", "85+")</f>
        <v>70-74</v>
      </c>
      <c r="D6907" t="s">
        <v>8</v>
      </c>
    </row>
    <row r="6908" spans="1:4">
      <c r="A6908" t="s">
        <v>6</v>
      </c>
      <c r="B6908">
        <v>48</v>
      </c>
      <c r="C6908" t="str">
        <f>CHOOSE(MATCH(B6908, {20,25,30,35,40,45,50,55,60,65,70,75,80,85}, 1), "20-24", "25-29", "30-34", "35-39", "40-44", "45-49", "50-54", "55-59", "60-64", "65-69", "70-74", "75-79", "80-84", "85+")</f>
        <v>45-49</v>
      </c>
      <c r="D6908" t="s">
        <v>8</v>
      </c>
    </row>
    <row r="6909" spans="1:4">
      <c r="A6909" t="s">
        <v>6</v>
      </c>
      <c r="B6909">
        <v>33</v>
      </c>
      <c r="C6909" t="str">
        <f>CHOOSE(MATCH(B6909, {20,25,30,35,40,45,50,55,60,65,70,75,80,85}, 1), "20-24", "25-29", "30-34", "35-39", "40-44", "45-49", "50-54", "55-59", "60-64", "65-69", "70-74", "75-79", "80-84", "85+")</f>
        <v>30-34</v>
      </c>
      <c r="D6909" t="s">
        <v>7</v>
      </c>
    </row>
    <row r="6910" spans="1:4">
      <c r="A6910" t="s">
        <v>6</v>
      </c>
      <c r="B6910">
        <v>38</v>
      </c>
      <c r="C6910" t="str">
        <f>CHOOSE(MATCH(B6910, {20,25,30,35,40,45,50,55,60,65,70,75,80,85}, 1), "20-24", "25-29", "30-34", "35-39", "40-44", "45-49", "50-54", "55-59", "60-64", "65-69", "70-74", "75-79", "80-84", "85+")</f>
        <v>35-39</v>
      </c>
      <c r="D6910" t="s">
        <v>7</v>
      </c>
    </row>
    <row r="6911" spans="1:4">
      <c r="A6911" t="s">
        <v>6</v>
      </c>
      <c r="B6911">
        <v>37</v>
      </c>
      <c r="C6911" t="str">
        <f>CHOOSE(MATCH(B6911, {20,25,30,35,40,45,50,55,60,65,70,75,80,85}, 1), "20-24", "25-29", "30-34", "35-39", "40-44", "45-49", "50-54", "55-59", "60-64", "65-69", "70-74", "75-79", "80-84", "85+")</f>
        <v>35-39</v>
      </c>
      <c r="D6911" t="s">
        <v>7</v>
      </c>
    </row>
    <row r="6912" spans="1:4">
      <c r="A6912" t="s">
        <v>6</v>
      </c>
      <c r="B6912">
        <v>58</v>
      </c>
      <c r="C6912" t="str">
        <f>CHOOSE(MATCH(B6912, {20,25,30,35,40,45,50,55,60,65,70,75,80,85}, 1), "20-24", "25-29", "30-34", "35-39", "40-44", "45-49", "50-54", "55-59", "60-64", "65-69", "70-74", "75-79", "80-84", "85+")</f>
        <v>55-59</v>
      </c>
      <c r="D6912" t="s">
        <v>7</v>
      </c>
    </row>
    <row r="6913" spans="1:4">
      <c r="A6913" t="s">
        <v>6</v>
      </c>
      <c r="B6913">
        <v>35</v>
      </c>
      <c r="C6913" t="str">
        <f>CHOOSE(MATCH(B6913, {20,25,30,35,40,45,50,55,60,65,70,75,80,85}, 1), "20-24", "25-29", "30-34", "35-39", "40-44", "45-49", "50-54", "55-59", "60-64", "65-69", "70-74", "75-79", "80-84", "85+")</f>
        <v>35-39</v>
      </c>
      <c r="D6913" t="s">
        <v>7</v>
      </c>
    </row>
    <row r="6914" spans="1:4">
      <c r="A6914" t="s">
        <v>6</v>
      </c>
      <c r="B6914">
        <v>54</v>
      </c>
      <c r="C6914" t="str">
        <f>CHOOSE(MATCH(B6914, {20,25,30,35,40,45,50,55,60,65,70,75,80,85}, 1), "20-24", "25-29", "30-34", "35-39", "40-44", "45-49", "50-54", "55-59", "60-64", "65-69", "70-74", "75-79", "80-84", "85+")</f>
        <v>50-54</v>
      </c>
      <c r="D6914" t="s">
        <v>7</v>
      </c>
    </row>
    <row r="6915" spans="1:4">
      <c r="A6915" t="s">
        <v>6</v>
      </c>
      <c r="B6915">
        <v>26</v>
      </c>
      <c r="C6915" t="str">
        <f>CHOOSE(MATCH(B6915, {20,25,30,35,40,45,50,55,60,65,70,75,80,85}, 1), "20-24", "25-29", "30-34", "35-39", "40-44", "45-49", "50-54", "55-59", "60-64", "65-69", "70-74", "75-79", "80-84", "85+")</f>
        <v>25-29</v>
      </c>
      <c r="D6915" t="s">
        <v>7</v>
      </c>
    </row>
    <row r="6916" spans="1:4">
      <c r="A6916" t="s">
        <v>6</v>
      </c>
      <c r="B6916">
        <v>33</v>
      </c>
      <c r="C6916" t="str">
        <f>CHOOSE(MATCH(B6916, {20,25,30,35,40,45,50,55,60,65,70,75,80,85}, 1), "20-24", "25-29", "30-34", "35-39", "40-44", "45-49", "50-54", "55-59", "60-64", "65-69", "70-74", "75-79", "80-84", "85+")</f>
        <v>30-34</v>
      </c>
      <c r="D6916" t="s">
        <v>8</v>
      </c>
    </row>
    <row r="6917" spans="1:4">
      <c r="A6917" t="s">
        <v>6</v>
      </c>
      <c r="B6917">
        <v>23</v>
      </c>
      <c r="C6917" t="str">
        <f>CHOOSE(MATCH(B6917, {20,25,30,35,40,45,50,55,60,65,70,75,80,85}, 1), "20-24", "25-29", "30-34", "35-39", "40-44", "45-49", "50-54", "55-59", "60-64", "65-69", "70-74", "75-79", "80-84", "85+")</f>
        <v>20-24</v>
      </c>
      <c r="D6917" t="s">
        <v>7</v>
      </c>
    </row>
    <row r="6918" spans="1:4">
      <c r="A6918" t="s">
        <v>6</v>
      </c>
      <c r="B6918">
        <v>40</v>
      </c>
      <c r="C6918" t="str">
        <f>CHOOSE(MATCH(B6918, {20,25,30,35,40,45,50,55,60,65,70,75,80,85}, 1), "20-24", "25-29", "30-34", "35-39", "40-44", "45-49", "50-54", "55-59", "60-64", "65-69", "70-74", "75-79", "80-84", "85+")</f>
        <v>40-44</v>
      </c>
      <c r="D6918" t="s">
        <v>8</v>
      </c>
    </row>
    <row r="6919" spans="1:4">
      <c r="A6919" t="s">
        <v>6</v>
      </c>
      <c r="B6919">
        <v>33</v>
      </c>
      <c r="C6919" t="str">
        <f>CHOOSE(MATCH(B6919, {20,25,30,35,40,45,50,55,60,65,70,75,80,85}, 1), "20-24", "25-29", "30-34", "35-39", "40-44", "45-49", "50-54", "55-59", "60-64", "65-69", "70-74", "75-79", "80-84", "85+")</f>
        <v>30-34</v>
      </c>
      <c r="D6919" t="s">
        <v>8</v>
      </c>
    </row>
    <row r="6920" spans="1:4">
      <c r="A6920" t="s">
        <v>6</v>
      </c>
      <c r="B6920">
        <v>85</v>
      </c>
      <c r="C6920" t="str">
        <f>CHOOSE(MATCH(B6920, {20,25,30,35,40,45,50,55,60,65,70,75,80,85}, 1), "20-24", "25-29", "30-34", "35-39", "40-44", "45-49", "50-54", "55-59", "60-64", "65-69", "70-74", "75-79", "80-84", "85+")</f>
        <v>85+</v>
      </c>
      <c r="D6920" t="s">
        <v>7</v>
      </c>
    </row>
    <row r="6921" spans="1:4">
      <c r="A6921" t="s">
        <v>6</v>
      </c>
      <c r="B6921">
        <v>64</v>
      </c>
      <c r="C6921" t="str">
        <f>CHOOSE(MATCH(B6921, {20,25,30,35,40,45,50,55,60,65,70,75,80,85}, 1), "20-24", "25-29", "30-34", "35-39", "40-44", "45-49", "50-54", "55-59", "60-64", "65-69", "70-74", "75-79", "80-84", "85+")</f>
        <v>60-64</v>
      </c>
      <c r="D6921" t="s">
        <v>8</v>
      </c>
    </row>
    <row r="6922" spans="1:4">
      <c r="A6922" t="s">
        <v>6</v>
      </c>
      <c r="B6922">
        <v>32</v>
      </c>
      <c r="C6922" t="str">
        <f>CHOOSE(MATCH(B6922, {20,25,30,35,40,45,50,55,60,65,70,75,80,85}, 1), "20-24", "25-29", "30-34", "35-39", "40-44", "45-49", "50-54", "55-59", "60-64", "65-69", "70-74", "75-79", "80-84", "85+")</f>
        <v>30-34</v>
      </c>
      <c r="D6922" t="s">
        <v>7</v>
      </c>
    </row>
    <row r="6923" spans="1:4">
      <c r="A6923" t="s">
        <v>6</v>
      </c>
      <c r="B6923">
        <v>43</v>
      </c>
      <c r="C6923" t="str">
        <f>CHOOSE(MATCH(B6923, {20,25,30,35,40,45,50,55,60,65,70,75,80,85}, 1), "20-24", "25-29", "30-34", "35-39", "40-44", "45-49", "50-54", "55-59", "60-64", "65-69", "70-74", "75-79", "80-84", "85+")</f>
        <v>40-44</v>
      </c>
      <c r="D6923" t="s">
        <v>7</v>
      </c>
    </row>
    <row r="6924" spans="1:4">
      <c r="A6924" t="s">
        <v>6</v>
      </c>
      <c r="B6924">
        <v>38</v>
      </c>
      <c r="C6924" t="str">
        <f>CHOOSE(MATCH(B6924, {20,25,30,35,40,45,50,55,60,65,70,75,80,85}, 1), "20-24", "25-29", "30-34", "35-39", "40-44", "45-49", "50-54", "55-59", "60-64", "65-69", "70-74", "75-79", "80-84", "85+")</f>
        <v>35-39</v>
      </c>
      <c r="D6924" t="s">
        <v>7</v>
      </c>
    </row>
    <row r="6925" spans="1:4">
      <c r="A6925" t="s">
        <v>6</v>
      </c>
      <c r="B6925">
        <v>40</v>
      </c>
      <c r="C6925" t="str">
        <f>CHOOSE(MATCH(B6925, {20,25,30,35,40,45,50,55,60,65,70,75,80,85}, 1), "20-24", "25-29", "30-34", "35-39", "40-44", "45-49", "50-54", "55-59", "60-64", "65-69", "70-74", "75-79", "80-84", "85+")</f>
        <v>40-44</v>
      </c>
      <c r="D6925" t="s">
        <v>7</v>
      </c>
    </row>
    <row r="6926" spans="1:4">
      <c r="A6926" t="s">
        <v>6</v>
      </c>
      <c r="B6926">
        <v>23</v>
      </c>
      <c r="C6926" t="str">
        <f>CHOOSE(MATCH(B6926, {20,25,30,35,40,45,50,55,60,65,70,75,80,85}, 1), "20-24", "25-29", "30-34", "35-39", "40-44", "45-49", "50-54", "55-59", "60-64", "65-69", "70-74", "75-79", "80-84", "85+")</f>
        <v>20-24</v>
      </c>
      <c r="D6926" t="s">
        <v>8</v>
      </c>
    </row>
    <row r="6927" spans="1:4">
      <c r="A6927" t="s">
        <v>6</v>
      </c>
      <c r="B6927">
        <v>42</v>
      </c>
      <c r="C6927" t="str">
        <f>CHOOSE(MATCH(B6927, {20,25,30,35,40,45,50,55,60,65,70,75,80,85}, 1), "20-24", "25-29", "30-34", "35-39", "40-44", "45-49", "50-54", "55-59", "60-64", "65-69", "70-74", "75-79", "80-84", "85+")</f>
        <v>40-44</v>
      </c>
      <c r="D6927" t="s">
        <v>7</v>
      </c>
    </row>
    <row r="6928" spans="1:4">
      <c r="A6928" t="s">
        <v>6</v>
      </c>
      <c r="B6928">
        <v>62</v>
      </c>
      <c r="C6928" t="str">
        <f>CHOOSE(MATCH(B6928, {20,25,30,35,40,45,50,55,60,65,70,75,80,85}, 1), "20-24", "25-29", "30-34", "35-39", "40-44", "45-49", "50-54", "55-59", "60-64", "65-69", "70-74", "75-79", "80-84", "85+")</f>
        <v>60-64</v>
      </c>
      <c r="D6928" t="s">
        <v>7</v>
      </c>
    </row>
    <row r="6929" spans="1:4">
      <c r="A6929" t="s">
        <v>6</v>
      </c>
      <c r="B6929">
        <v>21</v>
      </c>
      <c r="C6929" t="str">
        <f>CHOOSE(MATCH(B6929, {20,25,30,35,40,45,50,55,60,65,70,75,80,85}, 1), "20-24", "25-29", "30-34", "35-39", "40-44", "45-49", "50-54", "55-59", "60-64", "65-69", "70-74", "75-79", "80-84", "85+")</f>
        <v>20-24</v>
      </c>
      <c r="D6929" t="s">
        <v>7</v>
      </c>
    </row>
    <row r="6930" spans="1:4">
      <c r="A6930" t="s">
        <v>6</v>
      </c>
      <c r="B6930">
        <v>24</v>
      </c>
      <c r="C6930" t="str">
        <f>CHOOSE(MATCH(B6930, {20,25,30,35,40,45,50,55,60,65,70,75,80,85}, 1), "20-24", "25-29", "30-34", "35-39", "40-44", "45-49", "50-54", "55-59", "60-64", "65-69", "70-74", "75-79", "80-84", "85+")</f>
        <v>20-24</v>
      </c>
      <c r="D6930" t="s">
        <v>7</v>
      </c>
    </row>
    <row r="6931" spans="1:4">
      <c r="A6931" t="s">
        <v>6</v>
      </c>
      <c r="B6931">
        <v>49</v>
      </c>
      <c r="C6931" t="str">
        <f>CHOOSE(MATCH(B6931, {20,25,30,35,40,45,50,55,60,65,70,75,80,85}, 1), "20-24", "25-29", "30-34", "35-39", "40-44", "45-49", "50-54", "55-59", "60-64", "65-69", "70-74", "75-79", "80-84", "85+")</f>
        <v>45-49</v>
      </c>
      <c r="D6931" t="s">
        <v>8</v>
      </c>
    </row>
    <row r="6932" spans="1:4">
      <c r="A6932" t="s">
        <v>6</v>
      </c>
      <c r="B6932">
        <v>30</v>
      </c>
      <c r="C6932" t="str">
        <f>CHOOSE(MATCH(B6932, {20,25,30,35,40,45,50,55,60,65,70,75,80,85}, 1), "20-24", "25-29", "30-34", "35-39", "40-44", "45-49", "50-54", "55-59", "60-64", "65-69", "70-74", "75-79", "80-84", "85+")</f>
        <v>30-34</v>
      </c>
      <c r="D6932" t="s">
        <v>8</v>
      </c>
    </row>
    <row r="6933" spans="1:4">
      <c r="A6933" t="s">
        <v>6</v>
      </c>
      <c r="B6933">
        <v>33</v>
      </c>
      <c r="C6933" t="str">
        <f>CHOOSE(MATCH(B6933, {20,25,30,35,40,45,50,55,60,65,70,75,80,85}, 1), "20-24", "25-29", "30-34", "35-39", "40-44", "45-49", "50-54", "55-59", "60-64", "65-69", "70-74", "75-79", "80-84", "85+")</f>
        <v>30-34</v>
      </c>
      <c r="D6933" t="s">
        <v>7</v>
      </c>
    </row>
    <row r="6934" spans="1:4">
      <c r="A6934" t="s">
        <v>6</v>
      </c>
      <c r="B6934">
        <v>40</v>
      </c>
      <c r="C6934" t="str">
        <f>CHOOSE(MATCH(B6934, {20,25,30,35,40,45,50,55,60,65,70,75,80,85}, 1), "20-24", "25-29", "30-34", "35-39", "40-44", "45-49", "50-54", "55-59", "60-64", "65-69", "70-74", "75-79", "80-84", "85+")</f>
        <v>40-44</v>
      </c>
      <c r="D6934" t="s">
        <v>8</v>
      </c>
    </row>
    <row r="6935" spans="1:4">
      <c r="A6935" t="s">
        <v>6</v>
      </c>
      <c r="B6935">
        <v>42</v>
      </c>
      <c r="C6935" t="str">
        <f>CHOOSE(MATCH(B6935, {20,25,30,35,40,45,50,55,60,65,70,75,80,85}, 1), "20-24", "25-29", "30-34", "35-39", "40-44", "45-49", "50-54", "55-59", "60-64", "65-69", "70-74", "75-79", "80-84", "85+")</f>
        <v>40-44</v>
      </c>
      <c r="D6935" t="s">
        <v>7</v>
      </c>
    </row>
    <row r="6936" spans="1:4">
      <c r="A6936" t="s">
        <v>6</v>
      </c>
      <c r="B6936">
        <v>23</v>
      </c>
      <c r="C6936" t="str">
        <f>CHOOSE(MATCH(B6936, {20,25,30,35,40,45,50,55,60,65,70,75,80,85}, 1), "20-24", "25-29", "30-34", "35-39", "40-44", "45-49", "50-54", "55-59", "60-64", "65-69", "70-74", "75-79", "80-84", "85+")</f>
        <v>20-24</v>
      </c>
      <c r="D6936" t="s">
        <v>7</v>
      </c>
    </row>
    <row r="6937" spans="1:4">
      <c r="A6937" t="s">
        <v>6</v>
      </c>
      <c r="B6937">
        <v>83</v>
      </c>
      <c r="C6937" t="str">
        <f>CHOOSE(MATCH(B6937, {20,25,30,35,40,45,50,55,60,65,70,75,80,85}, 1), "20-24", "25-29", "30-34", "35-39", "40-44", "45-49", "50-54", "55-59", "60-64", "65-69", "70-74", "75-79", "80-84", "85+")</f>
        <v>80-84</v>
      </c>
      <c r="D6937" t="s">
        <v>7</v>
      </c>
    </row>
    <row r="6938" spans="1:4">
      <c r="A6938" t="s">
        <v>6</v>
      </c>
      <c r="B6938">
        <v>26</v>
      </c>
      <c r="C6938" t="str">
        <f>CHOOSE(MATCH(B6938, {20,25,30,35,40,45,50,55,60,65,70,75,80,85}, 1), "20-24", "25-29", "30-34", "35-39", "40-44", "45-49", "50-54", "55-59", "60-64", "65-69", "70-74", "75-79", "80-84", "85+")</f>
        <v>25-29</v>
      </c>
      <c r="D6938" t="s">
        <v>7</v>
      </c>
    </row>
    <row r="6939" spans="1:4">
      <c r="A6939" t="s">
        <v>6</v>
      </c>
      <c r="B6939">
        <v>47</v>
      </c>
      <c r="C6939" t="str">
        <f>CHOOSE(MATCH(B6939, {20,25,30,35,40,45,50,55,60,65,70,75,80,85}, 1), "20-24", "25-29", "30-34", "35-39", "40-44", "45-49", "50-54", "55-59", "60-64", "65-69", "70-74", "75-79", "80-84", "85+")</f>
        <v>45-49</v>
      </c>
      <c r="D6939" t="s">
        <v>8</v>
      </c>
    </row>
    <row r="6940" spans="1:4">
      <c r="A6940" t="s">
        <v>6</v>
      </c>
      <c r="B6940">
        <v>34</v>
      </c>
      <c r="C6940" t="str">
        <f>CHOOSE(MATCH(B6940, {20,25,30,35,40,45,50,55,60,65,70,75,80,85}, 1), "20-24", "25-29", "30-34", "35-39", "40-44", "45-49", "50-54", "55-59", "60-64", "65-69", "70-74", "75-79", "80-84", "85+")</f>
        <v>30-34</v>
      </c>
      <c r="D6940" t="s">
        <v>7</v>
      </c>
    </row>
    <row r="6941" spans="1:4">
      <c r="A6941" t="s">
        <v>6</v>
      </c>
      <c r="B6941">
        <v>33</v>
      </c>
      <c r="C6941" t="str">
        <f>CHOOSE(MATCH(B6941, {20,25,30,35,40,45,50,55,60,65,70,75,80,85}, 1), "20-24", "25-29", "30-34", "35-39", "40-44", "45-49", "50-54", "55-59", "60-64", "65-69", "70-74", "75-79", "80-84", "85+")</f>
        <v>30-34</v>
      </c>
      <c r="D6941" t="s">
        <v>7</v>
      </c>
    </row>
    <row r="6942" spans="1:4">
      <c r="A6942" t="s">
        <v>6</v>
      </c>
      <c r="B6942">
        <v>35</v>
      </c>
      <c r="C6942" t="str">
        <f>CHOOSE(MATCH(B6942, {20,25,30,35,40,45,50,55,60,65,70,75,80,85}, 1), "20-24", "25-29", "30-34", "35-39", "40-44", "45-49", "50-54", "55-59", "60-64", "65-69", "70-74", "75-79", "80-84", "85+")</f>
        <v>35-39</v>
      </c>
      <c r="D6942" t="s">
        <v>7</v>
      </c>
    </row>
    <row r="6943" spans="1:4">
      <c r="A6943" t="s">
        <v>6</v>
      </c>
      <c r="B6943">
        <v>54</v>
      </c>
      <c r="C6943" t="str">
        <f>CHOOSE(MATCH(B6943, {20,25,30,35,40,45,50,55,60,65,70,75,80,85}, 1), "20-24", "25-29", "30-34", "35-39", "40-44", "45-49", "50-54", "55-59", "60-64", "65-69", "70-74", "75-79", "80-84", "85+")</f>
        <v>50-54</v>
      </c>
      <c r="D6943" t="s">
        <v>7</v>
      </c>
    </row>
    <row r="6944" spans="1:4">
      <c r="A6944" t="s">
        <v>6</v>
      </c>
      <c r="B6944">
        <v>35</v>
      </c>
      <c r="C6944" t="str">
        <f>CHOOSE(MATCH(B6944, {20,25,30,35,40,45,50,55,60,65,70,75,80,85}, 1), "20-24", "25-29", "30-34", "35-39", "40-44", "45-49", "50-54", "55-59", "60-64", "65-69", "70-74", "75-79", "80-84", "85+")</f>
        <v>35-39</v>
      </c>
      <c r="D6944" t="s">
        <v>8</v>
      </c>
    </row>
    <row r="6945" spans="1:4">
      <c r="A6945" t="s">
        <v>6</v>
      </c>
      <c r="B6945">
        <v>80</v>
      </c>
      <c r="C6945" t="str">
        <f>CHOOSE(MATCH(B6945, {20,25,30,35,40,45,50,55,60,65,70,75,80,85}, 1), "20-24", "25-29", "30-34", "35-39", "40-44", "45-49", "50-54", "55-59", "60-64", "65-69", "70-74", "75-79", "80-84", "85+")</f>
        <v>80-84</v>
      </c>
      <c r="D6945" t="s">
        <v>7</v>
      </c>
    </row>
    <row r="6946" spans="1:4">
      <c r="A6946" t="s">
        <v>6</v>
      </c>
      <c r="B6946">
        <v>30</v>
      </c>
      <c r="C6946" t="str">
        <f>CHOOSE(MATCH(B6946, {20,25,30,35,40,45,50,55,60,65,70,75,80,85}, 1), "20-24", "25-29", "30-34", "35-39", "40-44", "45-49", "50-54", "55-59", "60-64", "65-69", "70-74", "75-79", "80-84", "85+")</f>
        <v>30-34</v>
      </c>
      <c r="D6946" t="s">
        <v>7</v>
      </c>
    </row>
    <row r="6947" spans="1:4">
      <c r="A6947" t="s">
        <v>6</v>
      </c>
      <c r="B6947">
        <v>38</v>
      </c>
      <c r="C6947" t="str">
        <f>CHOOSE(MATCH(B6947, {20,25,30,35,40,45,50,55,60,65,70,75,80,85}, 1), "20-24", "25-29", "30-34", "35-39", "40-44", "45-49", "50-54", "55-59", "60-64", "65-69", "70-74", "75-79", "80-84", "85+")</f>
        <v>35-39</v>
      </c>
      <c r="D6947" t="s">
        <v>7</v>
      </c>
    </row>
    <row r="6948" spans="1:4">
      <c r="A6948" t="s">
        <v>6</v>
      </c>
      <c r="B6948">
        <v>42</v>
      </c>
      <c r="C6948" t="str">
        <f>CHOOSE(MATCH(B6948, {20,25,30,35,40,45,50,55,60,65,70,75,80,85}, 1), "20-24", "25-29", "30-34", "35-39", "40-44", "45-49", "50-54", "55-59", "60-64", "65-69", "70-74", "75-79", "80-84", "85+")</f>
        <v>40-44</v>
      </c>
      <c r="D6948" t="s">
        <v>7</v>
      </c>
    </row>
    <row r="6949" spans="1:4">
      <c r="A6949" t="s">
        <v>6</v>
      </c>
      <c r="B6949">
        <v>62</v>
      </c>
      <c r="C6949" t="str">
        <f>CHOOSE(MATCH(B6949, {20,25,30,35,40,45,50,55,60,65,70,75,80,85}, 1), "20-24", "25-29", "30-34", "35-39", "40-44", "45-49", "50-54", "55-59", "60-64", "65-69", "70-74", "75-79", "80-84", "85+")</f>
        <v>60-64</v>
      </c>
      <c r="D6949" t="s">
        <v>8</v>
      </c>
    </row>
    <row r="6950" spans="1:4">
      <c r="A6950" t="s">
        <v>6</v>
      </c>
      <c r="B6950">
        <v>60</v>
      </c>
      <c r="C6950" t="str">
        <f>CHOOSE(MATCH(B6950, {20,25,30,35,40,45,50,55,60,65,70,75,80,85}, 1), "20-24", "25-29", "30-34", "35-39", "40-44", "45-49", "50-54", "55-59", "60-64", "65-69", "70-74", "75-79", "80-84", "85+")</f>
        <v>60-64</v>
      </c>
      <c r="D6950" t="s">
        <v>8</v>
      </c>
    </row>
    <row r="6951" spans="1:4">
      <c r="A6951" t="s">
        <v>6</v>
      </c>
      <c r="B6951">
        <v>33</v>
      </c>
      <c r="C6951" t="str">
        <f>CHOOSE(MATCH(B6951, {20,25,30,35,40,45,50,55,60,65,70,75,80,85}, 1), "20-24", "25-29", "30-34", "35-39", "40-44", "45-49", "50-54", "55-59", "60-64", "65-69", "70-74", "75-79", "80-84", "85+")</f>
        <v>30-34</v>
      </c>
      <c r="D6951" t="s">
        <v>7</v>
      </c>
    </row>
    <row r="6952" spans="1:4">
      <c r="A6952" t="s">
        <v>6</v>
      </c>
      <c r="B6952">
        <v>40</v>
      </c>
      <c r="C6952" t="str">
        <f>CHOOSE(MATCH(B6952, {20,25,30,35,40,45,50,55,60,65,70,75,80,85}, 1), "20-24", "25-29", "30-34", "35-39", "40-44", "45-49", "50-54", "55-59", "60-64", "65-69", "70-74", "75-79", "80-84", "85+")</f>
        <v>40-44</v>
      </c>
      <c r="D6952" t="s">
        <v>7</v>
      </c>
    </row>
    <row r="6953" spans="1:4">
      <c r="A6953" t="s">
        <v>6</v>
      </c>
      <c r="B6953">
        <v>25</v>
      </c>
      <c r="C6953" t="str">
        <f>CHOOSE(MATCH(B6953, {20,25,30,35,40,45,50,55,60,65,70,75,80,85}, 1), "20-24", "25-29", "30-34", "35-39", "40-44", "45-49", "50-54", "55-59", "60-64", "65-69", "70-74", "75-79", "80-84", "85+")</f>
        <v>25-29</v>
      </c>
      <c r="D6953" t="s">
        <v>7</v>
      </c>
    </row>
    <row r="6954" spans="1:4">
      <c r="A6954" t="s">
        <v>6</v>
      </c>
      <c r="B6954">
        <v>34</v>
      </c>
      <c r="C6954" t="str">
        <f>CHOOSE(MATCH(B6954, {20,25,30,35,40,45,50,55,60,65,70,75,80,85}, 1), "20-24", "25-29", "30-34", "35-39", "40-44", "45-49", "50-54", "55-59", "60-64", "65-69", "70-74", "75-79", "80-84", "85+")</f>
        <v>30-34</v>
      </c>
      <c r="D6954" t="s">
        <v>8</v>
      </c>
    </row>
    <row r="6955" spans="1:4">
      <c r="A6955" t="s">
        <v>6</v>
      </c>
      <c r="B6955">
        <v>42</v>
      </c>
      <c r="C6955" t="str">
        <f>CHOOSE(MATCH(B6955, {20,25,30,35,40,45,50,55,60,65,70,75,80,85}, 1), "20-24", "25-29", "30-34", "35-39", "40-44", "45-49", "50-54", "55-59", "60-64", "65-69", "70-74", "75-79", "80-84", "85+")</f>
        <v>40-44</v>
      </c>
      <c r="D6955" t="s">
        <v>7</v>
      </c>
    </row>
    <row r="6956" spans="1:4">
      <c r="A6956" t="s">
        <v>6</v>
      </c>
      <c r="B6956">
        <v>63</v>
      </c>
      <c r="C6956" t="str">
        <f>CHOOSE(MATCH(B6956, {20,25,30,35,40,45,50,55,60,65,70,75,80,85}, 1), "20-24", "25-29", "30-34", "35-39", "40-44", "45-49", "50-54", "55-59", "60-64", "65-69", "70-74", "75-79", "80-84", "85+")</f>
        <v>60-64</v>
      </c>
      <c r="D6956" t="s">
        <v>7</v>
      </c>
    </row>
    <row r="6957" spans="1:4">
      <c r="A6957" t="s">
        <v>6</v>
      </c>
      <c r="B6957">
        <v>68</v>
      </c>
      <c r="C6957" t="str">
        <f>CHOOSE(MATCH(B6957, {20,25,30,35,40,45,50,55,60,65,70,75,80,85}, 1), "20-24", "25-29", "30-34", "35-39", "40-44", "45-49", "50-54", "55-59", "60-64", "65-69", "70-74", "75-79", "80-84", "85+")</f>
        <v>65-69</v>
      </c>
      <c r="D6957" t="s">
        <v>7</v>
      </c>
    </row>
    <row r="6958" spans="1:4">
      <c r="A6958" t="s">
        <v>6</v>
      </c>
      <c r="B6958">
        <v>54</v>
      </c>
      <c r="C6958" t="str">
        <f>CHOOSE(MATCH(B6958, {20,25,30,35,40,45,50,55,60,65,70,75,80,85}, 1), "20-24", "25-29", "30-34", "35-39", "40-44", "45-49", "50-54", "55-59", "60-64", "65-69", "70-74", "75-79", "80-84", "85+")</f>
        <v>50-54</v>
      </c>
      <c r="D6958" t="s">
        <v>8</v>
      </c>
    </row>
    <row r="6959" spans="1:4">
      <c r="A6959" t="s">
        <v>6</v>
      </c>
      <c r="B6959">
        <v>41</v>
      </c>
      <c r="C6959" t="str">
        <f>CHOOSE(MATCH(B6959, {20,25,30,35,40,45,50,55,60,65,70,75,80,85}, 1), "20-24", "25-29", "30-34", "35-39", "40-44", "45-49", "50-54", "55-59", "60-64", "65-69", "70-74", "75-79", "80-84", "85+")</f>
        <v>40-44</v>
      </c>
      <c r="D6959" t="s">
        <v>7</v>
      </c>
    </row>
    <row r="6960" spans="1:4">
      <c r="A6960" t="s">
        <v>6</v>
      </c>
      <c r="B6960">
        <v>33</v>
      </c>
      <c r="C6960" t="str">
        <f>CHOOSE(MATCH(B6960, {20,25,30,35,40,45,50,55,60,65,70,75,80,85}, 1), "20-24", "25-29", "30-34", "35-39", "40-44", "45-49", "50-54", "55-59", "60-64", "65-69", "70-74", "75-79", "80-84", "85+")</f>
        <v>30-34</v>
      </c>
      <c r="D6960" t="s">
        <v>8</v>
      </c>
    </row>
    <row r="6961" spans="1:4">
      <c r="A6961" t="s">
        <v>6</v>
      </c>
      <c r="B6961">
        <v>35</v>
      </c>
      <c r="C6961" t="str">
        <f>CHOOSE(MATCH(B6961, {20,25,30,35,40,45,50,55,60,65,70,75,80,85}, 1), "20-24", "25-29", "30-34", "35-39", "40-44", "45-49", "50-54", "55-59", "60-64", "65-69", "70-74", "75-79", "80-84", "85+")</f>
        <v>35-39</v>
      </c>
      <c r="D6961" t="s">
        <v>7</v>
      </c>
    </row>
    <row r="6962" spans="1:4">
      <c r="A6962" t="s">
        <v>6</v>
      </c>
      <c r="B6962">
        <v>61</v>
      </c>
      <c r="C6962" t="str">
        <f>CHOOSE(MATCH(B6962, {20,25,30,35,40,45,50,55,60,65,70,75,80,85}, 1), "20-24", "25-29", "30-34", "35-39", "40-44", "45-49", "50-54", "55-59", "60-64", "65-69", "70-74", "75-79", "80-84", "85+")</f>
        <v>60-64</v>
      </c>
      <c r="D6962" t="s">
        <v>7</v>
      </c>
    </row>
    <row r="6963" spans="1:4">
      <c r="A6963" t="s">
        <v>6</v>
      </c>
      <c r="B6963">
        <v>48</v>
      </c>
      <c r="C6963" t="str">
        <f>CHOOSE(MATCH(B6963, {20,25,30,35,40,45,50,55,60,65,70,75,80,85}, 1), "20-24", "25-29", "30-34", "35-39", "40-44", "45-49", "50-54", "55-59", "60-64", "65-69", "70-74", "75-79", "80-84", "85+")</f>
        <v>45-49</v>
      </c>
      <c r="D6963" t="s">
        <v>7</v>
      </c>
    </row>
    <row r="6964" spans="1:4">
      <c r="A6964" t="s">
        <v>6</v>
      </c>
      <c r="B6964">
        <v>54</v>
      </c>
      <c r="C6964" t="str">
        <f>CHOOSE(MATCH(B6964, {20,25,30,35,40,45,50,55,60,65,70,75,80,85}, 1), "20-24", "25-29", "30-34", "35-39", "40-44", "45-49", "50-54", "55-59", "60-64", "65-69", "70-74", "75-79", "80-84", "85+")</f>
        <v>50-54</v>
      </c>
      <c r="D6964" t="s">
        <v>7</v>
      </c>
    </row>
    <row r="6965" spans="1:4">
      <c r="A6965" t="s">
        <v>6</v>
      </c>
      <c r="B6965">
        <v>23</v>
      </c>
      <c r="C6965" t="str">
        <f>CHOOSE(MATCH(B6965, {20,25,30,35,40,45,50,55,60,65,70,75,80,85}, 1), "20-24", "25-29", "30-34", "35-39", "40-44", "45-49", "50-54", "55-59", "60-64", "65-69", "70-74", "75-79", "80-84", "85+")</f>
        <v>20-24</v>
      </c>
      <c r="D6965" t="s">
        <v>8</v>
      </c>
    </row>
    <row r="6966" spans="1:4">
      <c r="A6966" t="s">
        <v>6</v>
      </c>
      <c r="B6966">
        <v>44</v>
      </c>
      <c r="C6966" t="str">
        <f>CHOOSE(MATCH(B6966, {20,25,30,35,40,45,50,55,60,65,70,75,80,85}, 1), "20-24", "25-29", "30-34", "35-39", "40-44", "45-49", "50-54", "55-59", "60-64", "65-69", "70-74", "75-79", "80-84", "85+")</f>
        <v>40-44</v>
      </c>
      <c r="D6966" t="s">
        <v>8</v>
      </c>
    </row>
    <row r="6967" spans="1:4">
      <c r="A6967" t="s">
        <v>6</v>
      </c>
      <c r="B6967">
        <v>33</v>
      </c>
      <c r="C6967" t="str">
        <f>CHOOSE(MATCH(B6967, {20,25,30,35,40,45,50,55,60,65,70,75,80,85}, 1), "20-24", "25-29", "30-34", "35-39", "40-44", "45-49", "50-54", "55-59", "60-64", "65-69", "70-74", "75-79", "80-84", "85+")</f>
        <v>30-34</v>
      </c>
      <c r="D6967" t="s">
        <v>7</v>
      </c>
    </row>
    <row r="6968" spans="1:4">
      <c r="A6968" t="s">
        <v>6</v>
      </c>
      <c r="B6968">
        <v>47</v>
      </c>
      <c r="C6968" t="str">
        <f>CHOOSE(MATCH(B6968, {20,25,30,35,40,45,50,55,60,65,70,75,80,85}, 1), "20-24", "25-29", "30-34", "35-39", "40-44", "45-49", "50-54", "55-59", "60-64", "65-69", "70-74", "75-79", "80-84", "85+")</f>
        <v>45-49</v>
      </c>
      <c r="D6968" t="s">
        <v>8</v>
      </c>
    </row>
    <row r="6969" spans="1:4">
      <c r="A6969" t="s">
        <v>6</v>
      </c>
      <c r="B6969">
        <v>61</v>
      </c>
      <c r="C6969" t="str">
        <f>CHOOSE(MATCH(B6969, {20,25,30,35,40,45,50,55,60,65,70,75,80,85}, 1), "20-24", "25-29", "30-34", "35-39", "40-44", "45-49", "50-54", "55-59", "60-64", "65-69", "70-74", "75-79", "80-84", "85+")</f>
        <v>60-64</v>
      </c>
      <c r="D6969" t="s">
        <v>8</v>
      </c>
    </row>
    <row r="6970" spans="1:4">
      <c r="A6970" t="s">
        <v>6</v>
      </c>
      <c r="B6970">
        <v>78</v>
      </c>
      <c r="C6970" t="str">
        <f>CHOOSE(MATCH(B6970, {20,25,30,35,40,45,50,55,60,65,70,75,80,85}, 1), "20-24", "25-29", "30-34", "35-39", "40-44", "45-49", "50-54", "55-59", "60-64", "65-69", "70-74", "75-79", "80-84", "85+")</f>
        <v>75-79</v>
      </c>
      <c r="D6970" t="s">
        <v>8</v>
      </c>
    </row>
    <row r="6971" spans="1:4">
      <c r="A6971" t="s">
        <v>6</v>
      </c>
      <c r="B6971">
        <v>43</v>
      </c>
      <c r="C6971" t="str">
        <f>CHOOSE(MATCH(B6971, {20,25,30,35,40,45,50,55,60,65,70,75,80,85}, 1), "20-24", "25-29", "30-34", "35-39", "40-44", "45-49", "50-54", "55-59", "60-64", "65-69", "70-74", "75-79", "80-84", "85+")</f>
        <v>40-44</v>
      </c>
      <c r="D6971" t="s">
        <v>8</v>
      </c>
    </row>
    <row r="6972" spans="1:4">
      <c r="A6972" t="s">
        <v>6</v>
      </c>
      <c r="B6972">
        <v>33</v>
      </c>
      <c r="C6972" t="str">
        <f>CHOOSE(MATCH(B6972, {20,25,30,35,40,45,50,55,60,65,70,75,80,85}, 1), "20-24", "25-29", "30-34", "35-39", "40-44", "45-49", "50-54", "55-59", "60-64", "65-69", "70-74", "75-79", "80-84", "85+")</f>
        <v>30-34</v>
      </c>
      <c r="D6972" t="s">
        <v>7</v>
      </c>
    </row>
    <row r="6973" spans="1:4">
      <c r="A6973" t="s">
        <v>6</v>
      </c>
      <c r="B6973">
        <v>31</v>
      </c>
      <c r="C6973" t="str">
        <f>CHOOSE(MATCH(B6973, {20,25,30,35,40,45,50,55,60,65,70,75,80,85}, 1), "20-24", "25-29", "30-34", "35-39", "40-44", "45-49", "50-54", "55-59", "60-64", "65-69", "70-74", "75-79", "80-84", "85+")</f>
        <v>30-34</v>
      </c>
      <c r="D6973" t="s">
        <v>8</v>
      </c>
    </row>
    <row r="6974" spans="1:4">
      <c r="A6974" t="s">
        <v>6</v>
      </c>
      <c r="B6974">
        <v>36</v>
      </c>
      <c r="C6974" t="str">
        <f>CHOOSE(MATCH(B6974, {20,25,30,35,40,45,50,55,60,65,70,75,80,85}, 1), "20-24", "25-29", "30-34", "35-39", "40-44", "45-49", "50-54", "55-59", "60-64", "65-69", "70-74", "75-79", "80-84", "85+")</f>
        <v>35-39</v>
      </c>
      <c r="D6974" t="s">
        <v>8</v>
      </c>
    </row>
    <row r="6975" spans="1:4">
      <c r="A6975" t="s">
        <v>6</v>
      </c>
      <c r="B6975">
        <v>76</v>
      </c>
      <c r="C6975" t="str">
        <f>CHOOSE(MATCH(B6975, {20,25,30,35,40,45,50,55,60,65,70,75,80,85}, 1), "20-24", "25-29", "30-34", "35-39", "40-44", "45-49", "50-54", "55-59", "60-64", "65-69", "70-74", "75-79", "80-84", "85+")</f>
        <v>75-79</v>
      </c>
      <c r="D6975" t="s">
        <v>7</v>
      </c>
    </row>
    <row r="6976" spans="1:4">
      <c r="A6976" t="s">
        <v>6</v>
      </c>
      <c r="B6976">
        <v>69</v>
      </c>
      <c r="C6976" t="str">
        <f>CHOOSE(MATCH(B6976, {20,25,30,35,40,45,50,55,60,65,70,75,80,85}, 1), "20-24", "25-29", "30-34", "35-39", "40-44", "45-49", "50-54", "55-59", "60-64", "65-69", "70-74", "75-79", "80-84", "85+")</f>
        <v>65-69</v>
      </c>
      <c r="D6976" t="s">
        <v>8</v>
      </c>
    </row>
    <row r="6977" spans="1:4">
      <c r="A6977" t="s">
        <v>6</v>
      </c>
      <c r="B6977">
        <v>41</v>
      </c>
      <c r="C6977" t="str">
        <f>CHOOSE(MATCH(B6977, {20,25,30,35,40,45,50,55,60,65,70,75,80,85}, 1), "20-24", "25-29", "30-34", "35-39", "40-44", "45-49", "50-54", "55-59", "60-64", "65-69", "70-74", "75-79", "80-84", "85+")</f>
        <v>40-44</v>
      </c>
      <c r="D6977" t="s">
        <v>7</v>
      </c>
    </row>
    <row r="6978" spans="1:4">
      <c r="A6978" t="s">
        <v>6</v>
      </c>
      <c r="B6978">
        <v>69</v>
      </c>
      <c r="C6978" t="str">
        <f>CHOOSE(MATCH(B6978, {20,25,30,35,40,45,50,55,60,65,70,75,80,85}, 1), "20-24", "25-29", "30-34", "35-39", "40-44", "45-49", "50-54", "55-59", "60-64", "65-69", "70-74", "75-79", "80-84", "85+")</f>
        <v>65-69</v>
      </c>
      <c r="D6978" t="s">
        <v>8</v>
      </c>
    </row>
    <row r="6979" spans="1:4">
      <c r="A6979" t="s">
        <v>6</v>
      </c>
      <c r="B6979">
        <v>21</v>
      </c>
      <c r="C6979" t="str">
        <f>CHOOSE(MATCH(B6979, {20,25,30,35,40,45,50,55,60,65,70,75,80,85}, 1), "20-24", "25-29", "30-34", "35-39", "40-44", "45-49", "50-54", "55-59", "60-64", "65-69", "70-74", "75-79", "80-84", "85+")</f>
        <v>20-24</v>
      </c>
      <c r="D6979" t="s">
        <v>7</v>
      </c>
    </row>
    <row r="6980" spans="1:4">
      <c r="A6980" t="s">
        <v>6</v>
      </c>
      <c r="B6980">
        <v>38</v>
      </c>
      <c r="C6980" t="str">
        <f>CHOOSE(MATCH(B6980, {20,25,30,35,40,45,50,55,60,65,70,75,80,85}, 1), "20-24", "25-29", "30-34", "35-39", "40-44", "45-49", "50-54", "55-59", "60-64", "65-69", "70-74", "75-79", "80-84", "85+")</f>
        <v>35-39</v>
      </c>
      <c r="D6980" t="s">
        <v>7</v>
      </c>
    </row>
    <row r="6981" spans="1:4">
      <c r="A6981" t="s">
        <v>6</v>
      </c>
      <c r="B6981">
        <v>37</v>
      </c>
      <c r="C6981" t="str">
        <f>CHOOSE(MATCH(B6981, {20,25,30,35,40,45,50,55,60,65,70,75,80,85}, 1), "20-24", "25-29", "30-34", "35-39", "40-44", "45-49", "50-54", "55-59", "60-64", "65-69", "70-74", "75-79", "80-84", "85+")</f>
        <v>35-39</v>
      </c>
      <c r="D6981" t="s">
        <v>7</v>
      </c>
    </row>
    <row r="6982" spans="1:4">
      <c r="A6982" t="s">
        <v>6</v>
      </c>
      <c r="B6982">
        <v>40</v>
      </c>
      <c r="C6982" t="str">
        <f>CHOOSE(MATCH(B6982, {20,25,30,35,40,45,50,55,60,65,70,75,80,85}, 1), "20-24", "25-29", "30-34", "35-39", "40-44", "45-49", "50-54", "55-59", "60-64", "65-69", "70-74", "75-79", "80-84", "85+")</f>
        <v>40-44</v>
      </c>
      <c r="D6982" t="s">
        <v>8</v>
      </c>
    </row>
    <row r="6983" spans="1:4">
      <c r="A6983" t="s">
        <v>6</v>
      </c>
      <c r="B6983">
        <v>23</v>
      </c>
      <c r="C6983" t="str">
        <f>CHOOSE(MATCH(B6983, {20,25,30,35,40,45,50,55,60,65,70,75,80,85}, 1), "20-24", "25-29", "30-34", "35-39", "40-44", "45-49", "50-54", "55-59", "60-64", "65-69", "70-74", "75-79", "80-84", "85+")</f>
        <v>20-24</v>
      </c>
      <c r="D6983" t="s">
        <v>7</v>
      </c>
    </row>
    <row r="6984" spans="1:4">
      <c r="A6984" t="s">
        <v>6</v>
      </c>
      <c r="B6984">
        <v>28</v>
      </c>
      <c r="C6984" t="str">
        <f>CHOOSE(MATCH(B6984, {20,25,30,35,40,45,50,55,60,65,70,75,80,85}, 1), "20-24", "25-29", "30-34", "35-39", "40-44", "45-49", "50-54", "55-59", "60-64", "65-69", "70-74", "75-79", "80-84", "85+")</f>
        <v>25-29</v>
      </c>
      <c r="D6984" t="s">
        <v>7</v>
      </c>
    </row>
    <row r="6985" spans="1:4">
      <c r="A6985" t="s">
        <v>6</v>
      </c>
      <c r="B6985">
        <v>58</v>
      </c>
      <c r="C6985" t="str">
        <f>CHOOSE(MATCH(B6985, {20,25,30,35,40,45,50,55,60,65,70,75,80,85}, 1), "20-24", "25-29", "30-34", "35-39", "40-44", "45-49", "50-54", "55-59", "60-64", "65-69", "70-74", "75-79", "80-84", "85+")</f>
        <v>55-59</v>
      </c>
      <c r="D6985" t="s">
        <v>7</v>
      </c>
    </row>
    <row r="6986" spans="1:4">
      <c r="A6986" t="s">
        <v>6</v>
      </c>
      <c r="B6986">
        <v>71</v>
      </c>
      <c r="C6986" t="str">
        <f>CHOOSE(MATCH(B6986, {20,25,30,35,40,45,50,55,60,65,70,75,80,85}, 1), "20-24", "25-29", "30-34", "35-39", "40-44", "45-49", "50-54", "55-59", "60-64", "65-69", "70-74", "75-79", "80-84", "85+")</f>
        <v>70-74</v>
      </c>
      <c r="D6986" t="s">
        <v>7</v>
      </c>
    </row>
    <row r="6987" spans="1:4">
      <c r="A6987" t="s">
        <v>6</v>
      </c>
      <c r="B6987">
        <v>50</v>
      </c>
      <c r="C6987" t="str">
        <f>CHOOSE(MATCH(B6987, {20,25,30,35,40,45,50,55,60,65,70,75,80,85}, 1), "20-24", "25-29", "30-34", "35-39", "40-44", "45-49", "50-54", "55-59", "60-64", "65-69", "70-74", "75-79", "80-84", "85+")</f>
        <v>50-54</v>
      </c>
      <c r="D6987" t="s">
        <v>8</v>
      </c>
    </row>
    <row r="6988" spans="1:4">
      <c r="A6988" t="s">
        <v>6</v>
      </c>
      <c r="B6988">
        <v>33</v>
      </c>
      <c r="C6988" t="str">
        <f>CHOOSE(MATCH(B6988, {20,25,30,35,40,45,50,55,60,65,70,75,80,85}, 1), "20-24", "25-29", "30-34", "35-39", "40-44", "45-49", "50-54", "55-59", "60-64", "65-69", "70-74", "75-79", "80-84", "85+")</f>
        <v>30-34</v>
      </c>
      <c r="D6988" t="s">
        <v>8</v>
      </c>
    </row>
    <row r="6989" spans="1:4">
      <c r="A6989" t="s">
        <v>6</v>
      </c>
      <c r="B6989">
        <v>31</v>
      </c>
      <c r="C6989" t="str">
        <f>CHOOSE(MATCH(B6989, {20,25,30,35,40,45,50,55,60,65,70,75,80,85}, 1), "20-24", "25-29", "30-34", "35-39", "40-44", "45-49", "50-54", "55-59", "60-64", "65-69", "70-74", "75-79", "80-84", "85+")</f>
        <v>30-34</v>
      </c>
      <c r="D6989" t="s">
        <v>8</v>
      </c>
    </row>
    <row r="6990" spans="1:4">
      <c r="A6990" t="s">
        <v>6</v>
      </c>
      <c r="B6990">
        <v>86</v>
      </c>
      <c r="C6990" t="str">
        <f>CHOOSE(MATCH(B6990, {20,25,30,35,40,45,50,55,60,65,70,75,80,85}, 1), "20-24", "25-29", "30-34", "35-39", "40-44", "45-49", "50-54", "55-59", "60-64", "65-69", "70-74", "75-79", "80-84", "85+")</f>
        <v>85+</v>
      </c>
      <c r="D6990" t="s">
        <v>7</v>
      </c>
    </row>
    <row r="6991" spans="1:4">
      <c r="A6991" t="s">
        <v>6</v>
      </c>
      <c r="B6991">
        <v>33</v>
      </c>
      <c r="C6991" t="str">
        <f>CHOOSE(MATCH(B6991, {20,25,30,35,40,45,50,55,60,65,70,75,80,85}, 1), "20-24", "25-29", "30-34", "35-39", "40-44", "45-49", "50-54", "55-59", "60-64", "65-69", "70-74", "75-79", "80-84", "85+")</f>
        <v>30-34</v>
      </c>
      <c r="D6991" t="s">
        <v>8</v>
      </c>
    </row>
    <row r="6992" spans="1:4">
      <c r="A6992" t="s">
        <v>6</v>
      </c>
      <c r="B6992">
        <v>52</v>
      </c>
      <c r="C6992" t="str">
        <f>CHOOSE(MATCH(B6992, {20,25,30,35,40,45,50,55,60,65,70,75,80,85}, 1), "20-24", "25-29", "30-34", "35-39", "40-44", "45-49", "50-54", "55-59", "60-64", "65-69", "70-74", "75-79", "80-84", "85+")</f>
        <v>50-54</v>
      </c>
      <c r="D6992" t="s">
        <v>7</v>
      </c>
    </row>
    <row r="6993" spans="1:4">
      <c r="A6993" t="s">
        <v>6</v>
      </c>
      <c r="B6993">
        <v>31</v>
      </c>
      <c r="C6993" t="str">
        <f>CHOOSE(MATCH(B6993, {20,25,30,35,40,45,50,55,60,65,70,75,80,85}, 1), "20-24", "25-29", "30-34", "35-39", "40-44", "45-49", "50-54", "55-59", "60-64", "65-69", "70-74", "75-79", "80-84", "85+")</f>
        <v>30-34</v>
      </c>
      <c r="D6993" t="s">
        <v>7</v>
      </c>
    </row>
    <row r="6994" spans="1:4">
      <c r="A6994" t="s">
        <v>6</v>
      </c>
      <c r="B6994">
        <v>28</v>
      </c>
      <c r="C6994" t="str">
        <f>CHOOSE(MATCH(B6994, {20,25,30,35,40,45,50,55,60,65,70,75,80,85}, 1), "20-24", "25-29", "30-34", "35-39", "40-44", "45-49", "50-54", "55-59", "60-64", "65-69", "70-74", "75-79", "80-84", "85+")</f>
        <v>25-29</v>
      </c>
      <c r="D6994" t="s">
        <v>7</v>
      </c>
    </row>
    <row r="6995" spans="1:4">
      <c r="A6995" t="s">
        <v>6</v>
      </c>
      <c r="B6995">
        <v>64</v>
      </c>
      <c r="C6995" t="str">
        <f>CHOOSE(MATCH(B6995, {20,25,30,35,40,45,50,55,60,65,70,75,80,85}, 1), "20-24", "25-29", "30-34", "35-39", "40-44", "45-49", "50-54", "55-59", "60-64", "65-69", "70-74", "75-79", "80-84", "85+")</f>
        <v>60-64</v>
      </c>
      <c r="D6995" t="s">
        <v>7</v>
      </c>
    </row>
    <row r="6996" spans="1:4">
      <c r="A6996" t="s">
        <v>6</v>
      </c>
      <c r="B6996">
        <v>21</v>
      </c>
      <c r="C6996" t="str">
        <f>CHOOSE(MATCH(B6996, {20,25,30,35,40,45,50,55,60,65,70,75,80,85}, 1), "20-24", "25-29", "30-34", "35-39", "40-44", "45-49", "50-54", "55-59", "60-64", "65-69", "70-74", "75-79", "80-84", "85+")</f>
        <v>20-24</v>
      </c>
      <c r="D6996" t="s">
        <v>7</v>
      </c>
    </row>
    <row r="6997" spans="1:4">
      <c r="A6997" t="s">
        <v>6</v>
      </c>
      <c r="B6997">
        <v>84</v>
      </c>
      <c r="C6997" t="str">
        <f>CHOOSE(MATCH(B6997, {20,25,30,35,40,45,50,55,60,65,70,75,80,85}, 1), "20-24", "25-29", "30-34", "35-39", "40-44", "45-49", "50-54", "55-59", "60-64", "65-69", "70-74", "75-79", "80-84", "85+")</f>
        <v>80-84</v>
      </c>
      <c r="D6997" t="s">
        <v>8</v>
      </c>
    </row>
    <row r="6998" spans="1:4">
      <c r="A6998" t="s">
        <v>6</v>
      </c>
      <c r="B6998">
        <v>68</v>
      </c>
      <c r="C6998" t="str">
        <f>CHOOSE(MATCH(B6998, {20,25,30,35,40,45,50,55,60,65,70,75,80,85}, 1), "20-24", "25-29", "30-34", "35-39", "40-44", "45-49", "50-54", "55-59", "60-64", "65-69", "70-74", "75-79", "80-84", "85+")</f>
        <v>65-69</v>
      </c>
      <c r="D6998" t="s">
        <v>8</v>
      </c>
    </row>
    <row r="6999" spans="1:4">
      <c r="A6999" t="s">
        <v>6</v>
      </c>
      <c r="B6999">
        <v>33</v>
      </c>
      <c r="C6999" t="str">
        <f>CHOOSE(MATCH(B6999, {20,25,30,35,40,45,50,55,60,65,70,75,80,85}, 1), "20-24", "25-29", "30-34", "35-39", "40-44", "45-49", "50-54", "55-59", "60-64", "65-69", "70-74", "75-79", "80-84", "85+")</f>
        <v>30-34</v>
      </c>
      <c r="D6999" t="s">
        <v>7</v>
      </c>
    </row>
    <row r="7000" spans="1:4">
      <c r="A7000" t="s">
        <v>6</v>
      </c>
      <c r="B7000">
        <v>41</v>
      </c>
      <c r="C7000" t="str">
        <f>CHOOSE(MATCH(B7000, {20,25,30,35,40,45,50,55,60,65,70,75,80,85}, 1), "20-24", "25-29", "30-34", "35-39", "40-44", "45-49", "50-54", "55-59", "60-64", "65-69", "70-74", "75-79", "80-84", "85+")</f>
        <v>40-44</v>
      </c>
      <c r="D7000" t="s">
        <v>8</v>
      </c>
    </row>
    <row r="7001" spans="1:4">
      <c r="A7001" t="s">
        <v>6</v>
      </c>
      <c r="B7001">
        <v>38</v>
      </c>
      <c r="C7001" t="str">
        <f>CHOOSE(MATCH(B7001, {20,25,30,35,40,45,50,55,60,65,70,75,80,85}, 1), "20-24", "25-29", "30-34", "35-39", "40-44", "45-49", "50-54", "55-59", "60-64", "65-69", "70-74", "75-79", "80-84", "85+")</f>
        <v>35-39</v>
      </c>
      <c r="D7001" t="s">
        <v>8</v>
      </c>
    </row>
    <row r="7002" spans="1:4">
      <c r="A7002" t="s">
        <v>6</v>
      </c>
      <c r="B7002">
        <v>35</v>
      </c>
      <c r="C7002" t="str">
        <f>CHOOSE(MATCH(B7002, {20,25,30,35,40,45,50,55,60,65,70,75,80,85}, 1), "20-24", "25-29", "30-34", "35-39", "40-44", "45-49", "50-54", "55-59", "60-64", "65-69", "70-74", "75-79", "80-84", "85+")</f>
        <v>35-39</v>
      </c>
      <c r="D7002" t="s">
        <v>7</v>
      </c>
    </row>
    <row r="7003" spans="1:4">
      <c r="A7003" t="s">
        <v>6</v>
      </c>
      <c r="B7003">
        <v>55</v>
      </c>
      <c r="C7003" t="str">
        <f>CHOOSE(MATCH(B7003, {20,25,30,35,40,45,50,55,60,65,70,75,80,85}, 1), "20-24", "25-29", "30-34", "35-39", "40-44", "45-49", "50-54", "55-59", "60-64", "65-69", "70-74", "75-79", "80-84", "85+")</f>
        <v>55-59</v>
      </c>
      <c r="D7003" t="s">
        <v>8</v>
      </c>
    </row>
    <row r="7004" spans="1:4">
      <c r="A7004" t="s">
        <v>6</v>
      </c>
      <c r="B7004">
        <v>31</v>
      </c>
      <c r="C7004" t="str">
        <f>CHOOSE(MATCH(B7004, {20,25,30,35,40,45,50,55,60,65,70,75,80,85}, 1), "20-24", "25-29", "30-34", "35-39", "40-44", "45-49", "50-54", "55-59", "60-64", "65-69", "70-74", "75-79", "80-84", "85+")</f>
        <v>30-34</v>
      </c>
      <c r="D7004" t="s">
        <v>7</v>
      </c>
    </row>
    <row r="7005" spans="1:4">
      <c r="A7005" t="s">
        <v>6</v>
      </c>
      <c r="B7005">
        <v>26</v>
      </c>
      <c r="C7005" t="str">
        <f>CHOOSE(MATCH(B7005, {20,25,30,35,40,45,50,55,60,65,70,75,80,85}, 1), "20-24", "25-29", "30-34", "35-39", "40-44", "45-49", "50-54", "55-59", "60-64", "65-69", "70-74", "75-79", "80-84", "85+")</f>
        <v>25-29</v>
      </c>
      <c r="D7005" t="s">
        <v>7</v>
      </c>
    </row>
    <row r="7006" spans="1:4">
      <c r="A7006" t="s">
        <v>6</v>
      </c>
      <c r="B7006">
        <v>67</v>
      </c>
      <c r="C7006" t="str">
        <f>CHOOSE(MATCH(B7006, {20,25,30,35,40,45,50,55,60,65,70,75,80,85}, 1), "20-24", "25-29", "30-34", "35-39", "40-44", "45-49", "50-54", "55-59", "60-64", "65-69", "70-74", "75-79", "80-84", "85+")</f>
        <v>65-69</v>
      </c>
      <c r="D7006" t="s">
        <v>7</v>
      </c>
    </row>
    <row r="7007" spans="1:4">
      <c r="A7007" t="s">
        <v>6</v>
      </c>
      <c r="B7007">
        <v>29</v>
      </c>
      <c r="C7007" t="str">
        <f>CHOOSE(MATCH(B7007, {20,25,30,35,40,45,50,55,60,65,70,75,80,85}, 1), "20-24", "25-29", "30-34", "35-39", "40-44", "45-49", "50-54", "55-59", "60-64", "65-69", "70-74", "75-79", "80-84", "85+")</f>
        <v>25-29</v>
      </c>
      <c r="D7007" t="s">
        <v>7</v>
      </c>
    </row>
    <row r="7008" spans="1:4">
      <c r="A7008" t="s">
        <v>6</v>
      </c>
      <c r="B7008">
        <v>50</v>
      </c>
      <c r="C7008" t="str">
        <f>CHOOSE(MATCH(B7008, {20,25,30,35,40,45,50,55,60,65,70,75,80,85}, 1), "20-24", "25-29", "30-34", "35-39", "40-44", "45-49", "50-54", "55-59", "60-64", "65-69", "70-74", "75-79", "80-84", "85+")</f>
        <v>50-54</v>
      </c>
      <c r="D7008" t="s">
        <v>7</v>
      </c>
    </row>
    <row r="7009" spans="1:4">
      <c r="A7009" t="s">
        <v>6</v>
      </c>
      <c r="B7009">
        <v>28</v>
      </c>
      <c r="C7009" t="str">
        <f>CHOOSE(MATCH(B7009, {20,25,30,35,40,45,50,55,60,65,70,75,80,85}, 1), "20-24", "25-29", "30-34", "35-39", "40-44", "45-49", "50-54", "55-59", "60-64", "65-69", "70-74", "75-79", "80-84", "85+")</f>
        <v>25-29</v>
      </c>
      <c r="D7009" t="s">
        <v>7</v>
      </c>
    </row>
    <row r="7010" spans="1:4">
      <c r="A7010" t="s">
        <v>6</v>
      </c>
      <c r="B7010">
        <v>30</v>
      </c>
      <c r="C7010" t="str">
        <f>CHOOSE(MATCH(B7010, {20,25,30,35,40,45,50,55,60,65,70,75,80,85}, 1), "20-24", "25-29", "30-34", "35-39", "40-44", "45-49", "50-54", "55-59", "60-64", "65-69", "70-74", "75-79", "80-84", "85+")</f>
        <v>30-34</v>
      </c>
      <c r="D7010" t="s">
        <v>7</v>
      </c>
    </row>
    <row r="7011" spans="1:4">
      <c r="A7011" t="s">
        <v>6</v>
      </c>
      <c r="B7011">
        <v>24</v>
      </c>
      <c r="C7011" t="str">
        <f>CHOOSE(MATCH(B7011, {20,25,30,35,40,45,50,55,60,65,70,75,80,85}, 1), "20-24", "25-29", "30-34", "35-39", "40-44", "45-49", "50-54", "55-59", "60-64", "65-69", "70-74", "75-79", "80-84", "85+")</f>
        <v>20-24</v>
      </c>
      <c r="D7011" t="s">
        <v>7</v>
      </c>
    </row>
    <row r="7012" spans="1:4">
      <c r="A7012" t="s">
        <v>6</v>
      </c>
      <c r="B7012">
        <v>56</v>
      </c>
      <c r="C7012" t="str">
        <f>CHOOSE(MATCH(B7012, {20,25,30,35,40,45,50,55,60,65,70,75,80,85}, 1), "20-24", "25-29", "30-34", "35-39", "40-44", "45-49", "50-54", "55-59", "60-64", "65-69", "70-74", "75-79", "80-84", "85+")</f>
        <v>55-59</v>
      </c>
      <c r="D7012" t="s">
        <v>7</v>
      </c>
    </row>
    <row r="7013" spans="1:4">
      <c r="A7013" t="s">
        <v>6</v>
      </c>
      <c r="B7013">
        <v>45</v>
      </c>
      <c r="C7013" t="str">
        <f>CHOOSE(MATCH(B7013, {20,25,30,35,40,45,50,55,60,65,70,75,80,85}, 1), "20-24", "25-29", "30-34", "35-39", "40-44", "45-49", "50-54", "55-59", "60-64", "65-69", "70-74", "75-79", "80-84", "85+")</f>
        <v>45-49</v>
      </c>
      <c r="D7013" t="s">
        <v>8</v>
      </c>
    </row>
    <row r="7014" spans="1:4">
      <c r="A7014" t="s">
        <v>6</v>
      </c>
      <c r="B7014">
        <v>35</v>
      </c>
      <c r="C7014" t="str">
        <f>CHOOSE(MATCH(B7014, {20,25,30,35,40,45,50,55,60,65,70,75,80,85}, 1), "20-24", "25-29", "30-34", "35-39", "40-44", "45-49", "50-54", "55-59", "60-64", "65-69", "70-74", "75-79", "80-84", "85+")</f>
        <v>35-39</v>
      </c>
      <c r="D7014" t="s">
        <v>8</v>
      </c>
    </row>
    <row r="7015" spans="1:4">
      <c r="A7015" t="s">
        <v>6</v>
      </c>
      <c r="B7015">
        <v>69</v>
      </c>
      <c r="C7015" t="str">
        <f>CHOOSE(MATCH(B7015, {20,25,30,35,40,45,50,55,60,65,70,75,80,85}, 1), "20-24", "25-29", "30-34", "35-39", "40-44", "45-49", "50-54", "55-59", "60-64", "65-69", "70-74", "75-79", "80-84", "85+")</f>
        <v>65-69</v>
      </c>
      <c r="D7015" t="s">
        <v>7</v>
      </c>
    </row>
    <row r="7016" spans="1:4">
      <c r="A7016" t="s">
        <v>6</v>
      </c>
      <c r="B7016">
        <v>57</v>
      </c>
      <c r="C7016" t="str">
        <f>CHOOSE(MATCH(B7016, {20,25,30,35,40,45,50,55,60,65,70,75,80,85}, 1), "20-24", "25-29", "30-34", "35-39", "40-44", "45-49", "50-54", "55-59", "60-64", "65-69", "70-74", "75-79", "80-84", "85+")</f>
        <v>55-59</v>
      </c>
      <c r="D7016" t="s">
        <v>8</v>
      </c>
    </row>
    <row r="7017" spans="1:4">
      <c r="A7017" t="s">
        <v>6</v>
      </c>
      <c r="B7017">
        <v>30</v>
      </c>
      <c r="C7017" t="str">
        <f>CHOOSE(MATCH(B7017, {20,25,30,35,40,45,50,55,60,65,70,75,80,85}, 1), "20-24", "25-29", "30-34", "35-39", "40-44", "45-49", "50-54", "55-59", "60-64", "65-69", "70-74", "75-79", "80-84", "85+")</f>
        <v>30-34</v>
      </c>
      <c r="D7017" t="s">
        <v>7</v>
      </c>
    </row>
    <row r="7018" spans="1:4">
      <c r="A7018" t="s">
        <v>6</v>
      </c>
      <c r="B7018">
        <v>22</v>
      </c>
      <c r="C7018" t="str">
        <f>CHOOSE(MATCH(B7018, {20,25,30,35,40,45,50,55,60,65,70,75,80,85}, 1), "20-24", "25-29", "30-34", "35-39", "40-44", "45-49", "50-54", "55-59", "60-64", "65-69", "70-74", "75-79", "80-84", "85+")</f>
        <v>20-24</v>
      </c>
      <c r="D7018" t="s">
        <v>7</v>
      </c>
    </row>
    <row r="7019" spans="1:4">
      <c r="A7019" t="s">
        <v>6</v>
      </c>
      <c r="B7019">
        <v>75</v>
      </c>
      <c r="C7019" t="str">
        <f>CHOOSE(MATCH(B7019, {20,25,30,35,40,45,50,55,60,65,70,75,80,85}, 1), "20-24", "25-29", "30-34", "35-39", "40-44", "45-49", "50-54", "55-59", "60-64", "65-69", "70-74", "75-79", "80-84", "85+")</f>
        <v>75-79</v>
      </c>
      <c r="D7019" t="s">
        <v>8</v>
      </c>
    </row>
    <row r="7020" spans="1:4">
      <c r="A7020" t="s">
        <v>6</v>
      </c>
      <c r="B7020">
        <v>26</v>
      </c>
      <c r="C7020" t="str">
        <f>CHOOSE(MATCH(B7020, {20,25,30,35,40,45,50,55,60,65,70,75,80,85}, 1), "20-24", "25-29", "30-34", "35-39", "40-44", "45-49", "50-54", "55-59", "60-64", "65-69", "70-74", "75-79", "80-84", "85+")</f>
        <v>25-29</v>
      </c>
      <c r="D7020" t="s">
        <v>8</v>
      </c>
    </row>
    <row r="7021" spans="1:4">
      <c r="A7021" t="s">
        <v>6</v>
      </c>
      <c r="B7021">
        <v>36</v>
      </c>
      <c r="C7021" t="str">
        <f>CHOOSE(MATCH(B7021, {20,25,30,35,40,45,50,55,60,65,70,75,80,85}, 1), "20-24", "25-29", "30-34", "35-39", "40-44", "45-49", "50-54", "55-59", "60-64", "65-69", "70-74", "75-79", "80-84", "85+")</f>
        <v>35-39</v>
      </c>
      <c r="D7021" t="s">
        <v>7</v>
      </c>
    </row>
    <row r="7022" spans="1:4">
      <c r="A7022" t="s">
        <v>6</v>
      </c>
      <c r="B7022">
        <v>33</v>
      </c>
      <c r="C7022" t="str">
        <f>CHOOSE(MATCH(B7022, {20,25,30,35,40,45,50,55,60,65,70,75,80,85}, 1), "20-24", "25-29", "30-34", "35-39", "40-44", "45-49", "50-54", "55-59", "60-64", "65-69", "70-74", "75-79", "80-84", "85+")</f>
        <v>30-34</v>
      </c>
      <c r="D7022" t="s">
        <v>8</v>
      </c>
    </row>
    <row r="7023" spans="1:4">
      <c r="A7023" t="s">
        <v>6</v>
      </c>
      <c r="B7023">
        <v>41</v>
      </c>
      <c r="C7023" t="str">
        <f>CHOOSE(MATCH(B7023, {20,25,30,35,40,45,50,55,60,65,70,75,80,85}, 1), "20-24", "25-29", "30-34", "35-39", "40-44", "45-49", "50-54", "55-59", "60-64", "65-69", "70-74", "75-79", "80-84", "85+")</f>
        <v>40-44</v>
      </c>
      <c r="D7023" t="s">
        <v>7</v>
      </c>
    </row>
    <row r="7024" spans="1:4">
      <c r="A7024" t="s">
        <v>6</v>
      </c>
      <c r="B7024">
        <v>27</v>
      </c>
      <c r="C7024" t="str">
        <f>CHOOSE(MATCH(B7024, {20,25,30,35,40,45,50,55,60,65,70,75,80,85}, 1), "20-24", "25-29", "30-34", "35-39", "40-44", "45-49", "50-54", "55-59", "60-64", "65-69", "70-74", "75-79", "80-84", "85+")</f>
        <v>25-29</v>
      </c>
      <c r="D7024" t="s">
        <v>8</v>
      </c>
    </row>
    <row r="7025" spans="1:4">
      <c r="A7025" t="s">
        <v>6</v>
      </c>
      <c r="B7025">
        <v>71</v>
      </c>
      <c r="C7025" t="str">
        <f>CHOOSE(MATCH(B7025, {20,25,30,35,40,45,50,55,60,65,70,75,80,85}, 1), "20-24", "25-29", "30-34", "35-39", "40-44", "45-49", "50-54", "55-59", "60-64", "65-69", "70-74", "75-79", "80-84", "85+")</f>
        <v>70-74</v>
      </c>
      <c r="D7025" t="s">
        <v>7</v>
      </c>
    </row>
    <row r="7026" spans="1:4">
      <c r="A7026" t="s">
        <v>6</v>
      </c>
      <c r="B7026">
        <v>32</v>
      </c>
      <c r="C7026" t="str">
        <f>CHOOSE(MATCH(B7026, {20,25,30,35,40,45,50,55,60,65,70,75,80,85}, 1), "20-24", "25-29", "30-34", "35-39", "40-44", "45-49", "50-54", "55-59", "60-64", "65-69", "70-74", "75-79", "80-84", "85+")</f>
        <v>30-34</v>
      </c>
      <c r="D7026" t="s">
        <v>8</v>
      </c>
    </row>
    <row r="7027" spans="1:4">
      <c r="A7027" t="s">
        <v>6</v>
      </c>
      <c r="B7027">
        <v>31</v>
      </c>
      <c r="C7027" t="str">
        <f>CHOOSE(MATCH(B7027, {20,25,30,35,40,45,50,55,60,65,70,75,80,85}, 1), "20-24", "25-29", "30-34", "35-39", "40-44", "45-49", "50-54", "55-59", "60-64", "65-69", "70-74", "75-79", "80-84", "85+")</f>
        <v>30-34</v>
      </c>
      <c r="D7027" t="s">
        <v>8</v>
      </c>
    </row>
    <row r="7028" spans="1:4">
      <c r="A7028" t="s">
        <v>6</v>
      </c>
      <c r="B7028">
        <v>39</v>
      </c>
      <c r="C7028" t="str">
        <f>CHOOSE(MATCH(B7028, {20,25,30,35,40,45,50,55,60,65,70,75,80,85}, 1), "20-24", "25-29", "30-34", "35-39", "40-44", "45-49", "50-54", "55-59", "60-64", "65-69", "70-74", "75-79", "80-84", "85+")</f>
        <v>35-39</v>
      </c>
      <c r="D7028" t="s">
        <v>8</v>
      </c>
    </row>
    <row r="7029" spans="1:4">
      <c r="A7029" t="s">
        <v>6</v>
      </c>
      <c r="B7029">
        <v>22</v>
      </c>
      <c r="C7029" t="str">
        <f>CHOOSE(MATCH(B7029, {20,25,30,35,40,45,50,55,60,65,70,75,80,85}, 1), "20-24", "25-29", "30-34", "35-39", "40-44", "45-49", "50-54", "55-59", "60-64", "65-69", "70-74", "75-79", "80-84", "85+")</f>
        <v>20-24</v>
      </c>
      <c r="D7029" t="s">
        <v>7</v>
      </c>
    </row>
    <row r="7030" spans="1:4">
      <c r="A7030" t="s">
        <v>6</v>
      </c>
      <c r="B7030">
        <v>33</v>
      </c>
      <c r="C7030" t="str">
        <f>CHOOSE(MATCH(B7030, {20,25,30,35,40,45,50,55,60,65,70,75,80,85}, 1), "20-24", "25-29", "30-34", "35-39", "40-44", "45-49", "50-54", "55-59", "60-64", "65-69", "70-74", "75-79", "80-84", "85+")</f>
        <v>30-34</v>
      </c>
      <c r="D7030" t="s">
        <v>8</v>
      </c>
    </row>
    <row r="7031" spans="1:4">
      <c r="A7031" t="s">
        <v>6</v>
      </c>
      <c r="B7031">
        <v>32</v>
      </c>
      <c r="C7031" t="str">
        <f>CHOOSE(MATCH(B7031, {20,25,30,35,40,45,50,55,60,65,70,75,80,85}, 1), "20-24", "25-29", "30-34", "35-39", "40-44", "45-49", "50-54", "55-59", "60-64", "65-69", "70-74", "75-79", "80-84", "85+")</f>
        <v>30-34</v>
      </c>
      <c r="D7031" t="s">
        <v>7</v>
      </c>
    </row>
    <row r="7032" spans="1:4">
      <c r="A7032" t="s">
        <v>6</v>
      </c>
      <c r="B7032">
        <v>31</v>
      </c>
      <c r="C7032" t="str">
        <f>CHOOSE(MATCH(B7032, {20,25,30,35,40,45,50,55,60,65,70,75,80,85}, 1), "20-24", "25-29", "30-34", "35-39", "40-44", "45-49", "50-54", "55-59", "60-64", "65-69", "70-74", "75-79", "80-84", "85+")</f>
        <v>30-34</v>
      </c>
      <c r="D7032" t="s">
        <v>7</v>
      </c>
    </row>
    <row r="7033" spans="1:4">
      <c r="A7033" t="s">
        <v>6</v>
      </c>
      <c r="B7033">
        <v>31</v>
      </c>
      <c r="C7033" t="str">
        <f>CHOOSE(MATCH(B7033, {20,25,30,35,40,45,50,55,60,65,70,75,80,85}, 1), "20-24", "25-29", "30-34", "35-39", "40-44", "45-49", "50-54", "55-59", "60-64", "65-69", "70-74", "75-79", "80-84", "85+")</f>
        <v>30-34</v>
      </c>
      <c r="D7033" t="s">
        <v>8</v>
      </c>
    </row>
    <row r="7034" spans="1:4">
      <c r="A7034" t="s">
        <v>6</v>
      </c>
      <c r="B7034">
        <v>36</v>
      </c>
      <c r="C7034" t="str">
        <f>CHOOSE(MATCH(B7034, {20,25,30,35,40,45,50,55,60,65,70,75,80,85}, 1), "20-24", "25-29", "30-34", "35-39", "40-44", "45-49", "50-54", "55-59", "60-64", "65-69", "70-74", "75-79", "80-84", "85+")</f>
        <v>35-39</v>
      </c>
      <c r="D7034" t="s">
        <v>8</v>
      </c>
    </row>
    <row r="7035" spans="1:4">
      <c r="A7035" t="s">
        <v>6</v>
      </c>
      <c r="B7035">
        <v>32</v>
      </c>
      <c r="C7035" t="str">
        <f>CHOOSE(MATCH(B7035, {20,25,30,35,40,45,50,55,60,65,70,75,80,85}, 1), "20-24", "25-29", "30-34", "35-39", "40-44", "45-49", "50-54", "55-59", "60-64", "65-69", "70-74", "75-79", "80-84", "85+")</f>
        <v>30-34</v>
      </c>
      <c r="D7035" t="s">
        <v>8</v>
      </c>
    </row>
    <row r="7036" spans="1:4">
      <c r="A7036" t="s">
        <v>6</v>
      </c>
      <c r="B7036">
        <v>49</v>
      </c>
      <c r="C7036" t="str">
        <f>CHOOSE(MATCH(B7036, {20,25,30,35,40,45,50,55,60,65,70,75,80,85}, 1), "20-24", "25-29", "30-34", "35-39", "40-44", "45-49", "50-54", "55-59", "60-64", "65-69", "70-74", "75-79", "80-84", "85+")</f>
        <v>45-49</v>
      </c>
      <c r="D7036" t="s">
        <v>8</v>
      </c>
    </row>
    <row r="7037" spans="1:4">
      <c r="A7037" t="s">
        <v>6</v>
      </c>
      <c r="B7037">
        <v>34</v>
      </c>
      <c r="C7037" t="str">
        <f>CHOOSE(MATCH(B7037, {20,25,30,35,40,45,50,55,60,65,70,75,80,85}, 1), "20-24", "25-29", "30-34", "35-39", "40-44", "45-49", "50-54", "55-59", "60-64", "65-69", "70-74", "75-79", "80-84", "85+")</f>
        <v>30-34</v>
      </c>
      <c r="D7037" t="s">
        <v>7</v>
      </c>
    </row>
    <row r="7038" spans="1:4">
      <c r="A7038" t="s">
        <v>6</v>
      </c>
      <c r="B7038">
        <v>36</v>
      </c>
      <c r="C7038" t="str">
        <f>CHOOSE(MATCH(B7038, {20,25,30,35,40,45,50,55,60,65,70,75,80,85}, 1), "20-24", "25-29", "30-34", "35-39", "40-44", "45-49", "50-54", "55-59", "60-64", "65-69", "70-74", "75-79", "80-84", "85+")</f>
        <v>35-39</v>
      </c>
      <c r="D7038" t="s">
        <v>7</v>
      </c>
    </row>
    <row r="7039" spans="1:4">
      <c r="A7039" t="s">
        <v>6</v>
      </c>
      <c r="B7039">
        <v>60</v>
      </c>
      <c r="C7039" t="str">
        <f>CHOOSE(MATCH(B7039, {20,25,30,35,40,45,50,55,60,65,70,75,80,85}, 1), "20-24", "25-29", "30-34", "35-39", "40-44", "45-49", "50-54", "55-59", "60-64", "65-69", "70-74", "75-79", "80-84", "85+")</f>
        <v>60-64</v>
      </c>
      <c r="D7039" t="s">
        <v>7</v>
      </c>
    </row>
    <row r="7040" spans="1:4">
      <c r="A7040" t="s">
        <v>6</v>
      </c>
      <c r="B7040">
        <v>35</v>
      </c>
      <c r="C7040" t="str">
        <f>CHOOSE(MATCH(B7040, {20,25,30,35,40,45,50,55,60,65,70,75,80,85}, 1), "20-24", "25-29", "30-34", "35-39", "40-44", "45-49", "50-54", "55-59", "60-64", "65-69", "70-74", "75-79", "80-84", "85+")</f>
        <v>35-39</v>
      </c>
      <c r="D7040" t="s">
        <v>8</v>
      </c>
    </row>
    <row r="7041" spans="1:4">
      <c r="A7041" t="s">
        <v>6</v>
      </c>
      <c r="B7041">
        <v>50</v>
      </c>
      <c r="C7041" t="str">
        <f>CHOOSE(MATCH(B7041, {20,25,30,35,40,45,50,55,60,65,70,75,80,85}, 1), "20-24", "25-29", "30-34", "35-39", "40-44", "45-49", "50-54", "55-59", "60-64", "65-69", "70-74", "75-79", "80-84", "85+")</f>
        <v>50-54</v>
      </c>
      <c r="D7041" t="s">
        <v>7</v>
      </c>
    </row>
    <row r="7042" spans="1:4">
      <c r="A7042" t="s">
        <v>6</v>
      </c>
      <c r="B7042">
        <v>24</v>
      </c>
      <c r="C7042" t="str">
        <f>CHOOSE(MATCH(B7042, {20,25,30,35,40,45,50,55,60,65,70,75,80,85}, 1), "20-24", "25-29", "30-34", "35-39", "40-44", "45-49", "50-54", "55-59", "60-64", "65-69", "70-74", "75-79", "80-84", "85+")</f>
        <v>20-24</v>
      </c>
      <c r="D7042" t="s">
        <v>8</v>
      </c>
    </row>
    <row r="7043" spans="1:4">
      <c r="A7043" t="s">
        <v>6</v>
      </c>
      <c r="B7043">
        <v>27</v>
      </c>
      <c r="C7043" t="str">
        <f>CHOOSE(MATCH(B7043, {20,25,30,35,40,45,50,55,60,65,70,75,80,85}, 1), "20-24", "25-29", "30-34", "35-39", "40-44", "45-49", "50-54", "55-59", "60-64", "65-69", "70-74", "75-79", "80-84", "85+")</f>
        <v>25-29</v>
      </c>
      <c r="D7043" t="s">
        <v>7</v>
      </c>
    </row>
    <row r="7044" spans="1:4">
      <c r="A7044" t="s">
        <v>6</v>
      </c>
      <c r="B7044">
        <v>64</v>
      </c>
      <c r="C7044" t="str">
        <f>CHOOSE(MATCH(B7044, {20,25,30,35,40,45,50,55,60,65,70,75,80,85}, 1), "20-24", "25-29", "30-34", "35-39", "40-44", "45-49", "50-54", "55-59", "60-64", "65-69", "70-74", "75-79", "80-84", "85+")</f>
        <v>60-64</v>
      </c>
      <c r="D7044" t="s">
        <v>7</v>
      </c>
    </row>
    <row r="7045" spans="1:4">
      <c r="A7045" t="s">
        <v>6</v>
      </c>
      <c r="B7045">
        <v>33</v>
      </c>
      <c r="C7045" t="str">
        <f>CHOOSE(MATCH(B7045, {20,25,30,35,40,45,50,55,60,65,70,75,80,85}, 1), "20-24", "25-29", "30-34", "35-39", "40-44", "45-49", "50-54", "55-59", "60-64", "65-69", "70-74", "75-79", "80-84", "85+")</f>
        <v>30-34</v>
      </c>
      <c r="D7045" t="s">
        <v>7</v>
      </c>
    </row>
    <row r="7046" spans="1:4">
      <c r="A7046" t="s">
        <v>6</v>
      </c>
      <c r="B7046">
        <v>63</v>
      </c>
      <c r="C7046" t="str">
        <f>CHOOSE(MATCH(B7046, {20,25,30,35,40,45,50,55,60,65,70,75,80,85}, 1), "20-24", "25-29", "30-34", "35-39", "40-44", "45-49", "50-54", "55-59", "60-64", "65-69", "70-74", "75-79", "80-84", "85+")</f>
        <v>60-64</v>
      </c>
      <c r="D7046" t="s">
        <v>7</v>
      </c>
    </row>
    <row r="7047" spans="1:4">
      <c r="A7047" t="s">
        <v>6</v>
      </c>
      <c r="B7047">
        <v>71</v>
      </c>
      <c r="C7047" t="str">
        <f>CHOOSE(MATCH(B7047, {20,25,30,35,40,45,50,55,60,65,70,75,80,85}, 1), "20-24", "25-29", "30-34", "35-39", "40-44", "45-49", "50-54", "55-59", "60-64", "65-69", "70-74", "75-79", "80-84", "85+")</f>
        <v>70-74</v>
      </c>
      <c r="D7047" t="s">
        <v>7</v>
      </c>
    </row>
    <row r="7048" spans="1:4">
      <c r="A7048" t="s">
        <v>6</v>
      </c>
      <c r="B7048">
        <v>39</v>
      </c>
      <c r="C7048" t="str">
        <f>CHOOSE(MATCH(B7048, {20,25,30,35,40,45,50,55,60,65,70,75,80,85}, 1), "20-24", "25-29", "30-34", "35-39", "40-44", "45-49", "50-54", "55-59", "60-64", "65-69", "70-74", "75-79", "80-84", "85+")</f>
        <v>35-39</v>
      </c>
      <c r="D7048" t="s">
        <v>7</v>
      </c>
    </row>
    <row r="7049" spans="1:4">
      <c r="A7049" t="s">
        <v>6</v>
      </c>
      <c r="B7049">
        <v>29</v>
      </c>
      <c r="C7049" t="str">
        <f>CHOOSE(MATCH(B7049, {20,25,30,35,40,45,50,55,60,65,70,75,80,85}, 1), "20-24", "25-29", "30-34", "35-39", "40-44", "45-49", "50-54", "55-59", "60-64", "65-69", "70-74", "75-79", "80-84", "85+")</f>
        <v>25-29</v>
      </c>
      <c r="D7049" t="s">
        <v>8</v>
      </c>
    </row>
    <row r="7050" spans="1:4">
      <c r="A7050" t="s">
        <v>6</v>
      </c>
      <c r="B7050">
        <v>56</v>
      </c>
      <c r="C7050" t="str">
        <f>CHOOSE(MATCH(B7050, {20,25,30,35,40,45,50,55,60,65,70,75,80,85}, 1), "20-24", "25-29", "30-34", "35-39", "40-44", "45-49", "50-54", "55-59", "60-64", "65-69", "70-74", "75-79", "80-84", "85+")</f>
        <v>55-59</v>
      </c>
      <c r="D7050" t="s">
        <v>7</v>
      </c>
    </row>
    <row r="7051" spans="1:4">
      <c r="A7051" t="s">
        <v>6</v>
      </c>
      <c r="B7051">
        <v>34</v>
      </c>
      <c r="C7051" t="str">
        <f>CHOOSE(MATCH(B7051, {20,25,30,35,40,45,50,55,60,65,70,75,80,85}, 1), "20-24", "25-29", "30-34", "35-39", "40-44", "45-49", "50-54", "55-59", "60-64", "65-69", "70-74", "75-79", "80-84", "85+")</f>
        <v>30-34</v>
      </c>
      <c r="D7051" t="s">
        <v>8</v>
      </c>
    </row>
    <row r="7052" spans="1:4">
      <c r="A7052" t="s">
        <v>6</v>
      </c>
      <c r="B7052">
        <v>72</v>
      </c>
      <c r="C7052" t="str">
        <f>CHOOSE(MATCH(B7052, {20,25,30,35,40,45,50,55,60,65,70,75,80,85}, 1), "20-24", "25-29", "30-34", "35-39", "40-44", "45-49", "50-54", "55-59", "60-64", "65-69", "70-74", "75-79", "80-84", "85+")</f>
        <v>70-74</v>
      </c>
      <c r="D7052" t="s">
        <v>8</v>
      </c>
    </row>
    <row r="7053" spans="1:4">
      <c r="A7053" t="s">
        <v>6</v>
      </c>
      <c r="B7053">
        <v>58</v>
      </c>
      <c r="C7053" t="str">
        <f>CHOOSE(MATCH(B7053, {20,25,30,35,40,45,50,55,60,65,70,75,80,85}, 1), "20-24", "25-29", "30-34", "35-39", "40-44", "45-49", "50-54", "55-59", "60-64", "65-69", "70-74", "75-79", "80-84", "85+")</f>
        <v>55-59</v>
      </c>
      <c r="D7053" t="s">
        <v>7</v>
      </c>
    </row>
    <row r="7054" spans="1:4">
      <c r="A7054" t="s">
        <v>6</v>
      </c>
      <c r="B7054">
        <v>58</v>
      </c>
      <c r="C7054" t="str">
        <f>CHOOSE(MATCH(B7054, {20,25,30,35,40,45,50,55,60,65,70,75,80,85}, 1), "20-24", "25-29", "30-34", "35-39", "40-44", "45-49", "50-54", "55-59", "60-64", "65-69", "70-74", "75-79", "80-84", "85+")</f>
        <v>55-59</v>
      </c>
      <c r="D7054" t="s">
        <v>8</v>
      </c>
    </row>
    <row r="7055" spans="1:4">
      <c r="A7055" t="s">
        <v>6</v>
      </c>
      <c r="B7055">
        <v>27</v>
      </c>
      <c r="C7055" t="str">
        <f>CHOOSE(MATCH(B7055, {20,25,30,35,40,45,50,55,60,65,70,75,80,85}, 1), "20-24", "25-29", "30-34", "35-39", "40-44", "45-49", "50-54", "55-59", "60-64", "65-69", "70-74", "75-79", "80-84", "85+")</f>
        <v>25-29</v>
      </c>
      <c r="D7055" t="s">
        <v>7</v>
      </c>
    </row>
    <row r="7056" spans="1:4">
      <c r="A7056" t="s">
        <v>6</v>
      </c>
      <c r="B7056">
        <v>28</v>
      </c>
      <c r="C7056" t="str">
        <f>CHOOSE(MATCH(B7056, {20,25,30,35,40,45,50,55,60,65,70,75,80,85}, 1), "20-24", "25-29", "30-34", "35-39", "40-44", "45-49", "50-54", "55-59", "60-64", "65-69", "70-74", "75-79", "80-84", "85+")</f>
        <v>25-29</v>
      </c>
      <c r="D7056" t="s">
        <v>8</v>
      </c>
    </row>
    <row r="7057" spans="1:4">
      <c r="A7057" t="s">
        <v>6</v>
      </c>
      <c r="B7057">
        <v>37</v>
      </c>
      <c r="C7057" t="str">
        <f>CHOOSE(MATCH(B7057, {20,25,30,35,40,45,50,55,60,65,70,75,80,85}, 1), "20-24", "25-29", "30-34", "35-39", "40-44", "45-49", "50-54", "55-59", "60-64", "65-69", "70-74", "75-79", "80-84", "85+")</f>
        <v>35-39</v>
      </c>
      <c r="D7057" t="s">
        <v>7</v>
      </c>
    </row>
    <row r="7058" spans="1:4">
      <c r="A7058" t="s">
        <v>6</v>
      </c>
      <c r="B7058">
        <v>40</v>
      </c>
      <c r="C7058" t="str">
        <f>CHOOSE(MATCH(B7058, {20,25,30,35,40,45,50,55,60,65,70,75,80,85}, 1), "20-24", "25-29", "30-34", "35-39", "40-44", "45-49", "50-54", "55-59", "60-64", "65-69", "70-74", "75-79", "80-84", "85+")</f>
        <v>40-44</v>
      </c>
      <c r="D7058" t="s">
        <v>7</v>
      </c>
    </row>
    <row r="7059" spans="1:4">
      <c r="A7059" t="s">
        <v>6</v>
      </c>
      <c r="B7059">
        <v>33</v>
      </c>
      <c r="C7059" t="str">
        <f>CHOOSE(MATCH(B7059, {20,25,30,35,40,45,50,55,60,65,70,75,80,85}, 1), "20-24", "25-29", "30-34", "35-39", "40-44", "45-49", "50-54", "55-59", "60-64", "65-69", "70-74", "75-79", "80-84", "85+")</f>
        <v>30-34</v>
      </c>
      <c r="D7059" t="s">
        <v>7</v>
      </c>
    </row>
    <row r="7060" spans="1:4">
      <c r="A7060" t="s">
        <v>6</v>
      </c>
      <c r="B7060">
        <v>64</v>
      </c>
      <c r="C7060" t="str">
        <f>CHOOSE(MATCH(B7060, {20,25,30,35,40,45,50,55,60,65,70,75,80,85}, 1), "20-24", "25-29", "30-34", "35-39", "40-44", "45-49", "50-54", "55-59", "60-64", "65-69", "70-74", "75-79", "80-84", "85+")</f>
        <v>60-64</v>
      </c>
      <c r="D7060" t="s">
        <v>8</v>
      </c>
    </row>
    <row r="7061" spans="1:4">
      <c r="A7061" t="s">
        <v>6</v>
      </c>
      <c r="B7061">
        <v>26</v>
      </c>
      <c r="C7061" t="str">
        <f>CHOOSE(MATCH(B7061, {20,25,30,35,40,45,50,55,60,65,70,75,80,85}, 1), "20-24", "25-29", "30-34", "35-39", "40-44", "45-49", "50-54", "55-59", "60-64", "65-69", "70-74", "75-79", "80-84", "85+")</f>
        <v>25-29</v>
      </c>
      <c r="D7061" t="s">
        <v>7</v>
      </c>
    </row>
    <row r="7062" spans="1:4">
      <c r="A7062" t="s">
        <v>6</v>
      </c>
      <c r="B7062">
        <v>28</v>
      </c>
      <c r="C7062" t="str">
        <f>CHOOSE(MATCH(B7062, {20,25,30,35,40,45,50,55,60,65,70,75,80,85}, 1), "20-24", "25-29", "30-34", "35-39", "40-44", "45-49", "50-54", "55-59", "60-64", "65-69", "70-74", "75-79", "80-84", "85+")</f>
        <v>25-29</v>
      </c>
      <c r="D7062" t="s">
        <v>7</v>
      </c>
    </row>
    <row r="7063" spans="1:4">
      <c r="A7063" t="s">
        <v>6</v>
      </c>
      <c r="B7063">
        <v>71</v>
      </c>
      <c r="C7063" t="str">
        <f>CHOOSE(MATCH(B7063, {20,25,30,35,40,45,50,55,60,65,70,75,80,85}, 1), "20-24", "25-29", "30-34", "35-39", "40-44", "45-49", "50-54", "55-59", "60-64", "65-69", "70-74", "75-79", "80-84", "85+")</f>
        <v>70-74</v>
      </c>
      <c r="D7063" t="s">
        <v>8</v>
      </c>
    </row>
    <row r="7064" spans="1:4">
      <c r="A7064" t="s">
        <v>6</v>
      </c>
      <c r="B7064">
        <v>52</v>
      </c>
      <c r="C7064" t="str">
        <f>CHOOSE(MATCH(B7064, {20,25,30,35,40,45,50,55,60,65,70,75,80,85}, 1), "20-24", "25-29", "30-34", "35-39", "40-44", "45-49", "50-54", "55-59", "60-64", "65-69", "70-74", "75-79", "80-84", "85+")</f>
        <v>50-54</v>
      </c>
      <c r="D7064" t="s">
        <v>8</v>
      </c>
    </row>
    <row r="7065" spans="1:4">
      <c r="A7065" t="s">
        <v>6</v>
      </c>
      <c r="B7065">
        <v>50</v>
      </c>
      <c r="C7065" t="str">
        <f>CHOOSE(MATCH(B7065, {20,25,30,35,40,45,50,55,60,65,70,75,80,85}, 1), "20-24", "25-29", "30-34", "35-39", "40-44", "45-49", "50-54", "55-59", "60-64", "65-69", "70-74", "75-79", "80-84", "85+")</f>
        <v>50-54</v>
      </c>
      <c r="D7065" t="s">
        <v>8</v>
      </c>
    </row>
    <row r="7066" spans="1:4">
      <c r="A7066" t="s">
        <v>6</v>
      </c>
      <c r="B7066">
        <v>24</v>
      </c>
      <c r="C7066" t="str">
        <f>CHOOSE(MATCH(B7066, {20,25,30,35,40,45,50,55,60,65,70,75,80,85}, 1), "20-24", "25-29", "30-34", "35-39", "40-44", "45-49", "50-54", "55-59", "60-64", "65-69", "70-74", "75-79", "80-84", "85+")</f>
        <v>20-24</v>
      </c>
      <c r="D7066" t="s">
        <v>7</v>
      </c>
    </row>
    <row r="7067" spans="1:4">
      <c r="A7067" t="s">
        <v>6</v>
      </c>
      <c r="B7067">
        <v>49</v>
      </c>
      <c r="C7067" t="str">
        <f>CHOOSE(MATCH(B7067, {20,25,30,35,40,45,50,55,60,65,70,75,80,85}, 1), "20-24", "25-29", "30-34", "35-39", "40-44", "45-49", "50-54", "55-59", "60-64", "65-69", "70-74", "75-79", "80-84", "85+")</f>
        <v>45-49</v>
      </c>
      <c r="D7067" t="s">
        <v>7</v>
      </c>
    </row>
    <row r="7068" spans="1:4">
      <c r="A7068" t="s">
        <v>6</v>
      </c>
      <c r="B7068">
        <v>50</v>
      </c>
      <c r="C7068" t="str">
        <f>CHOOSE(MATCH(B7068, {20,25,30,35,40,45,50,55,60,65,70,75,80,85}, 1), "20-24", "25-29", "30-34", "35-39", "40-44", "45-49", "50-54", "55-59", "60-64", "65-69", "70-74", "75-79", "80-84", "85+")</f>
        <v>50-54</v>
      </c>
      <c r="D7068" t="s">
        <v>7</v>
      </c>
    </row>
    <row r="7069" spans="1:4">
      <c r="A7069" t="s">
        <v>6</v>
      </c>
      <c r="B7069">
        <v>41</v>
      </c>
      <c r="C7069" t="str">
        <f>CHOOSE(MATCH(B7069, {20,25,30,35,40,45,50,55,60,65,70,75,80,85}, 1), "20-24", "25-29", "30-34", "35-39", "40-44", "45-49", "50-54", "55-59", "60-64", "65-69", "70-74", "75-79", "80-84", "85+")</f>
        <v>40-44</v>
      </c>
      <c r="D7069" t="s">
        <v>7</v>
      </c>
    </row>
    <row r="7070" spans="1:4">
      <c r="A7070" t="s">
        <v>6</v>
      </c>
      <c r="B7070">
        <v>30</v>
      </c>
      <c r="C7070" t="str">
        <f>CHOOSE(MATCH(B7070, {20,25,30,35,40,45,50,55,60,65,70,75,80,85}, 1), "20-24", "25-29", "30-34", "35-39", "40-44", "45-49", "50-54", "55-59", "60-64", "65-69", "70-74", "75-79", "80-84", "85+")</f>
        <v>30-34</v>
      </c>
      <c r="D7070" t="s">
        <v>7</v>
      </c>
    </row>
    <row r="7071" spans="1:4">
      <c r="A7071" t="s">
        <v>6</v>
      </c>
      <c r="B7071">
        <v>42</v>
      </c>
      <c r="C7071" t="str">
        <f>CHOOSE(MATCH(B7071, {20,25,30,35,40,45,50,55,60,65,70,75,80,85}, 1), "20-24", "25-29", "30-34", "35-39", "40-44", "45-49", "50-54", "55-59", "60-64", "65-69", "70-74", "75-79", "80-84", "85+")</f>
        <v>40-44</v>
      </c>
      <c r="D7071" t="s">
        <v>8</v>
      </c>
    </row>
    <row r="7072" spans="1:4">
      <c r="A7072" t="s">
        <v>6</v>
      </c>
      <c r="B7072">
        <v>34</v>
      </c>
      <c r="C7072" t="str">
        <f>CHOOSE(MATCH(B7072, {20,25,30,35,40,45,50,55,60,65,70,75,80,85}, 1), "20-24", "25-29", "30-34", "35-39", "40-44", "45-49", "50-54", "55-59", "60-64", "65-69", "70-74", "75-79", "80-84", "85+")</f>
        <v>30-34</v>
      </c>
      <c r="D7072" t="s">
        <v>7</v>
      </c>
    </row>
    <row r="7073" spans="1:4">
      <c r="A7073" t="s">
        <v>6</v>
      </c>
      <c r="B7073">
        <v>54</v>
      </c>
      <c r="C7073" t="str">
        <f>CHOOSE(MATCH(B7073, {20,25,30,35,40,45,50,55,60,65,70,75,80,85}, 1), "20-24", "25-29", "30-34", "35-39", "40-44", "45-49", "50-54", "55-59", "60-64", "65-69", "70-74", "75-79", "80-84", "85+")</f>
        <v>50-54</v>
      </c>
      <c r="D7073" t="s">
        <v>8</v>
      </c>
    </row>
    <row r="7074" spans="1:4">
      <c r="A7074" t="s">
        <v>6</v>
      </c>
      <c r="B7074">
        <v>57</v>
      </c>
      <c r="C7074" t="str">
        <f>CHOOSE(MATCH(B7074, {20,25,30,35,40,45,50,55,60,65,70,75,80,85}, 1), "20-24", "25-29", "30-34", "35-39", "40-44", "45-49", "50-54", "55-59", "60-64", "65-69", "70-74", "75-79", "80-84", "85+")</f>
        <v>55-59</v>
      </c>
      <c r="D7074" t="s">
        <v>7</v>
      </c>
    </row>
    <row r="7075" spans="1:4">
      <c r="A7075" t="s">
        <v>6</v>
      </c>
      <c r="B7075">
        <v>35</v>
      </c>
      <c r="C7075" t="str">
        <f>CHOOSE(MATCH(B7075, {20,25,30,35,40,45,50,55,60,65,70,75,80,85}, 1), "20-24", "25-29", "30-34", "35-39", "40-44", "45-49", "50-54", "55-59", "60-64", "65-69", "70-74", "75-79", "80-84", "85+")</f>
        <v>35-39</v>
      </c>
      <c r="D7075" t="s">
        <v>8</v>
      </c>
    </row>
    <row r="7076" spans="1:4">
      <c r="A7076" t="s">
        <v>6</v>
      </c>
      <c r="B7076">
        <v>48</v>
      </c>
      <c r="C7076" t="str">
        <f>CHOOSE(MATCH(B7076, {20,25,30,35,40,45,50,55,60,65,70,75,80,85}, 1), "20-24", "25-29", "30-34", "35-39", "40-44", "45-49", "50-54", "55-59", "60-64", "65-69", "70-74", "75-79", "80-84", "85+")</f>
        <v>45-49</v>
      </c>
      <c r="D7076" t="s">
        <v>7</v>
      </c>
    </row>
    <row r="7077" spans="1:4">
      <c r="A7077" t="s">
        <v>6</v>
      </c>
      <c r="B7077">
        <v>39</v>
      </c>
      <c r="C7077" t="str">
        <f>CHOOSE(MATCH(B7077, {20,25,30,35,40,45,50,55,60,65,70,75,80,85}, 1), "20-24", "25-29", "30-34", "35-39", "40-44", "45-49", "50-54", "55-59", "60-64", "65-69", "70-74", "75-79", "80-84", "85+")</f>
        <v>35-39</v>
      </c>
      <c r="D7077" t="s">
        <v>8</v>
      </c>
    </row>
    <row r="7078" spans="1:4">
      <c r="A7078" t="s">
        <v>6</v>
      </c>
      <c r="B7078">
        <v>33</v>
      </c>
      <c r="C7078" t="str">
        <f>CHOOSE(MATCH(B7078, {20,25,30,35,40,45,50,55,60,65,70,75,80,85}, 1), "20-24", "25-29", "30-34", "35-39", "40-44", "45-49", "50-54", "55-59", "60-64", "65-69", "70-74", "75-79", "80-84", "85+")</f>
        <v>30-34</v>
      </c>
      <c r="D7078" t="s">
        <v>8</v>
      </c>
    </row>
    <row r="7079" spans="1:4">
      <c r="A7079" t="s">
        <v>6</v>
      </c>
      <c r="B7079">
        <v>44</v>
      </c>
      <c r="C7079" t="str">
        <f>CHOOSE(MATCH(B7079, {20,25,30,35,40,45,50,55,60,65,70,75,80,85}, 1), "20-24", "25-29", "30-34", "35-39", "40-44", "45-49", "50-54", "55-59", "60-64", "65-69", "70-74", "75-79", "80-84", "85+")</f>
        <v>40-44</v>
      </c>
      <c r="D7079" t="s">
        <v>7</v>
      </c>
    </row>
    <row r="7080" spans="1:4">
      <c r="A7080" t="s">
        <v>6</v>
      </c>
      <c r="B7080">
        <v>36</v>
      </c>
      <c r="C7080" t="str">
        <f>CHOOSE(MATCH(B7080, {20,25,30,35,40,45,50,55,60,65,70,75,80,85}, 1), "20-24", "25-29", "30-34", "35-39", "40-44", "45-49", "50-54", "55-59", "60-64", "65-69", "70-74", "75-79", "80-84", "85+")</f>
        <v>35-39</v>
      </c>
      <c r="D7080" t="s">
        <v>7</v>
      </c>
    </row>
    <row r="7081" spans="1:4">
      <c r="A7081" t="s">
        <v>6</v>
      </c>
      <c r="B7081">
        <v>20</v>
      </c>
      <c r="C7081" t="str">
        <f>CHOOSE(MATCH(B7081, {20,25,30,35,40,45,50,55,60,65,70,75,80,85}, 1), "20-24", "25-29", "30-34", "35-39", "40-44", "45-49", "50-54", "55-59", "60-64", "65-69", "70-74", "75-79", "80-84", "85+")</f>
        <v>20-24</v>
      </c>
      <c r="D7081" t="s">
        <v>8</v>
      </c>
    </row>
    <row r="7082" spans="1:4">
      <c r="A7082" t="s">
        <v>6</v>
      </c>
      <c r="B7082">
        <v>26</v>
      </c>
      <c r="C7082" t="str">
        <f>CHOOSE(MATCH(B7082, {20,25,30,35,40,45,50,55,60,65,70,75,80,85}, 1), "20-24", "25-29", "30-34", "35-39", "40-44", "45-49", "50-54", "55-59", "60-64", "65-69", "70-74", "75-79", "80-84", "85+")</f>
        <v>25-29</v>
      </c>
      <c r="D7082" t="s">
        <v>7</v>
      </c>
    </row>
    <row r="7083" spans="1:4">
      <c r="A7083" t="s">
        <v>6</v>
      </c>
      <c r="B7083">
        <v>25</v>
      </c>
      <c r="C7083" t="str">
        <f>CHOOSE(MATCH(B7083, {20,25,30,35,40,45,50,55,60,65,70,75,80,85}, 1), "20-24", "25-29", "30-34", "35-39", "40-44", "45-49", "50-54", "55-59", "60-64", "65-69", "70-74", "75-79", "80-84", "85+")</f>
        <v>25-29</v>
      </c>
      <c r="D7083" t="s">
        <v>7</v>
      </c>
    </row>
    <row r="7084" spans="1:4">
      <c r="A7084" t="s">
        <v>6</v>
      </c>
      <c r="B7084">
        <v>71</v>
      </c>
      <c r="C7084" t="str">
        <f>CHOOSE(MATCH(B7084, {20,25,30,35,40,45,50,55,60,65,70,75,80,85}, 1), "20-24", "25-29", "30-34", "35-39", "40-44", "45-49", "50-54", "55-59", "60-64", "65-69", "70-74", "75-79", "80-84", "85+")</f>
        <v>70-74</v>
      </c>
      <c r="D7084" t="s">
        <v>7</v>
      </c>
    </row>
    <row r="7085" spans="1:4">
      <c r="A7085" t="s">
        <v>6</v>
      </c>
      <c r="B7085">
        <v>30</v>
      </c>
      <c r="C7085" t="str">
        <f>CHOOSE(MATCH(B7085, {20,25,30,35,40,45,50,55,60,65,70,75,80,85}, 1), "20-24", "25-29", "30-34", "35-39", "40-44", "45-49", "50-54", "55-59", "60-64", "65-69", "70-74", "75-79", "80-84", "85+")</f>
        <v>30-34</v>
      </c>
      <c r="D7085" t="s">
        <v>7</v>
      </c>
    </row>
    <row r="7086" spans="1:4">
      <c r="A7086" t="s">
        <v>6</v>
      </c>
      <c r="B7086">
        <v>79</v>
      </c>
      <c r="C7086" t="str">
        <f>CHOOSE(MATCH(B7086, {20,25,30,35,40,45,50,55,60,65,70,75,80,85}, 1), "20-24", "25-29", "30-34", "35-39", "40-44", "45-49", "50-54", "55-59", "60-64", "65-69", "70-74", "75-79", "80-84", "85+")</f>
        <v>75-79</v>
      </c>
      <c r="D7086" t="s">
        <v>7</v>
      </c>
    </row>
    <row r="7087" spans="1:4">
      <c r="A7087" t="s">
        <v>6</v>
      </c>
      <c r="B7087">
        <v>79</v>
      </c>
      <c r="C7087" t="str">
        <f>CHOOSE(MATCH(B7087, {20,25,30,35,40,45,50,55,60,65,70,75,80,85}, 1), "20-24", "25-29", "30-34", "35-39", "40-44", "45-49", "50-54", "55-59", "60-64", "65-69", "70-74", "75-79", "80-84", "85+")</f>
        <v>75-79</v>
      </c>
      <c r="D7087" t="s">
        <v>7</v>
      </c>
    </row>
    <row r="7088" spans="1:4">
      <c r="A7088" t="s">
        <v>6</v>
      </c>
      <c r="B7088">
        <v>37</v>
      </c>
      <c r="C7088" t="str">
        <f>CHOOSE(MATCH(B7088, {20,25,30,35,40,45,50,55,60,65,70,75,80,85}, 1), "20-24", "25-29", "30-34", "35-39", "40-44", "45-49", "50-54", "55-59", "60-64", "65-69", "70-74", "75-79", "80-84", "85+")</f>
        <v>35-39</v>
      </c>
      <c r="D7088" t="s">
        <v>7</v>
      </c>
    </row>
    <row r="7089" spans="1:4">
      <c r="A7089" t="s">
        <v>6</v>
      </c>
      <c r="B7089">
        <v>30</v>
      </c>
      <c r="C7089" t="str">
        <f>CHOOSE(MATCH(B7089, {20,25,30,35,40,45,50,55,60,65,70,75,80,85}, 1), "20-24", "25-29", "30-34", "35-39", "40-44", "45-49", "50-54", "55-59", "60-64", "65-69", "70-74", "75-79", "80-84", "85+")</f>
        <v>30-34</v>
      </c>
      <c r="D7089" t="s">
        <v>7</v>
      </c>
    </row>
    <row r="7090" spans="1:4">
      <c r="A7090" t="s">
        <v>6</v>
      </c>
      <c r="B7090">
        <v>37</v>
      </c>
      <c r="C7090" t="str">
        <f>CHOOSE(MATCH(B7090, {20,25,30,35,40,45,50,55,60,65,70,75,80,85}, 1), "20-24", "25-29", "30-34", "35-39", "40-44", "45-49", "50-54", "55-59", "60-64", "65-69", "70-74", "75-79", "80-84", "85+")</f>
        <v>35-39</v>
      </c>
      <c r="D7090" t="s">
        <v>7</v>
      </c>
    </row>
    <row r="7091" spans="1:4">
      <c r="A7091" t="s">
        <v>6</v>
      </c>
      <c r="B7091">
        <v>71</v>
      </c>
      <c r="C7091" t="str">
        <f>CHOOSE(MATCH(B7091, {20,25,30,35,40,45,50,55,60,65,70,75,80,85}, 1), "20-24", "25-29", "30-34", "35-39", "40-44", "45-49", "50-54", "55-59", "60-64", "65-69", "70-74", "75-79", "80-84", "85+")</f>
        <v>70-74</v>
      </c>
      <c r="D7091" t="s">
        <v>8</v>
      </c>
    </row>
    <row r="7092" spans="1:4">
      <c r="A7092" t="s">
        <v>6</v>
      </c>
      <c r="B7092">
        <v>25</v>
      </c>
      <c r="C7092" t="str">
        <f>CHOOSE(MATCH(B7092, {20,25,30,35,40,45,50,55,60,65,70,75,80,85}, 1), "20-24", "25-29", "30-34", "35-39", "40-44", "45-49", "50-54", "55-59", "60-64", "65-69", "70-74", "75-79", "80-84", "85+")</f>
        <v>25-29</v>
      </c>
      <c r="D7092" t="s">
        <v>7</v>
      </c>
    </row>
    <row r="7093" spans="1:4">
      <c r="A7093" t="s">
        <v>6</v>
      </c>
      <c r="B7093">
        <v>36</v>
      </c>
      <c r="C7093" t="str">
        <f>CHOOSE(MATCH(B7093, {20,25,30,35,40,45,50,55,60,65,70,75,80,85}, 1), "20-24", "25-29", "30-34", "35-39", "40-44", "45-49", "50-54", "55-59", "60-64", "65-69", "70-74", "75-79", "80-84", "85+")</f>
        <v>35-39</v>
      </c>
      <c r="D7093" t="s">
        <v>7</v>
      </c>
    </row>
    <row r="7094" spans="1:4">
      <c r="A7094" t="s">
        <v>6</v>
      </c>
      <c r="B7094">
        <v>28</v>
      </c>
      <c r="C7094" t="str">
        <f>CHOOSE(MATCH(B7094, {20,25,30,35,40,45,50,55,60,65,70,75,80,85}, 1), "20-24", "25-29", "30-34", "35-39", "40-44", "45-49", "50-54", "55-59", "60-64", "65-69", "70-74", "75-79", "80-84", "85+")</f>
        <v>25-29</v>
      </c>
      <c r="D7094" t="s">
        <v>7</v>
      </c>
    </row>
    <row r="7095" spans="1:4">
      <c r="A7095" t="s">
        <v>6</v>
      </c>
      <c r="B7095">
        <v>53</v>
      </c>
      <c r="C7095" t="str">
        <f>CHOOSE(MATCH(B7095, {20,25,30,35,40,45,50,55,60,65,70,75,80,85}, 1), "20-24", "25-29", "30-34", "35-39", "40-44", "45-49", "50-54", "55-59", "60-64", "65-69", "70-74", "75-79", "80-84", "85+")</f>
        <v>50-54</v>
      </c>
      <c r="D7095" t="s">
        <v>8</v>
      </c>
    </row>
    <row r="7096" spans="1:4">
      <c r="A7096" t="s">
        <v>6</v>
      </c>
      <c r="B7096">
        <v>36</v>
      </c>
      <c r="C7096" t="str">
        <f>CHOOSE(MATCH(B7096, {20,25,30,35,40,45,50,55,60,65,70,75,80,85}, 1), "20-24", "25-29", "30-34", "35-39", "40-44", "45-49", "50-54", "55-59", "60-64", "65-69", "70-74", "75-79", "80-84", "85+")</f>
        <v>35-39</v>
      </c>
      <c r="D7096" t="s">
        <v>7</v>
      </c>
    </row>
    <row r="7097" spans="1:4">
      <c r="A7097" t="s">
        <v>6</v>
      </c>
      <c r="B7097">
        <v>68</v>
      </c>
      <c r="C7097" t="str">
        <f>CHOOSE(MATCH(B7097, {20,25,30,35,40,45,50,55,60,65,70,75,80,85}, 1), "20-24", "25-29", "30-34", "35-39", "40-44", "45-49", "50-54", "55-59", "60-64", "65-69", "70-74", "75-79", "80-84", "85+")</f>
        <v>65-69</v>
      </c>
      <c r="D7097" t="s">
        <v>7</v>
      </c>
    </row>
    <row r="7098" spans="1:4">
      <c r="A7098" t="s">
        <v>6</v>
      </c>
      <c r="B7098">
        <v>39</v>
      </c>
      <c r="C7098" t="str">
        <f>CHOOSE(MATCH(B7098, {20,25,30,35,40,45,50,55,60,65,70,75,80,85}, 1), "20-24", "25-29", "30-34", "35-39", "40-44", "45-49", "50-54", "55-59", "60-64", "65-69", "70-74", "75-79", "80-84", "85+")</f>
        <v>35-39</v>
      </c>
      <c r="D7098" t="s">
        <v>8</v>
      </c>
    </row>
    <row r="7099" spans="1:4">
      <c r="A7099" t="s">
        <v>6</v>
      </c>
      <c r="B7099">
        <v>30</v>
      </c>
      <c r="C7099" t="str">
        <f>CHOOSE(MATCH(B7099, {20,25,30,35,40,45,50,55,60,65,70,75,80,85}, 1), "20-24", "25-29", "30-34", "35-39", "40-44", "45-49", "50-54", "55-59", "60-64", "65-69", "70-74", "75-79", "80-84", "85+")</f>
        <v>30-34</v>
      </c>
      <c r="D7099" t="s">
        <v>7</v>
      </c>
    </row>
    <row r="7100" spans="1:4">
      <c r="A7100" t="s">
        <v>6</v>
      </c>
      <c r="B7100">
        <v>45</v>
      </c>
      <c r="C7100" t="str">
        <f>CHOOSE(MATCH(B7100, {20,25,30,35,40,45,50,55,60,65,70,75,80,85}, 1), "20-24", "25-29", "30-34", "35-39", "40-44", "45-49", "50-54", "55-59", "60-64", "65-69", "70-74", "75-79", "80-84", "85+")</f>
        <v>45-49</v>
      </c>
      <c r="D7100" t="s">
        <v>7</v>
      </c>
    </row>
    <row r="7101" spans="1:4">
      <c r="A7101" t="s">
        <v>6</v>
      </c>
      <c r="B7101">
        <v>67</v>
      </c>
      <c r="C7101" t="str">
        <f>CHOOSE(MATCH(B7101, {20,25,30,35,40,45,50,55,60,65,70,75,80,85}, 1), "20-24", "25-29", "30-34", "35-39", "40-44", "45-49", "50-54", "55-59", "60-64", "65-69", "70-74", "75-79", "80-84", "85+")</f>
        <v>65-69</v>
      </c>
      <c r="D7101" t="s">
        <v>8</v>
      </c>
    </row>
    <row r="7102" spans="1:4">
      <c r="A7102" t="s">
        <v>6</v>
      </c>
      <c r="B7102">
        <v>38</v>
      </c>
      <c r="C7102" t="str">
        <f>CHOOSE(MATCH(B7102, {20,25,30,35,40,45,50,55,60,65,70,75,80,85}, 1), "20-24", "25-29", "30-34", "35-39", "40-44", "45-49", "50-54", "55-59", "60-64", "65-69", "70-74", "75-79", "80-84", "85+")</f>
        <v>35-39</v>
      </c>
      <c r="D7102" t="s">
        <v>8</v>
      </c>
    </row>
    <row r="7103" spans="1:4">
      <c r="A7103" t="s">
        <v>6</v>
      </c>
      <c r="B7103">
        <v>66</v>
      </c>
      <c r="C7103" t="str">
        <f>CHOOSE(MATCH(B7103, {20,25,30,35,40,45,50,55,60,65,70,75,80,85}, 1), "20-24", "25-29", "30-34", "35-39", "40-44", "45-49", "50-54", "55-59", "60-64", "65-69", "70-74", "75-79", "80-84", "85+")</f>
        <v>65-69</v>
      </c>
      <c r="D7103" t="s">
        <v>8</v>
      </c>
    </row>
    <row r="7104" spans="1:4">
      <c r="A7104" t="s">
        <v>6</v>
      </c>
      <c r="B7104">
        <v>43</v>
      </c>
      <c r="C7104" t="str">
        <f>CHOOSE(MATCH(B7104, {20,25,30,35,40,45,50,55,60,65,70,75,80,85}, 1), "20-24", "25-29", "30-34", "35-39", "40-44", "45-49", "50-54", "55-59", "60-64", "65-69", "70-74", "75-79", "80-84", "85+")</f>
        <v>40-44</v>
      </c>
      <c r="D7104" t="s">
        <v>8</v>
      </c>
    </row>
    <row r="7105" spans="1:4">
      <c r="A7105" t="s">
        <v>6</v>
      </c>
      <c r="B7105">
        <v>29</v>
      </c>
      <c r="C7105" t="str">
        <f>CHOOSE(MATCH(B7105, {20,25,30,35,40,45,50,55,60,65,70,75,80,85}, 1), "20-24", "25-29", "30-34", "35-39", "40-44", "45-49", "50-54", "55-59", "60-64", "65-69", "70-74", "75-79", "80-84", "85+")</f>
        <v>25-29</v>
      </c>
      <c r="D7105" t="s">
        <v>7</v>
      </c>
    </row>
    <row r="7106" spans="1:4">
      <c r="A7106" t="s">
        <v>6</v>
      </c>
      <c r="B7106">
        <v>48</v>
      </c>
      <c r="C7106" t="str">
        <f>CHOOSE(MATCH(B7106, {20,25,30,35,40,45,50,55,60,65,70,75,80,85}, 1), "20-24", "25-29", "30-34", "35-39", "40-44", "45-49", "50-54", "55-59", "60-64", "65-69", "70-74", "75-79", "80-84", "85+")</f>
        <v>45-49</v>
      </c>
      <c r="D7106" t="s">
        <v>8</v>
      </c>
    </row>
    <row r="7107" spans="1:4">
      <c r="A7107" t="s">
        <v>6</v>
      </c>
      <c r="B7107">
        <v>43</v>
      </c>
      <c r="C7107" t="str">
        <f>CHOOSE(MATCH(B7107, {20,25,30,35,40,45,50,55,60,65,70,75,80,85}, 1), "20-24", "25-29", "30-34", "35-39", "40-44", "45-49", "50-54", "55-59", "60-64", "65-69", "70-74", "75-79", "80-84", "85+")</f>
        <v>40-44</v>
      </c>
      <c r="D7107" t="s">
        <v>8</v>
      </c>
    </row>
    <row r="7108" spans="1:4">
      <c r="A7108" t="s">
        <v>6</v>
      </c>
      <c r="B7108">
        <v>37</v>
      </c>
      <c r="C7108" t="str">
        <f>CHOOSE(MATCH(B7108, {20,25,30,35,40,45,50,55,60,65,70,75,80,85}, 1), "20-24", "25-29", "30-34", "35-39", "40-44", "45-49", "50-54", "55-59", "60-64", "65-69", "70-74", "75-79", "80-84", "85+")</f>
        <v>35-39</v>
      </c>
      <c r="D7108" t="s">
        <v>8</v>
      </c>
    </row>
    <row r="7109" spans="1:4">
      <c r="A7109" t="s">
        <v>6</v>
      </c>
      <c r="B7109">
        <v>25</v>
      </c>
      <c r="C7109" t="str">
        <f>CHOOSE(MATCH(B7109, {20,25,30,35,40,45,50,55,60,65,70,75,80,85}, 1), "20-24", "25-29", "30-34", "35-39", "40-44", "45-49", "50-54", "55-59", "60-64", "65-69", "70-74", "75-79", "80-84", "85+")</f>
        <v>25-29</v>
      </c>
      <c r="D7109" t="s">
        <v>7</v>
      </c>
    </row>
    <row r="7110" spans="1:4">
      <c r="A7110" t="s">
        <v>6</v>
      </c>
      <c r="B7110">
        <v>31</v>
      </c>
      <c r="C7110" t="str">
        <f>CHOOSE(MATCH(B7110, {20,25,30,35,40,45,50,55,60,65,70,75,80,85}, 1), "20-24", "25-29", "30-34", "35-39", "40-44", "45-49", "50-54", "55-59", "60-64", "65-69", "70-74", "75-79", "80-84", "85+")</f>
        <v>30-34</v>
      </c>
      <c r="D7110" t="s">
        <v>7</v>
      </c>
    </row>
    <row r="7111" spans="1:4">
      <c r="A7111" t="s">
        <v>6</v>
      </c>
      <c r="B7111">
        <v>36</v>
      </c>
      <c r="C7111" t="str">
        <f>CHOOSE(MATCH(B7111, {20,25,30,35,40,45,50,55,60,65,70,75,80,85}, 1), "20-24", "25-29", "30-34", "35-39", "40-44", "45-49", "50-54", "55-59", "60-64", "65-69", "70-74", "75-79", "80-84", "85+")</f>
        <v>35-39</v>
      </c>
      <c r="D7111" t="s">
        <v>7</v>
      </c>
    </row>
    <row r="7112" spans="1:4">
      <c r="A7112" t="s">
        <v>6</v>
      </c>
      <c r="B7112">
        <v>37</v>
      </c>
      <c r="C7112" t="str">
        <f>CHOOSE(MATCH(B7112, {20,25,30,35,40,45,50,55,60,65,70,75,80,85}, 1), "20-24", "25-29", "30-34", "35-39", "40-44", "45-49", "50-54", "55-59", "60-64", "65-69", "70-74", "75-79", "80-84", "85+")</f>
        <v>35-39</v>
      </c>
      <c r="D7112" t="s">
        <v>7</v>
      </c>
    </row>
    <row r="7113" spans="1:4">
      <c r="A7113" t="s">
        <v>6</v>
      </c>
      <c r="B7113">
        <v>30</v>
      </c>
      <c r="C7113" t="str">
        <f>CHOOSE(MATCH(B7113, {20,25,30,35,40,45,50,55,60,65,70,75,80,85}, 1), "20-24", "25-29", "30-34", "35-39", "40-44", "45-49", "50-54", "55-59", "60-64", "65-69", "70-74", "75-79", "80-84", "85+")</f>
        <v>30-34</v>
      </c>
      <c r="D7113" t="s">
        <v>8</v>
      </c>
    </row>
    <row r="7114" spans="1:4">
      <c r="A7114" t="s">
        <v>6</v>
      </c>
      <c r="B7114">
        <v>47</v>
      </c>
      <c r="C7114" t="str">
        <f>CHOOSE(MATCH(B7114, {20,25,30,35,40,45,50,55,60,65,70,75,80,85}, 1), "20-24", "25-29", "30-34", "35-39", "40-44", "45-49", "50-54", "55-59", "60-64", "65-69", "70-74", "75-79", "80-84", "85+")</f>
        <v>45-49</v>
      </c>
      <c r="D7114" t="s">
        <v>8</v>
      </c>
    </row>
    <row r="7115" spans="1:4">
      <c r="A7115" t="s">
        <v>6</v>
      </c>
      <c r="B7115">
        <v>50</v>
      </c>
      <c r="C7115" t="str">
        <f>CHOOSE(MATCH(B7115, {20,25,30,35,40,45,50,55,60,65,70,75,80,85}, 1), "20-24", "25-29", "30-34", "35-39", "40-44", "45-49", "50-54", "55-59", "60-64", "65-69", "70-74", "75-79", "80-84", "85+")</f>
        <v>50-54</v>
      </c>
      <c r="D7115" t="s">
        <v>7</v>
      </c>
    </row>
    <row r="7116" spans="1:4">
      <c r="A7116" t="s">
        <v>6</v>
      </c>
      <c r="B7116">
        <v>25</v>
      </c>
      <c r="C7116" t="str">
        <f>CHOOSE(MATCH(B7116, {20,25,30,35,40,45,50,55,60,65,70,75,80,85}, 1), "20-24", "25-29", "30-34", "35-39", "40-44", "45-49", "50-54", "55-59", "60-64", "65-69", "70-74", "75-79", "80-84", "85+")</f>
        <v>25-29</v>
      </c>
      <c r="D7116" t="s">
        <v>7</v>
      </c>
    </row>
    <row r="7117" spans="1:4">
      <c r="A7117" t="s">
        <v>6</v>
      </c>
      <c r="B7117">
        <v>56</v>
      </c>
      <c r="C7117" t="str">
        <f>CHOOSE(MATCH(B7117, {20,25,30,35,40,45,50,55,60,65,70,75,80,85}, 1), "20-24", "25-29", "30-34", "35-39", "40-44", "45-49", "50-54", "55-59", "60-64", "65-69", "70-74", "75-79", "80-84", "85+")</f>
        <v>55-59</v>
      </c>
      <c r="D7117" t="s">
        <v>8</v>
      </c>
    </row>
    <row r="7118" spans="1:4">
      <c r="A7118" t="s">
        <v>6</v>
      </c>
      <c r="B7118">
        <v>42</v>
      </c>
      <c r="C7118" t="str">
        <f>CHOOSE(MATCH(B7118, {20,25,30,35,40,45,50,55,60,65,70,75,80,85}, 1), "20-24", "25-29", "30-34", "35-39", "40-44", "45-49", "50-54", "55-59", "60-64", "65-69", "70-74", "75-79", "80-84", "85+")</f>
        <v>40-44</v>
      </c>
      <c r="D7118" t="s">
        <v>7</v>
      </c>
    </row>
    <row r="7119" spans="1:4">
      <c r="A7119" t="s">
        <v>6</v>
      </c>
      <c r="B7119">
        <v>36</v>
      </c>
      <c r="C7119" t="str">
        <f>CHOOSE(MATCH(B7119, {20,25,30,35,40,45,50,55,60,65,70,75,80,85}, 1), "20-24", "25-29", "30-34", "35-39", "40-44", "45-49", "50-54", "55-59", "60-64", "65-69", "70-74", "75-79", "80-84", "85+")</f>
        <v>35-39</v>
      </c>
      <c r="D7119" t="s">
        <v>7</v>
      </c>
    </row>
    <row r="7120" spans="1:4">
      <c r="A7120" t="s">
        <v>6</v>
      </c>
      <c r="B7120">
        <v>32</v>
      </c>
      <c r="C7120" t="str">
        <f>CHOOSE(MATCH(B7120, {20,25,30,35,40,45,50,55,60,65,70,75,80,85}, 1), "20-24", "25-29", "30-34", "35-39", "40-44", "45-49", "50-54", "55-59", "60-64", "65-69", "70-74", "75-79", "80-84", "85+")</f>
        <v>30-34</v>
      </c>
      <c r="D7120" t="s">
        <v>7</v>
      </c>
    </row>
    <row r="7121" spans="1:4">
      <c r="A7121" t="s">
        <v>6</v>
      </c>
      <c r="B7121">
        <v>29</v>
      </c>
      <c r="C7121" t="str">
        <f>CHOOSE(MATCH(B7121, {20,25,30,35,40,45,50,55,60,65,70,75,80,85}, 1), "20-24", "25-29", "30-34", "35-39", "40-44", "45-49", "50-54", "55-59", "60-64", "65-69", "70-74", "75-79", "80-84", "85+")</f>
        <v>25-29</v>
      </c>
      <c r="D7121" t="s">
        <v>7</v>
      </c>
    </row>
    <row r="7122" spans="1:4">
      <c r="A7122" t="s">
        <v>6</v>
      </c>
      <c r="B7122">
        <v>52</v>
      </c>
      <c r="C7122" t="str">
        <f>CHOOSE(MATCH(B7122, {20,25,30,35,40,45,50,55,60,65,70,75,80,85}, 1), "20-24", "25-29", "30-34", "35-39", "40-44", "45-49", "50-54", "55-59", "60-64", "65-69", "70-74", "75-79", "80-84", "85+")</f>
        <v>50-54</v>
      </c>
      <c r="D7122" t="s">
        <v>8</v>
      </c>
    </row>
    <row r="7123" spans="1:4">
      <c r="A7123" t="s">
        <v>6</v>
      </c>
      <c r="B7123">
        <v>31</v>
      </c>
      <c r="C7123" t="str">
        <f>CHOOSE(MATCH(B7123, {20,25,30,35,40,45,50,55,60,65,70,75,80,85}, 1), "20-24", "25-29", "30-34", "35-39", "40-44", "45-49", "50-54", "55-59", "60-64", "65-69", "70-74", "75-79", "80-84", "85+")</f>
        <v>30-34</v>
      </c>
      <c r="D7123" t="s">
        <v>8</v>
      </c>
    </row>
    <row r="7124" spans="1:4">
      <c r="A7124" t="s">
        <v>6</v>
      </c>
      <c r="B7124">
        <v>43</v>
      </c>
      <c r="C7124" t="str">
        <f>CHOOSE(MATCH(B7124, {20,25,30,35,40,45,50,55,60,65,70,75,80,85}, 1), "20-24", "25-29", "30-34", "35-39", "40-44", "45-49", "50-54", "55-59", "60-64", "65-69", "70-74", "75-79", "80-84", "85+")</f>
        <v>40-44</v>
      </c>
      <c r="D7124" t="s">
        <v>7</v>
      </c>
    </row>
    <row r="7125" spans="1:4">
      <c r="A7125" t="s">
        <v>6</v>
      </c>
      <c r="B7125">
        <v>59</v>
      </c>
      <c r="C7125" t="str">
        <f>CHOOSE(MATCH(B7125, {20,25,30,35,40,45,50,55,60,65,70,75,80,85}, 1), "20-24", "25-29", "30-34", "35-39", "40-44", "45-49", "50-54", "55-59", "60-64", "65-69", "70-74", "75-79", "80-84", "85+")</f>
        <v>55-59</v>
      </c>
      <c r="D7125" t="s">
        <v>7</v>
      </c>
    </row>
    <row r="7126" spans="1:4">
      <c r="A7126" t="s">
        <v>6</v>
      </c>
      <c r="B7126">
        <v>33</v>
      </c>
      <c r="C7126" t="str">
        <f>CHOOSE(MATCH(B7126, {20,25,30,35,40,45,50,55,60,65,70,75,80,85}, 1), "20-24", "25-29", "30-34", "35-39", "40-44", "45-49", "50-54", "55-59", "60-64", "65-69", "70-74", "75-79", "80-84", "85+")</f>
        <v>30-34</v>
      </c>
      <c r="D7126" t="s">
        <v>8</v>
      </c>
    </row>
    <row r="7127" spans="1:4">
      <c r="A7127" t="s">
        <v>6</v>
      </c>
      <c r="B7127">
        <v>51</v>
      </c>
      <c r="C7127" t="str">
        <f>CHOOSE(MATCH(B7127, {20,25,30,35,40,45,50,55,60,65,70,75,80,85}, 1), "20-24", "25-29", "30-34", "35-39", "40-44", "45-49", "50-54", "55-59", "60-64", "65-69", "70-74", "75-79", "80-84", "85+")</f>
        <v>50-54</v>
      </c>
      <c r="D7127" t="s">
        <v>8</v>
      </c>
    </row>
    <row r="7128" spans="1:4">
      <c r="A7128" t="s">
        <v>6</v>
      </c>
      <c r="B7128">
        <v>46</v>
      </c>
      <c r="C7128" t="str">
        <f>CHOOSE(MATCH(B7128, {20,25,30,35,40,45,50,55,60,65,70,75,80,85}, 1), "20-24", "25-29", "30-34", "35-39", "40-44", "45-49", "50-54", "55-59", "60-64", "65-69", "70-74", "75-79", "80-84", "85+")</f>
        <v>45-49</v>
      </c>
      <c r="D7128" t="s">
        <v>7</v>
      </c>
    </row>
    <row r="7129" spans="1:4">
      <c r="A7129" t="s">
        <v>6</v>
      </c>
      <c r="B7129">
        <v>53</v>
      </c>
      <c r="C7129" t="str">
        <f>CHOOSE(MATCH(B7129, {20,25,30,35,40,45,50,55,60,65,70,75,80,85}, 1), "20-24", "25-29", "30-34", "35-39", "40-44", "45-49", "50-54", "55-59", "60-64", "65-69", "70-74", "75-79", "80-84", "85+")</f>
        <v>50-54</v>
      </c>
      <c r="D7129" t="s">
        <v>7</v>
      </c>
    </row>
    <row r="7130" spans="1:4">
      <c r="A7130" t="s">
        <v>6</v>
      </c>
      <c r="B7130">
        <v>34</v>
      </c>
      <c r="C7130" t="str">
        <f>CHOOSE(MATCH(B7130, {20,25,30,35,40,45,50,55,60,65,70,75,80,85}, 1), "20-24", "25-29", "30-34", "35-39", "40-44", "45-49", "50-54", "55-59", "60-64", "65-69", "70-74", "75-79", "80-84", "85+")</f>
        <v>30-34</v>
      </c>
      <c r="D7130" t="s">
        <v>7</v>
      </c>
    </row>
    <row r="7131" spans="1:4">
      <c r="A7131" t="s">
        <v>6</v>
      </c>
      <c r="B7131">
        <v>66</v>
      </c>
      <c r="C7131" t="str">
        <f>CHOOSE(MATCH(B7131, {20,25,30,35,40,45,50,55,60,65,70,75,80,85}, 1), "20-24", "25-29", "30-34", "35-39", "40-44", "45-49", "50-54", "55-59", "60-64", "65-69", "70-74", "75-79", "80-84", "85+")</f>
        <v>65-69</v>
      </c>
      <c r="D7131" t="s">
        <v>7</v>
      </c>
    </row>
    <row r="7132" spans="1:4">
      <c r="A7132" t="s">
        <v>6</v>
      </c>
      <c r="B7132">
        <v>81</v>
      </c>
      <c r="C7132" t="str">
        <f>CHOOSE(MATCH(B7132, {20,25,30,35,40,45,50,55,60,65,70,75,80,85}, 1), "20-24", "25-29", "30-34", "35-39", "40-44", "45-49", "50-54", "55-59", "60-64", "65-69", "70-74", "75-79", "80-84", "85+")</f>
        <v>80-84</v>
      </c>
      <c r="D7132" t="s">
        <v>8</v>
      </c>
    </row>
    <row r="7133" spans="1:4">
      <c r="A7133" t="s">
        <v>6</v>
      </c>
      <c r="B7133">
        <v>30</v>
      </c>
      <c r="C7133" t="str">
        <f>CHOOSE(MATCH(B7133, {20,25,30,35,40,45,50,55,60,65,70,75,80,85}, 1), "20-24", "25-29", "30-34", "35-39", "40-44", "45-49", "50-54", "55-59", "60-64", "65-69", "70-74", "75-79", "80-84", "85+")</f>
        <v>30-34</v>
      </c>
      <c r="D7133" t="s">
        <v>8</v>
      </c>
    </row>
    <row r="7134" spans="1:4">
      <c r="A7134" t="s">
        <v>6</v>
      </c>
      <c r="B7134">
        <v>35</v>
      </c>
      <c r="C7134" t="str">
        <f>CHOOSE(MATCH(B7134, {20,25,30,35,40,45,50,55,60,65,70,75,80,85}, 1), "20-24", "25-29", "30-34", "35-39", "40-44", "45-49", "50-54", "55-59", "60-64", "65-69", "70-74", "75-79", "80-84", "85+")</f>
        <v>35-39</v>
      </c>
      <c r="D7134" t="s">
        <v>7</v>
      </c>
    </row>
    <row r="7135" spans="1:4">
      <c r="A7135" t="s">
        <v>6</v>
      </c>
      <c r="B7135">
        <v>42</v>
      </c>
      <c r="C7135" t="str">
        <f>CHOOSE(MATCH(B7135, {20,25,30,35,40,45,50,55,60,65,70,75,80,85}, 1), "20-24", "25-29", "30-34", "35-39", "40-44", "45-49", "50-54", "55-59", "60-64", "65-69", "70-74", "75-79", "80-84", "85+")</f>
        <v>40-44</v>
      </c>
      <c r="D7135" t="s">
        <v>7</v>
      </c>
    </row>
    <row r="7136" spans="1:4">
      <c r="A7136" t="s">
        <v>6</v>
      </c>
      <c r="B7136">
        <v>80</v>
      </c>
      <c r="C7136" t="str">
        <f>CHOOSE(MATCH(B7136, {20,25,30,35,40,45,50,55,60,65,70,75,80,85}, 1), "20-24", "25-29", "30-34", "35-39", "40-44", "45-49", "50-54", "55-59", "60-64", "65-69", "70-74", "75-79", "80-84", "85+")</f>
        <v>80-84</v>
      </c>
      <c r="D7136" t="s">
        <v>8</v>
      </c>
    </row>
    <row r="7137" spans="1:4">
      <c r="A7137" t="s">
        <v>6</v>
      </c>
      <c r="B7137">
        <v>31</v>
      </c>
      <c r="C7137" t="str">
        <f>CHOOSE(MATCH(B7137, {20,25,30,35,40,45,50,55,60,65,70,75,80,85}, 1), "20-24", "25-29", "30-34", "35-39", "40-44", "45-49", "50-54", "55-59", "60-64", "65-69", "70-74", "75-79", "80-84", "85+")</f>
        <v>30-34</v>
      </c>
      <c r="D7137" t="s">
        <v>8</v>
      </c>
    </row>
    <row r="7138" spans="1:4">
      <c r="A7138" t="s">
        <v>6</v>
      </c>
      <c r="B7138">
        <v>62</v>
      </c>
      <c r="C7138" t="str">
        <f>CHOOSE(MATCH(B7138, {20,25,30,35,40,45,50,55,60,65,70,75,80,85}, 1), "20-24", "25-29", "30-34", "35-39", "40-44", "45-49", "50-54", "55-59", "60-64", "65-69", "70-74", "75-79", "80-84", "85+")</f>
        <v>60-64</v>
      </c>
      <c r="D7138" t="s">
        <v>8</v>
      </c>
    </row>
    <row r="7139" spans="1:4">
      <c r="A7139" t="s">
        <v>6</v>
      </c>
      <c r="B7139">
        <v>28</v>
      </c>
      <c r="C7139" t="str">
        <f>CHOOSE(MATCH(B7139, {20,25,30,35,40,45,50,55,60,65,70,75,80,85}, 1), "20-24", "25-29", "30-34", "35-39", "40-44", "45-49", "50-54", "55-59", "60-64", "65-69", "70-74", "75-79", "80-84", "85+")</f>
        <v>25-29</v>
      </c>
      <c r="D7139" t="s">
        <v>7</v>
      </c>
    </row>
    <row r="7140" spans="1:4">
      <c r="A7140" t="s">
        <v>6</v>
      </c>
      <c r="B7140">
        <v>26</v>
      </c>
      <c r="C7140" t="str">
        <f>CHOOSE(MATCH(B7140, {20,25,30,35,40,45,50,55,60,65,70,75,80,85}, 1), "20-24", "25-29", "30-34", "35-39", "40-44", "45-49", "50-54", "55-59", "60-64", "65-69", "70-74", "75-79", "80-84", "85+")</f>
        <v>25-29</v>
      </c>
      <c r="D7140" t="s">
        <v>7</v>
      </c>
    </row>
    <row r="7141" spans="1:4">
      <c r="A7141" t="s">
        <v>6</v>
      </c>
      <c r="B7141">
        <v>43</v>
      </c>
      <c r="C7141" t="str">
        <f>CHOOSE(MATCH(B7141, {20,25,30,35,40,45,50,55,60,65,70,75,80,85}, 1), "20-24", "25-29", "30-34", "35-39", "40-44", "45-49", "50-54", "55-59", "60-64", "65-69", "70-74", "75-79", "80-84", "85+")</f>
        <v>40-44</v>
      </c>
      <c r="D7141" t="s">
        <v>7</v>
      </c>
    </row>
    <row r="7142" spans="1:4">
      <c r="A7142" t="s">
        <v>6</v>
      </c>
      <c r="B7142">
        <v>28</v>
      </c>
      <c r="C7142" t="str">
        <f>CHOOSE(MATCH(B7142, {20,25,30,35,40,45,50,55,60,65,70,75,80,85}, 1), "20-24", "25-29", "30-34", "35-39", "40-44", "45-49", "50-54", "55-59", "60-64", "65-69", "70-74", "75-79", "80-84", "85+")</f>
        <v>25-29</v>
      </c>
      <c r="D7142" t="s">
        <v>7</v>
      </c>
    </row>
    <row r="7143" spans="1:4">
      <c r="A7143" t="s">
        <v>6</v>
      </c>
      <c r="B7143">
        <v>51</v>
      </c>
      <c r="C7143" t="str">
        <f>CHOOSE(MATCH(B7143, {20,25,30,35,40,45,50,55,60,65,70,75,80,85}, 1), "20-24", "25-29", "30-34", "35-39", "40-44", "45-49", "50-54", "55-59", "60-64", "65-69", "70-74", "75-79", "80-84", "85+")</f>
        <v>50-54</v>
      </c>
      <c r="D7143" t="s">
        <v>8</v>
      </c>
    </row>
    <row r="7144" spans="1:4">
      <c r="A7144" t="s">
        <v>6</v>
      </c>
      <c r="B7144">
        <v>30</v>
      </c>
      <c r="C7144" t="str">
        <f>CHOOSE(MATCH(B7144, {20,25,30,35,40,45,50,55,60,65,70,75,80,85}, 1), "20-24", "25-29", "30-34", "35-39", "40-44", "45-49", "50-54", "55-59", "60-64", "65-69", "70-74", "75-79", "80-84", "85+")</f>
        <v>30-34</v>
      </c>
      <c r="D7144" t="s">
        <v>8</v>
      </c>
    </row>
    <row r="7145" spans="1:4">
      <c r="A7145" t="s">
        <v>6</v>
      </c>
      <c r="B7145">
        <v>21</v>
      </c>
      <c r="C7145" t="str">
        <f>CHOOSE(MATCH(B7145, {20,25,30,35,40,45,50,55,60,65,70,75,80,85}, 1), "20-24", "25-29", "30-34", "35-39", "40-44", "45-49", "50-54", "55-59", "60-64", "65-69", "70-74", "75-79", "80-84", "85+")</f>
        <v>20-24</v>
      </c>
      <c r="D7145" t="s">
        <v>7</v>
      </c>
    </row>
    <row r="7146" spans="1:4">
      <c r="A7146" t="s">
        <v>6</v>
      </c>
      <c r="B7146">
        <v>56</v>
      </c>
      <c r="C7146" t="str">
        <f>CHOOSE(MATCH(B7146, {20,25,30,35,40,45,50,55,60,65,70,75,80,85}, 1), "20-24", "25-29", "30-34", "35-39", "40-44", "45-49", "50-54", "55-59", "60-64", "65-69", "70-74", "75-79", "80-84", "85+")</f>
        <v>55-59</v>
      </c>
      <c r="D7146" t="s">
        <v>7</v>
      </c>
    </row>
    <row r="7147" spans="1:4">
      <c r="A7147" t="s">
        <v>6</v>
      </c>
      <c r="B7147">
        <v>39</v>
      </c>
      <c r="C7147" t="str">
        <f>CHOOSE(MATCH(B7147, {20,25,30,35,40,45,50,55,60,65,70,75,80,85}, 1), "20-24", "25-29", "30-34", "35-39", "40-44", "45-49", "50-54", "55-59", "60-64", "65-69", "70-74", "75-79", "80-84", "85+")</f>
        <v>35-39</v>
      </c>
      <c r="D7147" t="s">
        <v>8</v>
      </c>
    </row>
    <row r="7148" spans="1:4">
      <c r="A7148" t="s">
        <v>6</v>
      </c>
      <c r="B7148">
        <v>36</v>
      </c>
      <c r="C7148" t="str">
        <f>CHOOSE(MATCH(B7148, {20,25,30,35,40,45,50,55,60,65,70,75,80,85}, 1), "20-24", "25-29", "30-34", "35-39", "40-44", "45-49", "50-54", "55-59", "60-64", "65-69", "70-74", "75-79", "80-84", "85+")</f>
        <v>35-39</v>
      </c>
      <c r="D7148" t="s">
        <v>8</v>
      </c>
    </row>
    <row r="7149" spans="1:4">
      <c r="A7149" t="s">
        <v>6</v>
      </c>
      <c r="B7149">
        <v>43</v>
      </c>
      <c r="C7149" t="str">
        <f>CHOOSE(MATCH(B7149, {20,25,30,35,40,45,50,55,60,65,70,75,80,85}, 1), "20-24", "25-29", "30-34", "35-39", "40-44", "45-49", "50-54", "55-59", "60-64", "65-69", "70-74", "75-79", "80-84", "85+")</f>
        <v>40-44</v>
      </c>
      <c r="D7149" t="s">
        <v>8</v>
      </c>
    </row>
    <row r="7150" spans="1:4">
      <c r="A7150" t="s">
        <v>6</v>
      </c>
      <c r="B7150">
        <v>26</v>
      </c>
      <c r="C7150" t="str">
        <f>CHOOSE(MATCH(B7150, {20,25,30,35,40,45,50,55,60,65,70,75,80,85}, 1), "20-24", "25-29", "30-34", "35-39", "40-44", "45-49", "50-54", "55-59", "60-64", "65-69", "70-74", "75-79", "80-84", "85+")</f>
        <v>25-29</v>
      </c>
      <c r="D7150" t="s">
        <v>7</v>
      </c>
    </row>
    <row r="7151" spans="1:4">
      <c r="A7151" t="s">
        <v>6</v>
      </c>
      <c r="B7151">
        <v>41</v>
      </c>
      <c r="C7151" t="str">
        <f>CHOOSE(MATCH(B7151, {20,25,30,35,40,45,50,55,60,65,70,75,80,85}, 1), "20-24", "25-29", "30-34", "35-39", "40-44", "45-49", "50-54", "55-59", "60-64", "65-69", "70-74", "75-79", "80-84", "85+")</f>
        <v>40-44</v>
      </c>
      <c r="D7151" t="s">
        <v>8</v>
      </c>
    </row>
    <row r="7152" spans="1:4">
      <c r="A7152" t="s">
        <v>6</v>
      </c>
      <c r="B7152">
        <v>36</v>
      </c>
      <c r="C7152" t="str">
        <f>CHOOSE(MATCH(B7152, {20,25,30,35,40,45,50,55,60,65,70,75,80,85}, 1), "20-24", "25-29", "30-34", "35-39", "40-44", "45-49", "50-54", "55-59", "60-64", "65-69", "70-74", "75-79", "80-84", "85+")</f>
        <v>35-39</v>
      </c>
      <c r="D7152" t="s">
        <v>7</v>
      </c>
    </row>
    <row r="7153" spans="1:4">
      <c r="A7153" t="s">
        <v>6</v>
      </c>
      <c r="B7153">
        <v>28</v>
      </c>
      <c r="C7153" t="str">
        <f>CHOOSE(MATCH(B7153, {20,25,30,35,40,45,50,55,60,65,70,75,80,85}, 1), "20-24", "25-29", "30-34", "35-39", "40-44", "45-49", "50-54", "55-59", "60-64", "65-69", "70-74", "75-79", "80-84", "85+")</f>
        <v>25-29</v>
      </c>
      <c r="D7153" t="s">
        <v>8</v>
      </c>
    </row>
    <row r="7154" spans="1:4">
      <c r="A7154" t="s">
        <v>6</v>
      </c>
      <c r="B7154">
        <v>37</v>
      </c>
      <c r="C7154" t="str">
        <f>CHOOSE(MATCH(B7154, {20,25,30,35,40,45,50,55,60,65,70,75,80,85}, 1), "20-24", "25-29", "30-34", "35-39", "40-44", "45-49", "50-54", "55-59", "60-64", "65-69", "70-74", "75-79", "80-84", "85+")</f>
        <v>35-39</v>
      </c>
      <c r="D7154" t="s">
        <v>7</v>
      </c>
    </row>
    <row r="7155" spans="1:4">
      <c r="A7155" t="s">
        <v>6</v>
      </c>
      <c r="B7155">
        <v>38</v>
      </c>
      <c r="C7155" t="str">
        <f>CHOOSE(MATCH(B7155, {20,25,30,35,40,45,50,55,60,65,70,75,80,85}, 1), "20-24", "25-29", "30-34", "35-39", "40-44", "45-49", "50-54", "55-59", "60-64", "65-69", "70-74", "75-79", "80-84", "85+")</f>
        <v>35-39</v>
      </c>
      <c r="D7155" t="s">
        <v>7</v>
      </c>
    </row>
    <row r="7156" spans="1:4">
      <c r="A7156" t="s">
        <v>6</v>
      </c>
      <c r="B7156">
        <v>39</v>
      </c>
      <c r="C7156" t="str">
        <f>CHOOSE(MATCH(B7156, {20,25,30,35,40,45,50,55,60,65,70,75,80,85}, 1), "20-24", "25-29", "30-34", "35-39", "40-44", "45-49", "50-54", "55-59", "60-64", "65-69", "70-74", "75-79", "80-84", "85+")</f>
        <v>35-39</v>
      </c>
      <c r="D7156" t="s">
        <v>7</v>
      </c>
    </row>
    <row r="7157" spans="1:4">
      <c r="A7157" t="s">
        <v>6</v>
      </c>
      <c r="B7157">
        <v>30</v>
      </c>
      <c r="C7157" t="str">
        <f>CHOOSE(MATCH(B7157, {20,25,30,35,40,45,50,55,60,65,70,75,80,85}, 1), "20-24", "25-29", "30-34", "35-39", "40-44", "45-49", "50-54", "55-59", "60-64", "65-69", "70-74", "75-79", "80-84", "85+")</f>
        <v>30-34</v>
      </c>
      <c r="D7157" t="s">
        <v>7</v>
      </c>
    </row>
    <row r="7158" spans="1:4">
      <c r="A7158" t="s">
        <v>6</v>
      </c>
      <c r="B7158">
        <v>48</v>
      </c>
      <c r="C7158" t="str">
        <f>CHOOSE(MATCH(B7158, {20,25,30,35,40,45,50,55,60,65,70,75,80,85}, 1), "20-24", "25-29", "30-34", "35-39", "40-44", "45-49", "50-54", "55-59", "60-64", "65-69", "70-74", "75-79", "80-84", "85+")</f>
        <v>45-49</v>
      </c>
      <c r="D7158" t="s">
        <v>7</v>
      </c>
    </row>
    <row r="7159" spans="1:4">
      <c r="A7159" t="s">
        <v>6</v>
      </c>
      <c r="B7159">
        <v>44</v>
      </c>
      <c r="C7159" t="str">
        <f>CHOOSE(MATCH(B7159, {20,25,30,35,40,45,50,55,60,65,70,75,80,85}, 1), "20-24", "25-29", "30-34", "35-39", "40-44", "45-49", "50-54", "55-59", "60-64", "65-69", "70-74", "75-79", "80-84", "85+")</f>
        <v>40-44</v>
      </c>
      <c r="D7159" t="s">
        <v>7</v>
      </c>
    </row>
    <row r="7160" spans="1:4">
      <c r="A7160" t="s">
        <v>6</v>
      </c>
      <c r="B7160">
        <v>39</v>
      </c>
      <c r="C7160" t="str">
        <f>CHOOSE(MATCH(B7160, {20,25,30,35,40,45,50,55,60,65,70,75,80,85}, 1), "20-24", "25-29", "30-34", "35-39", "40-44", "45-49", "50-54", "55-59", "60-64", "65-69", "70-74", "75-79", "80-84", "85+")</f>
        <v>35-39</v>
      </c>
      <c r="D7160" t="s">
        <v>7</v>
      </c>
    </row>
    <row r="7161" spans="1:4">
      <c r="A7161" t="s">
        <v>6</v>
      </c>
      <c r="B7161">
        <v>56</v>
      </c>
      <c r="C7161" t="str">
        <f>CHOOSE(MATCH(B7161, {20,25,30,35,40,45,50,55,60,65,70,75,80,85}, 1), "20-24", "25-29", "30-34", "35-39", "40-44", "45-49", "50-54", "55-59", "60-64", "65-69", "70-74", "75-79", "80-84", "85+")</f>
        <v>55-59</v>
      </c>
      <c r="D7161" t="s">
        <v>7</v>
      </c>
    </row>
    <row r="7162" spans="1:4">
      <c r="A7162" t="s">
        <v>6</v>
      </c>
      <c r="B7162">
        <v>60</v>
      </c>
      <c r="C7162" t="str">
        <f>CHOOSE(MATCH(B7162, {20,25,30,35,40,45,50,55,60,65,70,75,80,85}, 1), "20-24", "25-29", "30-34", "35-39", "40-44", "45-49", "50-54", "55-59", "60-64", "65-69", "70-74", "75-79", "80-84", "85+")</f>
        <v>60-64</v>
      </c>
      <c r="D7162" t="s">
        <v>8</v>
      </c>
    </row>
    <row r="7163" spans="1:4">
      <c r="A7163" t="s">
        <v>6</v>
      </c>
      <c r="B7163">
        <v>31</v>
      </c>
      <c r="C7163" t="str">
        <f>CHOOSE(MATCH(B7163, {20,25,30,35,40,45,50,55,60,65,70,75,80,85}, 1), "20-24", "25-29", "30-34", "35-39", "40-44", "45-49", "50-54", "55-59", "60-64", "65-69", "70-74", "75-79", "80-84", "85+")</f>
        <v>30-34</v>
      </c>
      <c r="D7163" t="s">
        <v>8</v>
      </c>
    </row>
    <row r="7164" spans="1:4">
      <c r="A7164" t="s">
        <v>6</v>
      </c>
      <c r="B7164">
        <v>47</v>
      </c>
      <c r="C7164" t="str">
        <f>CHOOSE(MATCH(B7164, {20,25,30,35,40,45,50,55,60,65,70,75,80,85}, 1), "20-24", "25-29", "30-34", "35-39", "40-44", "45-49", "50-54", "55-59", "60-64", "65-69", "70-74", "75-79", "80-84", "85+")</f>
        <v>45-49</v>
      </c>
      <c r="D7164" t="s">
        <v>7</v>
      </c>
    </row>
    <row r="7165" spans="1:4">
      <c r="A7165" t="s">
        <v>6</v>
      </c>
      <c r="B7165">
        <v>31</v>
      </c>
      <c r="C7165" t="str">
        <f>CHOOSE(MATCH(B7165, {20,25,30,35,40,45,50,55,60,65,70,75,80,85}, 1), "20-24", "25-29", "30-34", "35-39", "40-44", "45-49", "50-54", "55-59", "60-64", "65-69", "70-74", "75-79", "80-84", "85+")</f>
        <v>30-34</v>
      </c>
      <c r="D7165" t="s">
        <v>7</v>
      </c>
    </row>
    <row r="7166" spans="1:4">
      <c r="A7166" t="s">
        <v>6</v>
      </c>
      <c r="B7166">
        <v>39</v>
      </c>
      <c r="C7166" t="str">
        <f>CHOOSE(MATCH(B7166, {20,25,30,35,40,45,50,55,60,65,70,75,80,85}, 1), "20-24", "25-29", "30-34", "35-39", "40-44", "45-49", "50-54", "55-59", "60-64", "65-69", "70-74", "75-79", "80-84", "85+")</f>
        <v>35-39</v>
      </c>
      <c r="D7166" t="s">
        <v>8</v>
      </c>
    </row>
    <row r="7167" spans="1:4">
      <c r="A7167" t="s">
        <v>6</v>
      </c>
      <c r="B7167">
        <v>32</v>
      </c>
      <c r="C7167" t="str">
        <f>CHOOSE(MATCH(B7167, {20,25,30,35,40,45,50,55,60,65,70,75,80,85}, 1), "20-24", "25-29", "30-34", "35-39", "40-44", "45-49", "50-54", "55-59", "60-64", "65-69", "70-74", "75-79", "80-84", "85+")</f>
        <v>30-34</v>
      </c>
      <c r="D7167" t="s">
        <v>7</v>
      </c>
    </row>
    <row r="7168" spans="1:4">
      <c r="A7168" t="s">
        <v>6</v>
      </c>
      <c r="B7168">
        <v>35</v>
      </c>
      <c r="C7168" t="str">
        <f>CHOOSE(MATCH(B7168, {20,25,30,35,40,45,50,55,60,65,70,75,80,85}, 1), "20-24", "25-29", "30-34", "35-39", "40-44", "45-49", "50-54", "55-59", "60-64", "65-69", "70-74", "75-79", "80-84", "85+")</f>
        <v>35-39</v>
      </c>
      <c r="D7168" t="s">
        <v>7</v>
      </c>
    </row>
    <row r="7169" spans="1:4">
      <c r="A7169" t="s">
        <v>6</v>
      </c>
      <c r="B7169">
        <v>21</v>
      </c>
      <c r="C7169" t="str">
        <f>CHOOSE(MATCH(B7169, {20,25,30,35,40,45,50,55,60,65,70,75,80,85}, 1), "20-24", "25-29", "30-34", "35-39", "40-44", "45-49", "50-54", "55-59", "60-64", "65-69", "70-74", "75-79", "80-84", "85+")</f>
        <v>20-24</v>
      </c>
      <c r="D7169" t="s">
        <v>7</v>
      </c>
    </row>
    <row r="7170" spans="1:4">
      <c r="A7170" t="s">
        <v>6</v>
      </c>
      <c r="B7170">
        <v>32</v>
      </c>
      <c r="C7170" t="str">
        <f>CHOOSE(MATCH(B7170, {20,25,30,35,40,45,50,55,60,65,70,75,80,85}, 1), "20-24", "25-29", "30-34", "35-39", "40-44", "45-49", "50-54", "55-59", "60-64", "65-69", "70-74", "75-79", "80-84", "85+")</f>
        <v>30-34</v>
      </c>
      <c r="D7170" t="s">
        <v>7</v>
      </c>
    </row>
    <row r="7171" spans="1:4">
      <c r="A7171" t="s">
        <v>6</v>
      </c>
      <c r="B7171">
        <v>58</v>
      </c>
      <c r="C7171" t="str">
        <f>CHOOSE(MATCH(B7171, {20,25,30,35,40,45,50,55,60,65,70,75,80,85}, 1), "20-24", "25-29", "30-34", "35-39", "40-44", "45-49", "50-54", "55-59", "60-64", "65-69", "70-74", "75-79", "80-84", "85+")</f>
        <v>55-59</v>
      </c>
      <c r="D7171" t="s">
        <v>8</v>
      </c>
    </row>
    <row r="7172" spans="1:4">
      <c r="A7172" t="s">
        <v>6</v>
      </c>
      <c r="B7172">
        <v>81</v>
      </c>
      <c r="C7172" t="str">
        <f>CHOOSE(MATCH(B7172, {20,25,30,35,40,45,50,55,60,65,70,75,80,85}, 1), "20-24", "25-29", "30-34", "35-39", "40-44", "45-49", "50-54", "55-59", "60-64", "65-69", "70-74", "75-79", "80-84", "85+")</f>
        <v>80-84</v>
      </c>
      <c r="D7172" t="s">
        <v>8</v>
      </c>
    </row>
    <row r="7173" spans="1:4">
      <c r="A7173" t="s">
        <v>6</v>
      </c>
      <c r="B7173">
        <v>67</v>
      </c>
      <c r="C7173" t="str">
        <f>CHOOSE(MATCH(B7173, {20,25,30,35,40,45,50,55,60,65,70,75,80,85}, 1), "20-24", "25-29", "30-34", "35-39", "40-44", "45-49", "50-54", "55-59", "60-64", "65-69", "70-74", "75-79", "80-84", "85+")</f>
        <v>65-69</v>
      </c>
      <c r="D7173" t="s">
        <v>8</v>
      </c>
    </row>
    <row r="7174" spans="1:4">
      <c r="A7174" t="s">
        <v>6</v>
      </c>
      <c r="B7174">
        <v>26</v>
      </c>
      <c r="C7174" t="str">
        <f>CHOOSE(MATCH(B7174, {20,25,30,35,40,45,50,55,60,65,70,75,80,85}, 1), "20-24", "25-29", "30-34", "35-39", "40-44", "45-49", "50-54", "55-59", "60-64", "65-69", "70-74", "75-79", "80-84", "85+")</f>
        <v>25-29</v>
      </c>
      <c r="D7174" t="s">
        <v>7</v>
      </c>
    </row>
    <row r="7175" spans="1:4">
      <c r="A7175" t="s">
        <v>6</v>
      </c>
      <c r="B7175">
        <v>68</v>
      </c>
      <c r="C7175" t="str">
        <f>CHOOSE(MATCH(B7175, {20,25,30,35,40,45,50,55,60,65,70,75,80,85}, 1), "20-24", "25-29", "30-34", "35-39", "40-44", "45-49", "50-54", "55-59", "60-64", "65-69", "70-74", "75-79", "80-84", "85+")</f>
        <v>65-69</v>
      </c>
      <c r="D7175" t="s">
        <v>7</v>
      </c>
    </row>
    <row r="7176" spans="1:4">
      <c r="A7176" t="s">
        <v>6</v>
      </c>
      <c r="B7176">
        <v>44</v>
      </c>
      <c r="C7176" t="str">
        <f>CHOOSE(MATCH(B7176, {20,25,30,35,40,45,50,55,60,65,70,75,80,85}, 1), "20-24", "25-29", "30-34", "35-39", "40-44", "45-49", "50-54", "55-59", "60-64", "65-69", "70-74", "75-79", "80-84", "85+")</f>
        <v>40-44</v>
      </c>
      <c r="D7176" t="s">
        <v>8</v>
      </c>
    </row>
    <row r="7177" spans="1:4">
      <c r="A7177" t="s">
        <v>6</v>
      </c>
      <c r="B7177">
        <v>59</v>
      </c>
      <c r="C7177" t="str">
        <f>CHOOSE(MATCH(B7177, {20,25,30,35,40,45,50,55,60,65,70,75,80,85}, 1), "20-24", "25-29", "30-34", "35-39", "40-44", "45-49", "50-54", "55-59", "60-64", "65-69", "70-74", "75-79", "80-84", "85+")</f>
        <v>55-59</v>
      </c>
      <c r="D7177" t="s">
        <v>8</v>
      </c>
    </row>
    <row r="7178" spans="1:4">
      <c r="A7178" t="s">
        <v>6</v>
      </c>
      <c r="B7178">
        <v>27</v>
      </c>
      <c r="C7178" t="str">
        <f>CHOOSE(MATCH(B7178, {20,25,30,35,40,45,50,55,60,65,70,75,80,85}, 1), "20-24", "25-29", "30-34", "35-39", "40-44", "45-49", "50-54", "55-59", "60-64", "65-69", "70-74", "75-79", "80-84", "85+")</f>
        <v>25-29</v>
      </c>
      <c r="D7178" t="s">
        <v>8</v>
      </c>
    </row>
    <row r="7179" spans="1:4">
      <c r="A7179" t="s">
        <v>6</v>
      </c>
      <c r="B7179">
        <v>45</v>
      </c>
      <c r="C7179" t="str">
        <f>CHOOSE(MATCH(B7179, {20,25,30,35,40,45,50,55,60,65,70,75,80,85}, 1), "20-24", "25-29", "30-34", "35-39", "40-44", "45-49", "50-54", "55-59", "60-64", "65-69", "70-74", "75-79", "80-84", "85+")</f>
        <v>45-49</v>
      </c>
      <c r="D7179" t="s">
        <v>7</v>
      </c>
    </row>
    <row r="7180" spans="1:4">
      <c r="A7180" t="s">
        <v>6</v>
      </c>
      <c r="B7180">
        <v>45</v>
      </c>
      <c r="C7180" t="str">
        <f>CHOOSE(MATCH(B7180, {20,25,30,35,40,45,50,55,60,65,70,75,80,85}, 1), "20-24", "25-29", "30-34", "35-39", "40-44", "45-49", "50-54", "55-59", "60-64", "65-69", "70-74", "75-79", "80-84", "85+")</f>
        <v>45-49</v>
      </c>
      <c r="D7180" t="s">
        <v>7</v>
      </c>
    </row>
    <row r="7181" spans="1:4">
      <c r="A7181" t="s">
        <v>6</v>
      </c>
      <c r="B7181">
        <v>34</v>
      </c>
      <c r="C7181" t="str">
        <f>CHOOSE(MATCH(B7181, {20,25,30,35,40,45,50,55,60,65,70,75,80,85}, 1), "20-24", "25-29", "30-34", "35-39", "40-44", "45-49", "50-54", "55-59", "60-64", "65-69", "70-74", "75-79", "80-84", "85+")</f>
        <v>30-34</v>
      </c>
      <c r="D7181" t="s">
        <v>7</v>
      </c>
    </row>
    <row r="7182" spans="1:4">
      <c r="A7182" t="s">
        <v>6</v>
      </c>
      <c r="B7182">
        <v>37</v>
      </c>
      <c r="C7182" t="str">
        <f>CHOOSE(MATCH(B7182, {20,25,30,35,40,45,50,55,60,65,70,75,80,85}, 1), "20-24", "25-29", "30-34", "35-39", "40-44", "45-49", "50-54", "55-59", "60-64", "65-69", "70-74", "75-79", "80-84", "85+")</f>
        <v>35-39</v>
      </c>
      <c r="D7182" t="s">
        <v>7</v>
      </c>
    </row>
    <row r="7183" spans="1:4">
      <c r="A7183" t="s">
        <v>6</v>
      </c>
      <c r="B7183">
        <v>36</v>
      </c>
      <c r="C7183" t="str">
        <f>CHOOSE(MATCH(B7183, {20,25,30,35,40,45,50,55,60,65,70,75,80,85}, 1), "20-24", "25-29", "30-34", "35-39", "40-44", "45-49", "50-54", "55-59", "60-64", "65-69", "70-74", "75-79", "80-84", "85+")</f>
        <v>35-39</v>
      </c>
      <c r="D7183" t="s">
        <v>8</v>
      </c>
    </row>
    <row r="7184" spans="1:4">
      <c r="A7184" t="s">
        <v>6</v>
      </c>
      <c r="B7184">
        <v>47</v>
      </c>
      <c r="C7184" t="str">
        <f>CHOOSE(MATCH(B7184, {20,25,30,35,40,45,50,55,60,65,70,75,80,85}, 1), "20-24", "25-29", "30-34", "35-39", "40-44", "45-49", "50-54", "55-59", "60-64", "65-69", "70-74", "75-79", "80-84", "85+")</f>
        <v>45-49</v>
      </c>
      <c r="D7184" t="s">
        <v>8</v>
      </c>
    </row>
    <row r="7185" spans="1:4">
      <c r="A7185" t="s">
        <v>6</v>
      </c>
      <c r="B7185">
        <v>57</v>
      </c>
      <c r="C7185" t="str">
        <f>CHOOSE(MATCH(B7185, {20,25,30,35,40,45,50,55,60,65,70,75,80,85}, 1), "20-24", "25-29", "30-34", "35-39", "40-44", "45-49", "50-54", "55-59", "60-64", "65-69", "70-74", "75-79", "80-84", "85+")</f>
        <v>55-59</v>
      </c>
      <c r="D7185" t="s">
        <v>8</v>
      </c>
    </row>
    <row r="7186" spans="1:4">
      <c r="A7186" t="s">
        <v>6</v>
      </c>
      <c r="B7186">
        <v>28</v>
      </c>
      <c r="C7186" t="str">
        <f>CHOOSE(MATCH(B7186, {20,25,30,35,40,45,50,55,60,65,70,75,80,85}, 1), "20-24", "25-29", "30-34", "35-39", "40-44", "45-49", "50-54", "55-59", "60-64", "65-69", "70-74", "75-79", "80-84", "85+")</f>
        <v>25-29</v>
      </c>
      <c r="D7186" t="s">
        <v>7</v>
      </c>
    </row>
    <row r="7187" spans="1:4">
      <c r="A7187" t="s">
        <v>6</v>
      </c>
      <c r="B7187">
        <v>44</v>
      </c>
      <c r="C7187" t="str">
        <f>CHOOSE(MATCH(B7187, {20,25,30,35,40,45,50,55,60,65,70,75,80,85}, 1), "20-24", "25-29", "30-34", "35-39", "40-44", "45-49", "50-54", "55-59", "60-64", "65-69", "70-74", "75-79", "80-84", "85+")</f>
        <v>40-44</v>
      </c>
      <c r="D7187" t="s">
        <v>8</v>
      </c>
    </row>
    <row r="7188" spans="1:4">
      <c r="A7188" t="s">
        <v>6</v>
      </c>
      <c r="B7188">
        <v>43</v>
      </c>
      <c r="C7188" t="str">
        <f>CHOOSE(MATCH(B7188, {20,25,30,35,40,45,50,55,60,65,70,75,80,85}, 1), "20-24", "25-29", "30-34", "35-39", "40-44", "45-49", "50-54", "55-59", "60-64", "65-69", "70-74", "75-79", "80-84", "85+")</f>
        <v>40-44</v>
      </c>
      <c r="D7188" t="s">
        <v>7</v>
      </c>
    </row>
    <row r="7189" spans="1:4">
      <c r="A7189" t="s">
        <v>6</v>
      </c>
      <c r="B7189">
        <v>29</v>
      </c>
      <c r="C7189" t="str">
        <f>CHOOSE(MATCH(B7189, {20,25,30,35,40,45,50,55,60,65,70,75,80,85}, 1), "20-24", "25-29", "30-34", "35-39", "40-44", "45-49", "50-54", "55-59", "60-64", "65-69", "70-74", "75-79", "80-84", "85+")</f>
        <v>25-29</v>
      </c>
      <c r="D7189" t="s">
        <v>7</v>
      </c>
    </row>
    <row r="7190" spans="1:4">
      <c r="A7190" t="s">
        <v>6</v>
      </c>
      <c r="B7190">
        <v>45</v>
      </c>
      <c r="C7190" t="str">
        <f>CHOOSE(MATCH(B7190, {20,25,30,35,40,45,50,55,60,65,70,75,80,85}, 1), "20-24", "25-29", "30-34", "35-39", "40-44", "45-49", "50-54", "55-59", "60-64", "65-69", "70-74", "75-79", "80-84", "85+")</f>
        <v>45-49</v>
      </c>
      <c r="D7190" t="s">
        <v>8</v>
      </c>
    </row>
    <row r="7191" spans="1:4">
      <c r="A7191" t="s">
        <v>6</v>
      </c>
      <c r="B7191">
        <v>42</v>
      </c>
      <c r="C7191" t="str">
        <f>CHOOSE(MATCH(B7191, {20,25,30,35,40,45,50,55,60,65,70,75,80,85}, 1), "20-24", "25-29", "30-34", "35-39", "40-44", "45-49", "50-54", "55-59", "60-64", "65-69", "70-74", "75-79", "80-84", "85+")</f>
        <v>40-44</v>
      </c>
      <c r="D7191" t="s">
        <v>7</v>
      </c>
    </row>
    <row r="7192" spans="1:4">
      <c r="A7192" t="s">
        <v>6</v>
      </c>
      <c r="B7192">
        <v>42</v>
      </c>
      <c r="C7192" t="str">
        <f>CHOOSE(MATCH(B7192, {20,25,30,35,40,45,50,55,60,65,70,75,80,85}, 1), "20-24", "25-29", "30-34", "35-39", "40-44", "45-49", "50-54", "55-59", "60-64", "65-69", "70-74", "75-79", "80-84", "85+")</f>
        <v>40-44</v>
      </c>
      <c r="D7192" t="s">
        <v>8</v>
      </c>
    </row>
    <row r="7193" spans="1:4">
      <c r="A7193" t="s">
        <v>6</v>
      </c>
      <c r="B7193">
        <v>27</v>
      </c>
      <c r="C7193" t="str">
        <f>CHOOSE(MATCH(B7193, {20,25,30,35,40,45,50,55,60,65,70,75,80,85}, 1), "20-24", "25-29", "30-34", "35-39", "40-44", "45-49", "50-54", "55-59", "60-64", "65-69", "70-74", "75-79", "80-84", "85+")</f>
        <v>25-29</v>
      </c>
      <c r="D7193" t="s">
        <v>7</v>
      </c>
    </row>
    <row r="7194" spans="1:4">
      <c r="A7194" t="s">
        <v>6</v>
      </c>
      <c r="B7194">
        <v>32</v>
      </c>
      <c r="C7194" t="str">
        <f>CHOOSE(MATCH(B7194, {20,25,30,35,40,45,50,55,60,65,70,75,80,85}, 1), "20-24", "25-29", "30-34", "35-39", "40-44", "45-49", "50-54", "55-59", "60-64", "65-69", "70-74", "75-79", "80-84", "85+")</f>
        <v>30-34</v>
      </c>
      <c r="D7194" t="s">
        <v>7</v>
      </c>
    </row>
    <row r="7195" spans="1:4">
      <c r="A7195" t="s">
        <v>6</v>
      </c>
      <c r="B7195">
        <v>74</v>
      </c>
      <c r="C7195" t="str">
        <f>CHOOSE(MATCH(B7195, {20,25,30,35,40,45,50,55,60,65,70,75,80,85}, 1), "20-24", "25-29", "30-34", "35-39", "40-44", "45-49", "50-54", "55-59", "60-64", "65-69", "70-74", "75-79", "80-84", "85+")</f>
        <v>70-74</v>
      </c>
      <c r="D7195" t="s">
        <v>7</v>
      </c>
    </row>
    <row r="7196" spans="1:4">
      <c r="A7196" t="s">
        <v>6</v>
      </c>
      <c r="B7196">
        <v>29</v>
      </c>
      <c r="C7196" t="str">
        <f>CHOOSE(MATCH(B7196, {20,25,30,35,40,45,50,55,60,65,70,75,80,85}, 1), "20-24", "25-29", "30-34", "35-39", "40-44", "45-49", "50-54", "55-59", "60-64", "65-69", "70-74", "75-79", "80-84", "85+")</f>
        <v>25-29</v>
      </c>
      <c r="D7196" t="s">
        <v>7</v>
      </c>
    </row>
    <row r="7197" spans="1:4">
      <c r="A7197" t="s">
        <v>6</v>
      </c>
      <c r="B7197">
        <v>37</v>
      </c>
      <c r="C7197" t="str">
        <f>CHOOSE(MATCH(B7197, {20,25,30,35,40,45,50,55,60,65,70,75,80,85}, 1), "20-24", "25-29", "30-34", "35-39", "40-44", "45-49", "50-54", "55-59", "60-64", "65-69", "70-74", "75-79", "80-84", "85+")</f>
        <v>35-39</v>
      </c>
      <c r="D7197" t="s">
        <v>7</v>
      </c>
    </row>
    <row r="7198" spans="1:4">
      <c r="A7198" t="s">
        <v>6</v>
      </c>
      <c r="B7198">
        <v>40</v>
      </c>
      <c r="C7198" t="str">
        <f>CHOOSE(MATCH(B7198, {20,25,30,35,40,45,50,55,60,65,70,75,80,85}, 1), "20-24", "25-29", "30-34", "35-39", "40-44", "45-49", "50-54", "55-59", "60-64", "65-69", "70-74", "75-79", "80-84", "85+")</f>
        <v>40-44</v>
      </c>
      <c r="D7198" t="s">
        <v>8</v>
      </c>
    </row>
    <row r="7199" spans="1:4">
      <c r="A7199" t="s">
        <v>6</v>
      </c>
      <c r="B7199">
        <v>42</v>
      </c>
      <c r="C7199" t="str">
        <f>CHOOSE(MATCH(B7199, {20,25,30,35,40,45,50,55,60,65,70,75,80,85}, 1), "20-24", "25-29", "30-34", "35-39", "40-44", "45-49", "50-54", "55-59", "60-64", "65-69", "70-74", "75-79", "80-84", "85+")</f>
        <v>40-44</v>
      </c>
      <c r="D7199" t="s">
        <v>7</v>
      </c>
    </row>
    <row r="7200" spans="1:4">
      <c r="A7200" t="s">
        <v>6</v>
      </c>
      <c r="B7200">
        <v>52</v>
      </c>
      <c r="C7200" t="str">
        <f>CHOOSE(MATCH(B7200, {20,25,30,35,40,45,50,55,60,65,70,75,80,85}, 1), "20-24", "25-29", "30-34", "35-39", "40-44", "45-49", "50-54", "55-59", "60-64", "65-69", "70-74", "75-79", "80-84", "85+")</f>
        <v>50-54</v>
      </c>
      <c r="D7200" t="s">
        <v>7</v>
      </c>
    </row>
    <row r="7201" spans="1:4">
      <c r="A7201" t="s">
        <v>6</v>
      </c>
      <c r="B7201">
        <v>23</v>
      </c>
      <c r="C7201" t="str">
        <f>CHOOSE(MATCH(B7201, {20,25,30,35,40,45,50,55,60,65,70,75,80,85}, 1), "20-24", "25-29", "30-34", "35-39", "40-44", "45-49", "50-54", "55-59", "60-64", "65-69", "70-74", "75-79", "80-84", "85+")</f>
        <v>20-24</v>
      </c>
      <c r="D7201" t="s">
        <v>8</v>
      </c>
    </row>
    <row r="7202" spans="1:4">
      <c r="A7202" t="s">
        <v>6</v>
      </c>
      <c r="B7202">
        <v>32</v>
      </c>
      <c r="C7202" t="str">
        <f>CHOOSE(MATCH(B7202, {20,25,30,35,40,45,50,55,60,65,70,75,80,85}, 1), "20-24", "25-29", "30-34", "35-39", "40-44", "45-49", "50-54", "55-59", "60-64", "65-69", "70-74", "75-79", "80-84", "85+")</f>
        <v>30-34</v>
      </c>
      <c r="D7202" t="s">
        <v>7</v>
      </c>
    </row>
    <row r="7203" spans="1:4">
      <c r="A7203" t="s">
        <v>6</v>
      </c>
      <c r="B7203">
        <v>48</v>
      </c>
      <c r="C7203" t="str">
        <f>CHOOSE(MATCH(B7203, {20,25,30,35,40,45,50,55,60,65,70,75,80,85}, 1), "20-24", "25-29", "30-34", "35-39", "40-44", "45-49", "50-54", "55-59", "60-64", "65-69", "70-74", "75-79", "80-84", "85+")</f>
        <v>45-49</v>
      </c>
      <c r="D7203" t="s">
        <v>7</v>
      </c>
    </row>
    <row r="7204" spans="1:4">
      <c r="A7204" t="s">
        <v>6</v>
      </c>
      <c r="B7204">
        <v>31</v>
      </c>
      <c r="C7204" t="str">
        <f>CHOOSE(MATCH(B7204, {20,25,30,35,40,45,50,55,60,65,70,75,80,85}, 1), "20-24", "25-29", "30-34", "35-39", "40-44", "45-49", "50-54", "55-59", "60-64", "65-69", "70-74", "75-79", "80-84", "85+")</f>
        <v>30-34</v>
      </c>
      <c r="D7204" t="s">
        <v>8</v>
      </c>
    </row>
    <row r="7205" spans="1:4">
      <c r="A7205" t="s">
        <v>6</v>
      </c>
      <c r="B7205">
        <v>46</v>
      </c>
      <c r="C7205" t="str">
        <f>CHOOSE(MATCH(B7205, {20,25,30,35,40,45,50,55,60,65,70,75,80,85}, 1), "20-24", "25-29", "30-34", "35-39", "40-44", "45-49", "50-54", "55-59", "60-64", "65-69", "70-74", "75-79", "80-84", "85+")</f>
        <v>45-49</v>
      </c>
      <c r="D7205" t="s">
        <v>8</v>
      </c>
    </row>
    <row r="7206" spans="1:4">
      <c r="A7206" t="s">
        <v>6</v>
      </c>
      <c r="B7206">
        <v>37</v>
      </c>
      <c r="C7206" t="str">
        <f>CHOOSE(MATCH(B7206, {20,25,30,35,40,45,50,55,60,65,70,75,80,85}, 1), "20-24", "25-29", "30-34", "35-39", "40-44", "45-49", "50-54", "55-59", "60-64", "65-69", "70-74", "75-79", "80-84", "85+")</f>
        <v>35-39</v>
      </c>
      <c r="D7206" t="s">
        <v>7</v>
      </c>
    </row>
    <row r="7207" spans="1:4">
      <c r="A7207" t="s">
        <v>6</v>
      </c>
      <c r="B7207">
        <v>37</v>
      </c>
      <c r="C7207" t="str">
        <f>CHOOSE(MATCH(B7207, {20,25,30,35,40,45,50,55,60,65,70,75,80,85}, 1), "20-24", "25-29", "30-34", "35-39", "40-44", "45-49", "50-54", "55-59", "60-64", "65-69", "70-74", "75-79", "80-84", "85+")</f>
        <v>35-39</v>
      </c>
      <c r="D7207" t="s">
        <v>8</v>
      </c>
    </row>
    <row r="7208" spans="1:4">
      <c r="A7208" t="s">
        <v>6</v>
      </c>
      <c r="B7208">
        <v>68</v>
      </c>
      <c r="C7208" t="str">
        <f>CHOOSE(MATCH(B7208, {20,25,30,35,40,45,50,55,60,65,70,75,80,85}, 1), "20-24", "25-29", "30-34", "35-39", "40-44", "45-49", "50-54", "55-59", "60-64", "65-69", "70-74", "75-79", "80-84", "85+")</f>
        <v>65-69</v>
      </c>
      <c r="D7208" t="s">
        <v>8</v>
      </c>
    </row>
    <row r="7209" spans="1:4">
      <c r="A7209" t="s">
        <v>6</v>
      </c>
      <c r="B7209">
        <v>32</v>
      </c>
      <c r="C7209" t="str">
        <f>CHOOSE(MATCH(B7209, {20,25,30,35,40,45,50,55,60,65,70,75,80,85}, 1), "20-24", "25-29", "30-34", "35-39", "40-44", "45-49", "50-54", "55-59", "60-64", "65-69", "70-74", "75-79", "80-84", "85+")</f>
        <v>30-34</v>
      </c>
      <c r="D7209" t="s">
        <v>7</v>
      </c>
    </row>
    <row r="7210" spans="1:4">
      <c r="A7210" t="s">
        <v>6</v>
      </c>
      <c r="B7210">
        <v>46</v>
      </c>
      <c r="C7210" t="str">
        <f>CHOOSE(MATCH(B7210, {20,25,30,35,40,45,50,55,60,65,70,75,80,85}, 1), "20-24", "25-29", "30-34", "35-39", "40-44", "45-49", "50-54", "55-59", "60-64", "65-69", "70-74", "75-79", "80-84", "85+")</f>
        <v>45-49</v>
      </c>
      <c r="D7210" t="s">
        <v>7</v>
      </c>
    </row>
    <row r="7211" spans="1:4">
      <c r="A7211" t="s">
        <v>6</v>
      </c>
      <c r="B7211">
        <v>37</v>
      </c>
      <c r="C7211" t="str">
        <f>CHOOSE(MATCH(B7211, {20,25,30,35,40,45,50,55,60,65,70,75,80,85}, 1), "20-24", "25-29", "30-34", "35-39", "40-44", "45-49", "50-54", "55-59", "60-64", "65-69", "70-74", "75-79", "80-84", "85+")</f>
        <v>35-39</v>
      </c>
      <c r="D7211" t="s">
        <v>7</v>
      </c>
    </row>
    <row r="7212" spans="1:4">
      <c r="A7212" t="s">
        <v>6</v>
      </c>
      <c r="B7212">
        <v>28</v>
      </c>
      <c r="C7212" t="str">
        <f>CHOOSE(MATCH(B7212, {20,25,30,35,40,45,50,55,60,65,70,75,80,85}, 1), "20-24", "25-29", "30-34", "35-39", "40-44", "45-49", "50-54", "55-59", "60-64", "65-69", "70-74", "75-79", "80-84", "85+")</f>
        <v>25-29</v>
      </c>
      <c r="D7212" t="s">
        <v>7</v>
      </c>
    </row>
    <row r="7213" spans="1:4">
      <c r="A7213" t="s">
        <v>6</v>
      </c>
      <c r="B7213">
        <v>34</v>
      </c>
      <c r="C7213" t="str">
        <f>CHOOSE(MATCH(B7213, {20,25,30,35,40,45,50,55,60,65,70,75,80,85}, 1), "20-24", "25-29", "30-34", "35-39", "40-44", "45-49", "50-54", "55-59", "60-64", "65-69", "70-74", "75-79", "80-84", "85+")</f>
        <v>30-34</v>
      </c>
      <c r="D7213" t="s">
        <v>8</v>
      </c>
    </row>
    <row r="7214" spans="1:4">
      <c r="A7214" t="s">
        <v>6</v>
      </c>
      <c r="B7214">
        <v>29</v>
      </c>
      <c r="C7214" t="str">
        <f>CHOOSE(MATCH(B7214, {20,25,30,35,40,45,50,55,60,65,70,75,80,85}, 1), "20-24", "25-29", "30-34", "35-39", "40-44", "45-49", "50-54", "55-59", "60-64", "65-69", "70-74", "75-79", "80-84", "85+")</f>
        <v>25-29</v>
      </c>
      <c r="D7214" t="s">
        <v>8</v>
      </c>
    </row>
    <row r="7215" spans="1:4">
      <c r="A7215" t="s">
        <v>6</v>
      </c>
      <c r="B7215">
        <v>59</v>
      </c>
      <c r="C7215" t="str">
        <f>CHOOSE(MATCH(B7215, {20,25,30,35,40,45,50,55,60,65,70,75,80,85}, 1), "20-24", "25-29", "30-34", "35-39", "40-44", "45-49", "50-54", "55-59", "60-64", "65-69", "70-74", "75-79", "80-84", "85+")</f>
        <v>55-59</v>
      </c>
      <c r="D7215" t="s">
        <v>7</v>
      </c>
    </row>
    <row r="7216" spans="1:4">
      <c r="A7216" t="s">
        <v>6</v>
      </c>
      <c r="B7216">
        <v>38</v>
      </c>
      <c r="C7216" t="str">
        <f>CHOOSE(MATCH(B7216, {20,25,30,35,40,45,50,55,60,65,70,75,80,85}, 1), "20-24", "25-29", "30-34", "35-39", "40-44", "45-49", "50-54", "55-59", "60-64", "65-69", "70-74", "75-79", "80-84", "85+")</f>
        <v>35-39</v>
      </c>
      <c r="D7216" t="s">
        <v>8</v>
      </c>
    </row>
    <row r="7217" spans="1:4">
      <c r="A7217" t="s">
        <v>6</v>
      </c>
      <c r="B7217">
        <v>84</v>
      </c>
      <c r="C7217" t="str">
        <f>CHOOSE(MATCH(B7217, {20,25,30,35,40,45,50,55,60,65,70,75,80,85}, 1), "20-24", "25-29", "30-34", "35-39", "40-44", "45-49", "50-54", "55-59", "60-64", "65-69", "70-74", "75-79", "80-84", "85+")</f>
        <v>80-84</v>
      </c>
      <c r="D7217" t="s">
        <v>8</v>
      </c>
    </row>
    <row r="7218" spans="1:4">
      <c r="A7218" t="s">
        <v>6</v>
      </c>
      <c r="B7218">
        <v>34</v>
      </c>
      <c r="C7218" t="str">
        <f>CHOOSE(MATCH(B7218, {20,25,30,35,40,45,50,55,60,65,70,75,80,85}, 1), "20-24", "25-29", "30-34", "35-39", "40-44", "45-49", "50-54", "55-59", "60-64", "65-69", "70-74", "75-79", "80-84", "85+")</f>
        <v>30-34</v>
      </c>
      <c r="D7218" t="s">
        <v>7</v>
      </c>
    </row>
    <row r="7219" spans="1:4">
      <c r="A7219" t="s">
        <v>6</v>
      </c>
      <c r="B7219">
        <v>29</v>
      </c>
      <c r="C7219" t="str">
        <f>CHOOSE(MATCH(B7219, {20,25,30,35,40,45,50,55,60,65,70,75,80,85}, 1), "20-24", "25-29", "30-34", "35-39", "40-44", "45-49", "50-54", "55-59", "60-64", "65-69", "70-74", "75-79", "80-84", "85+")</f>
        <v>25-29</v>
      </c>
      <c r="D7219" t="s">
        <v>8</v>
      </c>
    </row>
    <row r="7220" spans="1:4">
      <c r="A7220" t="s">
        <v>6</v>
      </c>
      <c r="B7220">
        <v>30</v>
      </c>
      <c r="C7220" t="str">
        <f>CHOOSE(MATCH(B7220, {20,25,30,35,40,45,50,55,60,65,70,75,80,85}, 1), "20-24", "25-29", "30-34", "35-39", "40-44", "45-49", "50-54", "55-59", "60-64", "65-69", "70-74", "75-79", "80-84", "85+")</f>
        <v>30-34</v>
      </c>
      <c r="D7220" t="s">
        <v>7</v>
      </c>
    </row>
    <row r="7221" spans="1:4">
      <c r="A7221" t="s">
        <v>6</v>
      </c>
      <c r="B7221">
        <v>36</v>
      </c>
      <c r="C7221" t="str">
        <f>CHOOSE(MATCH(B7221, {20,25,30,35,40,45,50,55,60,65,70,75,80,85}, 1), "20-24", "25-29", "30-34", "35-39", "40-44", "45-49", "50-54", "55-59", "60-64", "65-69", "70-74", "75-79", "80-84", "85+")</f>
        <v>35-39</v>
      </c>
      <c r="D7221" t="s">
        <v>7</v>
      </c>
    </row>
    <row r="7222" spans="1:4">
      <c r="A7222" t="s">
        <v>6</v>
      </c>
      <c r="B7222">
        <v>27</v>
      </c>
      <c r="C7222" t="str">
        <f>CHOOSE(MATCH(B7222, {20,25,30,35,40,45,50,55,60,65,70,75,80,85}, 1), "20-24", "25-29", "30-34", "35-39", "40-44", "45-49", "50-54", "55-59", "60-64", "65-69", "70-74", "75-79", "80-84", "85+")</f>
        <v>25-29</v>
      </c>
      <c r="D7222" t="s">
        <v>8</v>
      </c>
    </row>
    <row r="7223" spans="1:4">
      <c r="A7223" t="s">
        <v>6</v>
      </c>
      <c r="B7223">
        <v>31</v>
      </c>
      <c r="C7223" t="str">
        <f>CHOOSE(MATCH(B7223, {20,25,30,35,40,45,50,55,60,65,70,75,80,85}, 1), "20-24", "25-29", "30-34", "35-39", "40-44", "45-49", "50-54", "55-59", "60-64", "65-69", "70-74", "75-79", "80-84", "85+")</f>
        <v>30-34</v>
      </c>
      <c r="D7223" t="s">
        <v>7</v>
      </c>
    </row>
    <row r="7224" spans="1:4">
      <c r="A7224" t="s">
        <v>6</v>
      </c>
      <c r="B7224">
        <v>47</v>
      </c>
      <c r="C7224" t="str">
        <f>CHOOSE(MATCH(B7224, {20,25,30,35,40,45,50,55,60,65,70,75,80,85}, 1), "20-24", "25-29", "30-34", "35-39", "40-44", "45-49", "50-54", "55-59", "60-64", "65-69", "70-74", "75-79", "80-84", "85+")</f>
        <v>45-49</v>
      </c>
      <c r="D7224" t="s">
        <v>7</v>
      </c>
    </row>
    <row r="7225" spans="1:4">
      <c r="A7225" t="s">
        <v>6</v>
      </c>
      <c r="B7225">
        <v>43</v>
      </c>
      <c r="C7225" t="str">
        <f>CHOOSE(MATCH(B7225, {20,25,30,35,40,45,50,55,60,65,70,75,80,85}, 1), "20-24", "25-29", "30-34", "35-39", "40-44", "45-49", "50-54", "55-59", "60-64", "65-69", "70-74", "75-79", "80-84", "85+")</f>
        <v>40-44</v>
      </c>
      <c r="D7225" t="s">
        <v>8</v>
      </c>
    </row>
    <row r="7226" spans="1:4">
      <c r="A7226" t="s">
        <v>6</v>
      </c>
      <c r="B7226">
        <v>49</v>
      </c>
      <c r="C7226" t="str">
        <f>CHOOSE(MATCH(B7226, {20,25,30,35,40,45,50,55,60,65,70,75,80,85}, 1), "20-24", "25-29", "30-34", "35-39", "40-44", "45-49", "50-54", "55-59", "60-64", "65-69", "70-74", "75-79", "80-84", "85+")</f>
        <v>45-49</v>
      </c>
      <c r="D7226" t="s">
        <v>7</v>
      </c>
    </row>
    <row r="7227" spans="1:4">
      <c r="A7227" t="s">
        <v>6</v>
      </c>
      <c r="B7227">
        <v>27</v>
      </c>
      <c r="C7227" t="str">
        <f>CHOOSE(MATCH(B7227, {20,25,30,35,40,45,50,55,60,65,70,75,80,85}, 1), "20-24", "25-29", "30-34", "35-39", "40-44", "45-49", "50-54", "55-59", "60-64", "65-69", "70-74", "75-79", "80-84", "85+")</f>
        <v>25-29</v>
      </c>
      <c r="D7227" t="s">
        <v>7</v>
      </c>
    </row>
    <row r="7228" spans="1:4">
      <c r="A7228" t="s">
        <v>6</v>
      </c>
      <c r="B7228">
        <v>37</v>
      </c>
      <c r="C7228" t="str">
        <f>CHOOSE(MATCH(B7228, {20,25,30,35,40,45,50,55,60,65,70,75,80,85}, 1), "20-24", "25-29", "30-34", "35-39", "40-44", "45-49", "50-54", "55-59", "60-64", "65-69", "70-74", "75-79", "80-84", "85+")</f>
        <v>35-39</v>
      </c>
      <c r="D7228" t="s">
        <v>8</v>
      </c>
    </row>
    <row r="7229" spans="1:4">
      <c r="A7229" t="s">
        <v>6</v>
      </c>
      <c r="B7229">
        <v>33</v>
      </c>
      <c r="C7229" t="str">
        <f>CHOOSE(MATCH(B7229, {20,25,30,35,40,45,50,55,60,65,70,75,80,85}, 1), "20-24", "25-29", "30-34", "35-39", "40-44", "45-49", "50-54", "55-59", "60-64", "65-69", "70-74", "75-79", "80-84", "85+")</f>
        <v>30-34</v>
      </c>
      <c r="D7229" t="s">
        <v>8</v>
      </c>
    </row>
    <row r="7230" spans="1:4">
      <c r="A7230" t="s">
        <v>6</v>
      </c>
      <c r="B7230">
        <v>71</v>
      </c>
      <c r="C7230" t="str">
        <f>CHOOSE(MATCH(B7230, {20,25,30,35,40,45,50,55,60,65,70,75,80,85}, 1), "20-24", "25-29", "30-34", "35-39", "40-44", "45-49", "50-54", "55-59", "60-64", "65-69", "70-74", "75-79", "80-84", "85+")</f>
        <v>70-74</v>
      </c>
      <c r="D7230" t="s">
        <v>7</v>
      </c>
    </row>
    <row r="7231" spans="1:4">
      <c r="A7231" t="s">
        <v>6</v>
      </c>
      <c r="B7231">
        <v>45</v>
      </c>
      <c r="C7231" t="str">
        <f>CHOOSE(MATCH(B7231, {20,25,30,35,40,45,50,55,60,65,70,75,80,85}, 1), "20-24", "25-29", "30-34", "35-39", "40-44", "45-49", "50-54", "55-59", "60-64", "65-69", "70-74", "75-79", "80-84", "85+")</f>
        <v>45-49</v>
      </c>
      <c r="D7231" t="s">
        <v>8</v>
      </c>
    </row>
    <row r="7232" spans="1:4">
      <c r="A7232" t="s">
        <v>6</v>
      </c>
      <c r="B7232">
        <v>35</v>
      </c>
      <c r="C7232" t="str">
        <f>CHOOSE(MATCH(B7232, {20,25,30,35,40,45,50,55,60,65,70,75,80,85}, 1), "20-24", "25-29", "30-34", "35-39", "40-44", "45-49", "50-54", "55-59", "60-64", "65-69", "70-74", "75-79", "80-84", "85+")</f>
        <v>35-39</v>
      </c>
      <c r="D7232" t="s">
        <v>7</v>
      </c>
    </row>
    <row r="7233" spans="1:4">
      <c r="A7233" t="s">
        <v>6</v>
      </c>
      <c r="B7233">
        <v>32</v>
      </c>
      <c r="C7233" t="str">
        <f>CHOOSE(MATCH(B7233, {20,25,30,35,40,45,50,55,60,65,70,75,80,85}, 1), "20-24", "25-29", "30-34", "35-39", "40-44", "45-49", "50-54", "55-59", "60-64", "65-69", "70-74", "75-79", "80-84", "85+")</f>
        <v>30-34</v>
      </c>
      <c r="D7233" t="s">
        <v>8</v>
      </c>
    </row>
    <row r="7234" spans="1:4">
      <c r="A7234" t="s">
        <v>6</v>
      </c>
      <c r="B7234">
        <v>29</v>
      </c>
      <c r="C7234" t="str">
        <f>CHOOSE(MATCH(B7234, {20,25,30,35,40,45,50,55,60,65,70,75,80,85}, 1), "20-24", "25-29", "30-34", "35-39", "40-44", "45-49", "50-54", "55-59", "60-64", "65-69", "70-74", "75-79", "80-84", "85+")</f>
        <v>25-29</v>
      </c>
      <c r="D7234" t="s">
        <v>8</v>
      </c>
    </row>
    <row r="7235" spans="1:4">
      <c r="A7235" t="s">
        <v>6</v>
      </c>
      <c r="B7235">
        <v>39</v>
      </c>
      <c r="C7235" t="str">
        <f>CHOOSE(MATCH(B7235, {20,25,30,35,40,45,50,55,60,65,70,75,80,85}, 1), "20-24", "25-29", "30-34", "35-39", "40-44", "45-49", "50-54", "55-59", "60-64", "65-69", "70-74", "75-79", "80-84", "85+")</f>
        <v>35-39</v>
      </c>
      <c r="D7235" t="s">
        <v>8</v>
      </c>
    </row>
    <row r="7236" spans="1:4">
      <c r="A7236" t="s">
        <v>6</v>
      </c>
      <c r="B7236">
        <v>39</v>
      </c>
      <c r="C7236" t="str">
        <f>CHOOSE(MATCH(B7236, {20,25,30,35,40,45,50,55,60,65,70,75,80,85}, 1), "20-24", "25-29", "30-34", "35-39", "40-44", "45-49", "50-54", "55-59", "60-64", "65-69", "70-74", "75-79", "80-84", "85+")</f>
        <v>35-39</v>
      </c>
      <c r="D7236" t="s">
        <v>8</v>
      </c>
    </row>
    <row r="7237" spans="1:4">
      <c r="A7237" t="s">
        <v>6</v>
      </c>
      <c r="B7237">
        <v>25</v>
      </c>
      <c r="C7237" t="str">
        <f>CHOOSE(MATCH(B7237, {20,25,30,35,40,45,50,55,60,65,70,75,80,85}, 1), "20-24", "25-29", "30-34", "35-39", "40-44", "45-49", "50-54", "55-59", "60-64", "65-69", "70-74", "75-79", "80-84", "85+")</f>
        <v>25-29</v>
      </c>
      <c r="D7237" t="s">
        <v>8</v>
      </c>
    </row>
    <row r="7238" spans="1:4">
      <c r="A7238" t="s">
        <v>6</v>
      </c>
      <c r="B7238">
        <v>26</v>
      </c>
      <c r="C7238" t="str">
        <f>CHOOSE(MATCH(B7238, {20,25,30,35,40,45,50,55,60,65,70,75,80,85}, 1), "20-24", "25-29", "30-34", "35-39", "40-44", "45-49", "50-54", "55-59", "60-64", "65-69", "70-74", "75-79", "80-84", "85+")</f>
        <v>25-29</v>
      </c>
      <c r="D7238" t="s">
        <v>8</v>
      </c>
    </row>
    <row r="7239" spans="1:4">
      <c r="A7239" t="s">
        <v>6</v>
      </c>
      <c r="B7239">
        <v>45</v>
      </c>
      <c r="C7239" t="str">
        <f>CHOOSE(MATCH(B7239, {20,25,30,35,40,45,50,55,60,65,70,75,80,85}, 1), "20-24", "25-29", "30-34", "35-39", "40-44", "45-49", "50-54", "55-59", "60-64", "65-69", "70-74", "75-79", "80-84", "85+")</f>
        <v>45-49</v>
      </c>
      <c r="D7239" t="s">
        <v>8</v>
      </c>
    </row>
    <row r="7240" spans="1:4">
      <c r="A7240" t="s">
        <v>6</v>
      </c>
      <c r="B7240">
        <v>30</v>
      </c>
      <c r="C7240" t="str">
        <f>CHOOSE(MATCH(B7240, {20,25,30,35,40,45,50,55,60,65,70,75,80,85}, 1), "20-24", "25-29", "30-34", "35-39", "40-44", "45-49", "50-54", "55-59", "60-64", "65-69", "70-74", "75-79", "80-84", "85+")</f>
        <v>30-34</v>
      </c>
      <c r="D7240" t="s">
        <v>7</v>
      </c>
    </row>
    <row r="7241" spans="1:4">
      <c r="A7241" t="s">
        <v>6</v>
      </c>
      <c r="B7241">
        <v>47</v>
      </c>
      <c r="C7241" t="str">
        <f>CHOOSE(MATCH(B7241, {20,25,30,35,40,45,50,55,60,65,70,75,80,85}, 1), "20-24", "25-29", "30-34", "35-39", "40-44", "45-49", "50-54", "55-59", "60-64", "65-69", "70-74", "75-79", "80-84", "85+")</f>
        <v>45-49</v>
      </c>
      <c r="D7241" t="s">
        <v>8</v>
      </c>
    </row>
    <row r="7242" spans="1:4">
      <c r="A7242" t="s">
        <v>6</v>
      </c>
      <c r="B7242">
        <v>32</v>
      </c>
      <c r="C7242" t="str">
        <f>CHOOSE(MATCH(B7242, {20,25,30,35,40,45,50,55,60,65,70,75,80,85}, 1), "20-24", "25-29", "30-34", "35-39", "40-44", "45-49", "50-54", "55-59", "60-64", "65-69", "70-74", "75-79", "80-84", "85+")</f>
        <v>30-34</v>
      </c>
      <c r="D7242" t="s">
        <v>7</v>
      </c>
    </row>
    <row r="7243" spans="1:4">
      <c r="A7243" t="s">
        <v>6</v>
      </c>
      <c r="B7243">
        <v>38</v>
      </c>
      <c r="C7243" t="str">
        <f>CHOOSE(MATCH(B7243, {20,25,30,35,40,45,50,55,60,65,70,75,80,85}, 1), "20-24", "25-29", "30-34", "35-39", "40-44", "45-49", "50-54", "55-59", "60-64", "65-69", "70-74", "75-79", "80-84", "85+")</f>
        <v>35-39</v>
      </c>
      <c r="D7243" t="s">
        <v>7</v>
      </c>
    </row>
    <row r="7244" spans="1:4">
      <c r="A7244" t="s">
        <v>6</v>
      </c>
      <c r="B7244">
        <v>34</v>
      </c>
      <c r="C7244" t="str">
        <f>CHOOSE(MATCH(B7244, {20,25,30,35,40,45,50,55,60,65,70,75,80,85}, 1), "20-24", "25-29", "30-34", "35-39", "40-44", "45-49", "50-54", "55-59", "60-64", "65-69", "70-74", "75-79", "80-84", "85+")</f>
        <v>30-34</v>
      </c>
      <c r="D7244" t="s">
        <v>7</v>
      </c>
    </row>
    <row r="7245" spans="1:4">
      <c r="A7245" t="s">
        <v>6</v>
      </c>
      <c r="B7245">
        <v>24</v>
      </c>
      <c r="C7245" t="str">
        <f>CHOOSE(MATCH(B7245, {20,25,30,35,40,45,50,55,60,65,70,75,80,85}, 1), "20-24", "25-29", "30-34", "35-39", "40-44", "45-49", "50-54", "55-59", "60-64", "65-69", "70-74", "75-79", "80-84", "85+")</f>
        <v>20-24</v>
      </c>
      <c r="D7245" t="s">
        <v>7</v>
      </c>
    </row>
    <row r="7246" spans="1:4">
      <c r="A7246" t="s">
        <v>6</v>
      </c>
      <c r="B7246">
        <v>48</v>
      </c>
      <c r="C7246" t="str">
        <f>CHOOSE(MATCH(B7246, {20,25,30,35,40,45,50,55,60,65,70,75,80,85}, 1), "20-24", "25-29", "30-34", "35-39", "40-44", "45-49", "50-54", "55-59", "60-64", "65-69", "70-74", "75-79", "80-84", "85+")</f>
        <v>45-49</v>
      </c>
      <c r="D7246" t="s">
        <v>8</v>
      </c>
    </row>
    <row r="7247" spans="1:4">
      <c r="A7247" t="s">
        <v>6</v>
      </c>
      <c r="B7247">
        <v>26</v>
      </c>
      <c r="C7247" t="str">
        <f>CHOOSE(MATCH(B7247, {20,25,30,35,40,45,50,55,60,65,70,75,80,85}, 1), "20-24", "25-29", "30-34", "35-39", "40-44", "45-49", "50-54", "55-59", "60-64", "65-69", "70-74", "75-79", "80-84", "85+")</f>
        <v>25-29</v>
      </c>
      <c r="D7247" t="s">
        <v>8</v>
      </c>
    </row>
    <row r="7248" spans="1:4">
      <c r="A7248" t="s">
        <v>6</v>
      </c>
      <c r="B7248">
        <v>57</v>
      </c>
      <c r="C7248" t="str">
        <f>CHOOSE(MATCH(B7248, {20,25,30,35,40,45,50,55,60,65,70,75,80,85}, 1), "20-24", "25-29", "30-34", "35-39", "40-44", "45-49", "50-54", "55-59", "60-64", "65-69", "70-74", "75-79", "80-84", "85+")</f>
        <v>55-59</v>
      </c>
      <c r="D7248" t="s">
        <v>7</v>
      </c>
    </row>
    <row r="7249" spans="1:4">
      <c r="A7249" t="s">
        <v>6</v>
      </c>
      <c r="B7249">
        <v>84</v>
      </c>
      <c r="C7249" t="str">
        <f>CHOOSE(MATCH(B7249, {20,25,30,35,40,45,50,55,60,65,70,75,80,85}, 1), "20-24", "25-29", "30-34", "35-39", "40-44", "45-49", "50-54", "55-59", "60-64", "65-69", "70-74", "75-79", "80-84", "85+")</f>
        <v>80-84</v>
      </c>
      <c r="D7249" t="s">
        <v>8</v>
      </c>
    </row>
    <row r="7250" spans="1:4">
      <c r="A7250" t="s">
        <v>6</v>
      </c>
      <c r="B7250">
        <v>32</v>
      </c>
      <c r="C7250" t="str">
        <f>CHOOSE(MATCH(B7250, {20,25,30,35,40,45,50,55,60,65,70,75,80,85}, 1), "20-24", "25-29", "30-34", "35-39", "40-44", "45-49", "50-54", "55-59", "60-64", "65-69", "70-74", "75-79", "80-84", "85+")</f>
        <v>30-34</v>
      </c>
      <c r="D7250" t="s">
        <v>8</v>
      </c>
    </row>
    <row r="7251" spans="1:4">
      <c r="A7251" t="s">
        <v>6</v>
      </c>
      <c r="B7251">
        <v>27</v>
      </c>
      <c r="C7251" t="str">
        <f>CHOOSE(MATCH(B7251, {20,25,30,35,40,45,50,55,60,65,70,75,80,85}, 1), "20-24", "25-29", "30-34", "35-39", "40-44", "45-49", "50-54", "55-59", "60-64", "65-69", "70-74", "75-79", "80-84", "85+")</f>
        <v>25-29</v>
      </c>
      <c r="D7251" t="s">
        <v>8</v>
      </c>
    </row>
    <row r="7252" spans="1:4">
      <c r="A7252" t="s">
        <v>6</v>
      </c>
      <c r="B7252">
        <v>32</v>
      </c>
      <c r="C7252" t="str">
        <f>CHOOSE(MATCH(B7252, {20,25,30,35,40,45,50,55,60,65,70,75,80,85}, 1), "20-24", "25-29", "30-34", "35-39", "40-44", "45-49", "50-54", "55-59", "60-64", "65-69", "70-74", "75-79", "80-84", "85+")</f>
        <v>30-34</v>
      </c>
      <c r="D7252" t="s">
        <v>7</v>
      </c>
    </row>
    <row r="7253" spans="1:4">
      <c r="A7253" t="s">
        <v>6</v>
      </c>
      <c r="B7253">
        <v>40</v>
      </c>
      <c r="C7253" t="str">
        <f>CHOOSE(MATCH(B7253, {20,25,30,35,40,45,50,55,60,65,70,75,80,85}, 1), "20-24", "25-29", "30-34", "35-39", "40-44", "45-49", "50-54", "55-59", "60-64", "65-69", "70-74", "75-79", "80-84", "85+")</f>
        <v>40-44</v>
      </c>
      <c r="D7253" t="s">
        <v>7</v>
      </c>
    </row>
    <row r="7254" spans="1:4">
      <c r="A7254" t="s">
        <v>6</v>
      </c>
      <c r="B7254">
        <v>56</v>
      </c>
      <c r="C7254" t="str">
        <f>CHOOSE(MATCH(B7254, {20,25,30,35,40,45,50,55,60,65,70,75,80,85}, 1), "20-24", "25-29", "30-34", "35-39", "40-44", "45-49", "50-54", "55-59", "60-64", "65-69", "70-74", "75-79", "80-84", "85+")</f>
        <v>55-59</v>
      </c>
      <c r="D7254" t="s">
        <v>8</v>
      </c>
    </row>
    <row r="7255" spans="1:4">
      <c r="A7255" t="s">
        <v>6</v>
      </c>
      <c r="B7255">
        <v>35</v>
      </c>
      <c r="C7255" t="str">
        <f>CHOOSE(MATCH(B7255, {20,25,30,35,40,45,50,55,60,65,70,75,80,85}, 1), "20-24", "25-29", "30-34", "35-39", "40-44", "45-49", "50-54", "55-59", "60-64", "65-69", "70-74", "75-79", "80-84", "85+")</f>
        <v>35-39</v>
      </c>
      <c r="D7255" t="s">
        <v>7</v>
      </c>
    </row>
    <row r="7256" spans="1:4">
      <c r="A7256" t="s">
        <v>6</v>
      </c>
      <c r="B7256">
        <v>33</v>
      </c>
      <c r="C7256" t="str">
        <f>CHOOSE(MATCH(B7256, {20,25,30,35,40,45,50,55,60,65,70,75,80,85}, 1), "20-24", "25-29", "30-34", "35-39", "40-44", "45-49", "50-54", "55-59", "60-64", "65-69", "70-74", "75-79", "80-84", "85+")</f>
        <v>30-34</v>
      </c>
      <c r="D7256" t="s">
        <v>7</v>
      </c>
    </row>
    <row r="7257" spans="1:4">
      <c r="A7257" t="s">
        <v>6</v>
      </c>
      <c r="B7257">
        <v>34</v>
      </c>
      <c r="C7257" t="str">
        <f>CHOOSE(MATCH(B7257, {20,25,30,35,40,45,50,55,60,65,70,75,80,85}, 1), "20-24", "25-29", "30-34", "35-39", "40-44", "45-49", "50-54", "55-59", "60-64", "65-69", "70-74", "75-79", "80-84", "85+")</f>
        <v>30-34</v>
      </c>
      <c r="D7257" t="s">
        <v>7</v>
      </c>
    </row>
    <row r="7258" spans="1:4">
      <c r="A7258" t="s">
        <v>6</v>
      </c>
      <c r="B7258">
        <v>29</v>
      </c>
      <c r="C7258" t="str">
        <f>CHOOSE(MATCH(B7258, {20,25,30,35,40,45,50,55,60,65,70,75,80,85}, 1), "20-24", "25-29", "30-34", "35-39", "40-44", "45-49", "50-54", "55-59", "60-64", "65-69", "70-74", "75-79", "80-84", "85+")</f>
        <v>25-29</v>
      </c>
      <c r="D7258" t="s">
        <v>8</v>
      </c>
    </row>
    <row r="7259" spans="1:4">
      <c r="A7259" t="s">
        <v>6</v>
      </c>
      <c r="B7259">
        <v>75</v>
      </c>
      <c r="C7259" t="str">
        <f>CHOOSE(MATCH(B7259, {20,25,30,35,40,45,50,55,60,65,70,75,80,85}, 1), "20-24", "25-29", "30-34", "35-39", "40-44", "45-49", "50-54", "55-59", "60-64", "65-69", "70-74", "75-79", "80-84", "85+")</f>
        <v>75-79</v>
      </c>
      <c r="D7259" t="s">
        <v>8</v>
      </c>
    </row>
    <row r="7260" spans="1:4">
      <c r="A7260" t="s">
        <v>6</v>
      </c>
      <c r="B7260">
        <v>34</v>
      </c>
      <c r="C7260" t="str">
        <f>CHOOSE(MATCH(B7260, {20,25,30,35,40,45,50,55,60,65,70,75,80,85}, 1), "20-24", "25-29", "30-34", "35-39", "40-44", "45-49", "50-54", "55-59", "60-64", "65-69", "70-74", "75-79", "80-84", "85+")</f>
        <v>30-34</v>
      </c>
      <c r="D7260" t="s">
        <v>8</v>
      </c>
    </row>
    <row r="7261" spans="1:4">
      <c r="A7261" t="s">
        <v>6</v>
      </c>
      <c r="B7261">
        <v>22</v>
      </c>
      <c r="C7261" t="str">
        <f>CHOOSE(MATCH(B7261, {20,25,30,35,40,45,50,55,60,65,70,75,80,85}, 1), "20-24", "25-29", "30-34", "35-39", "40-44", "45-49", "50-54", "55-59", "60-64", "65-69", "70-74", "75-79", "80-84", "85+")</f>
        <v>20-24</v>
      </c>
      <c r="D7261" t="s">
        <v>7</v>
      </c>
    </row>
    <row r="7262" spans="1:4">
      <c r="A7262" t="s">
        <v>6</v>
      </c>
      <c r="B7262">
        <v>29</v>
      </c>
      <c r="C7262" t="str">
        <f>CHOOSE(MATCH(B7262, {20,25,30,35,40,45,50,55,60,65,70,75,80,85}, 1), "20-24", "25-29", "30-34", "35-39", "40-44", "45-49", "50-54", "55-59", "60-64", "65-69", "70-74", "75-79", "80-84", "85+")</f>
        <v>25-29</v>
      </c>
      <c r="D7262" t="s">
        <v>8</v>
      </c>
    </row>
    <row r="7263" spans="1:4">
      <c r="A7263" t="s">
        <v>6</v>
      </c>
      <c r="B7263">
        <v>29</v>
      </c>
      <c r="C7263" t="str">
        <f>CHOOSE(MATCH(B7263, {20,25,30,35,40,45,50,55,60,65,70,75,80,85}, 1), "20-24", "25-29", "30-34", "35-39", "40-44", "45-49", "50-54", "55-59", "60-64", "65-69", "70-74", "75-79", "80-84", "85+")</f>
        <v>25-29</v>
      </c>
      <c r="D7263" t="s">
        <v>8</v>
      </c>
    </row>
    <row r="7264" spans="1:4">
      <c r="A7264" t="s">
        <v>6</v>
      </c>
      <c r="B7264">
        <v>33</v>
      </c>
      <c r="C7264" t="str">
        <f>CHOOSE(MATCH(B7264, {20,25,30,35,40,45,50,55,60,65,70,75,80,85}, 1), "20-24", "25-29", "30-34", "35-39", "40-44", "45-49", "50-54", "55-59", "60-64", "65-69", "70-74", "75-79", "80-84", "85+")</f>
        <v>30-34</v>
      </c>
      <c r="D7264" t="s">
        <v>7</v>
      </c>
    </row>
    <row r="7265" spans="1:4">
      <c r="A7265" t="s">
        <v>6</v>
      </c>
      <c r="B7265">
        <v>60</v>
      </c>
      <c r="C7265" t="str">
        <f>CHOOSE(MATCH(B7265, {20,25,30,35,40,45,50,55,60,65,70,75,80,85}, 1), "20-24", "25-29", "30-34", "35-39", "40-44", "45-49", "50-54", "55-59", "60-64", "65-69", "70-74", "75-79", "80-84", "85+")</f>
        <v>60-64</v>
      </c>
      <c r="D7265" t="s">
        <v>7</v>
      </c>
    </row>
    <row r="7266" spans="1:4">
      <c r="A7266" t="s">
        <v>6</v>
      </c>
      <c r="B7266">
        <v>37</v>
      </c>
      <c r="C7266" t="str">
        <f>CHOOSE(MATCH(B7266, {20,25,30,35,40,45,50,55,60,65,70,75,80,85}, 1), "20-24", "25-29", "30-34", "35-39", "40-44", "45-49", "50-54", "55-59", "60-64", "65-69", "70-74", "75-79", "80-84", "85+")</f>
        <v>35-39</v>
      </c>
      <c r="D7266" t="s">
        <v>8</v>
      </c>
    </row>
    <row r="7267" spans="1:4">
      <c r="A7267" t="s">
        <v>6</v>
      </c>
      <c r="B7267">
        <v>66</v>
      </c>
      <c r="C7267" t="str">
        <f>CHOOSE(MATCH(B7267, {20,25,30,35,40,45,50,55,60,65,70,75,80,85}, 1), "20-24", "25-29", "30-34", "35-39", "40-44", "45-49", "50-54", "55-59", "60-64", "65-69", "70-74", "75-79", "80-84", "85+")</f>
        <v>65-69</v>
      </c>
      <c r="D7267" t="s">
        <v>7</v>
      </c>
    </row>
    <row r="7268" spans="1:4">
      <c r="A7268" t="s">
        <v>6</v>
      </c>
      <c r="B7268">
        <v>37</v>
      </c>
      <c r="C7268" t="str">
        <f>CHOOSE(MATCH(B7268, {20,25,30,35,40,45,50,55,60,65,70,75,80,85}, 1), "20-24", "25-29", "30-34", "35-39", "40-44", "45-49", "50-54", "55-59", "60-64", "65-69", "70-74", "75-79", "80-84", "85+")</f>
        <v>35-39</v>
      </c>
      <c r="D7268" t="s">
        <v>7</v>
      </c>
    </row>
    <row r="7269" spans="1:4">
      <c r="A7269" t="s">
        <v>6</v>
      </c>
      <c r="B7269">
        <v>69</v>
      </c>
      <c r="C7269" t="str">
        <f>CHOOSE(MATCH(B7269, {20,25,30,35,40,45,50,55,60,65,70,75,80,85}, 1), "20-24", "25-29", "30-34", "35-39", "40-44", "45-49", "50-54", "55-59", "60-64", "65-69", "70-74", "75-79", "80-84", "85+")</f>
        <v>65-69</v>
      </c>
      <c r="D7269" t="s">
        <v>7</v>
      </c>
    </row>
    <row r="7270" spans="1:4">
      <c r="A7270" t="s">
        <v>6</v>
      </c>
      <c r="B7270">
        <v>29</v>
      </c>
      <c r="C7270" t="str">
        <f>CHOOSE(MATCH(B7270, {20,25,30,35,40,45,50,55,60,65,70,75,80,85}, 1), "20-24", "25-29", "30-34", "35-39", "40-44", "45-49", "50-54", "55-59", "60-64", "65-69", "70-74", "75-79", "80-84", "85+")</f>
        <v>25-29</v>
      </c>
      <c r="D7270" t="s">
        <v>7</v>
      </c>
    </row>
    <row r="7271" spans="1:4">
      <c r="A7271" t="s">
        <v>6</v>
      </c>
      <c r="B7271">
        <v>61</v>
      </c>
      <c r="C7271" t="str">
        <f>CHOOSE(MATCH(B7271, {20,25,30,35,40,45,50,55,60,65,70,75,80,85}, 1), "20-24", "25-29", "30-34", "35-39", "40-44", "45-49", "50-54", "55-59", "60-64", "65-69", "70-74", "75-79", "80-84", "85+")</f>
        <v>60-64</v>
      </c>
      <c r="D7271" t="s">
        <v>8</v>
      </c>
    </row>
    <row r="7272" spans="1:4">
      <c r="A7272" t="s">
        <v>6</v>
      </c>
      <c r="B7272">
        <v>24</v>
      </c>
      <c r="C7272" t="str">
        <f>CHOOSE(MATCH(B7272, {20,25,30,35,40,45,50,55,60,65,70,75,80,85}, 1), "20-24", "25-29", "30-34", "35-39", "40-44", "45-49", "50-54", "55-59", "60-64", "65-69", "70-74", "75-79", "80-84", "85+")</f>
        <v>20-24</v>
      </c>
      <c r="D7272" t="s">
        <v>8</v>
      </c>
    </row>
    <row r="7273" spans="1:4">
      <c r="A7273" t="s">
        <v>6</v>
      </c>
      <c r="B7273">
        <v>73</v>
      </c>
      <c r="C7273" t="str">
        <f>CHOOSE(MATCH(B7273, {20,25,30,35,40,45,50,55,60,65,70,75,80,85}, 1), "20-24", "25-29", "30-34", "35-39", "40-44", "45-49", "50-54", "55-59", "60-64", "65-69", "70-74", "75-79", "80-84", "85+")</f>
        <v>70-74</v>
      </c>
      <c r="D7273" t="s">
        <v>8</v>
      </c>
    </row>
    <row r="7274" spans="1:4">
      <c r="A7274" t="s">
        <v>6</v>
      </c>
      <c r="B7274">
        <v>59</v>
      </c>
      <c r="C7274" t="str">
        <f>CHOOSE(MATCH(B7274, {20,25,30,35,40,45,50,55,60,65,70,75,80,85}, 1), "20-24", "25-29", "30-34", "35-39", "40-44", "45-49", "50-54", "55-59", "60-64", "65-69", "70-74", "75-79", "80-84", "85+")</f>
        <v>55-59</v>
      </c>
      <c r="D7274" t="s">
        <v>8</v>
      </c>
    </row>
    <row r="7275" spans="1:4">
      <c r="A7275" t="s">
        <v>6</v>
      </c>
      <c r="B7275">
        <v>56</v>
      </c>
      <c r="C7275" t="str">
        <f>CHOOSE(MATCH(B7275, {20,25,30,35,40,45,50,55,60,65,70,75,80,85}, 1), "20-24", "25-29", "30-34", "35-39", "40-44", "45-49", "50-54", "55-59", "60-64", "65-69", "70-74", "75-79", "80-84", "85+")</f>
        <v>55-59</v>
      </c>
      <c r="D7275" t="s">
        <v>8</v>
      </c>
    </row>
    <row r="7276" spans="1:4">
      <c r="A7276" t="s">
        <v>6</v>
      </c>
      <c r="B7276">
        <v>54</v>
      </c>
      <c r="C7276" t="str">
        <f>CHOOSE(MATCH(B7276, {20,25,30,35,40,45,50,55,60,65,70,75,80,85}, 1), "20-24", "25-29", "30-34", "35-39", "40-44", "45-49", "50-54", "55-59", "60-64", "65-69", "70-74", "75-79", "80-84", "85+")</f>
        <v>50-54</v>
      </c>
      <c r="D7276" t="s">
        <v>7</v>
      </c>
    </row>
    <row r="7277" spans="1:4">
      <c r="A7277" t="s">
        <v>6</v>
      </c>
      <c r="B7277">
        <v>34</v>
      </c>
      <c r="C7277" t="str">
        <f>CHOOSE(MATCH(B7277, {20,25,30,35,40,45,50,55,60,65,70,75,80,85}, 1), "20-24", "25-29", "30-34", "35-39", "40-44", "45-49", "50-54", "55-59", "60-64", "65-69", "70-74", "75-79", "80-84", "85+")</f>
        <v>30-34</v>
      </c>
      <c r="D7277" t="s">
        <v>8</v>
      </c>
    </row>
    <row r="7278" spans="1:4">
      <c r="A7278" t="s">
        <v>6</v>
      </c>
      <c r="B7278">
        <v>37</v>
      </c>
      <c r="C7278" t="str">
        <f>CHOOSE(MATCH(B7278, {20,25,30,35,40,45,50,55,60,65,70,75,80,85}, 1), "20-24", "25-29", "30-34", "35-39", "40-44", "45-49", "50-54", "55-59", "60-64", "65-69", "70-74", "75-79", "80-84", "85+")</f>
        <v>35-39</v>
      </c>
      <c r="D7278" t="s">
        <v>7</v>
      </c>
    </row>
    <row r="7279" spans="1:4">
      <c r="A7279" t="s">
        <v>6</v>
      </c>
      <c r="B7279">
        <v>30</v>
      </c>
      <c r="C7279" t="str">
        <f>CHOOSE(MATCH(B7279, {20,25,30,35,40,45,50,55,60,65,70,75,80,85}, 1), "20-24", "25-29", "30-34", "35-39", "40-44", "45-49", "50-54", "55-59", "60-64", "65-69", "70-74", "75-79", "80-84", "85+")</f>
        <v>30-34</v>
      </c>
      <c r="D7279" t="s">
        <v>7</v>
      </c>
    </row>
    <row r="7280" spans="1:4">
      <c r="A7280" t="s">
        <v>6</v>
      </c>
      <c r="B7280">
        <v>31</v>
      </c>
      <c r="C7280" t="str">
        <f>CHOOSE(MATCH(B7280, {20,25,30,35,40,45,50,55,60,65,70,75,80,85}, 1), "20-24", "25-29", "30-34", "35-39", "40-44", "45-49", "50-54", "55-59", "60-64", "65-69", "70-74", "75-79", "80-84", "85+")</f>
        <v>30-34</v>
      </c>
      <c r="D7280" t="s">
        <v>7</v>
      </c>
    </row>
    <row r="7281" spans="1:4">
      <c r="A7281" t="s">
        <v>6</v>
      </c>
      <c r="B7281">
        <v>36</v>
      </c>
      <c r="C7281" t="str">
        <f>CHOOSE(MATCH(B7281, {20,25,30,35,40,45,50,55,60,65,70,75,80,85}, 1), "20-24", "25-29", "30-34", "35-39", "40-44", "45-49", "50-54", "55-59", "60-64", "65-69", "70-74", "75-79", "80-84", "85+")</f>
        <v>35-39</v>
      </c>
      <c r="D7281" t="s">
        <v>7</v>
      </c>
    </row>
    <row r="7282" spans="1:4">
      <c r="A7282" t="s">
        <v>6</v>
      </c>
      <c r="B7282">
        <v>34</v>
      </c>
      <c r="C7282" t="str">
        <f>CHOOSE(MATCH(B7282, {20,25,30,35,40,45,50,55,60,65,70,75,80,85}, 1), "20-24", "25-29", "30-34", "35-39", "40-44", "45-49", "50-54", "55-59", "60-64", "65-69", "70-74", "75-79", "80-84", "85+")</f>
        <v>30-34</v>
      </c>
      <c r="D7282" t="s">
        <v>8</v>
      </c>
    </row>
    <row r="7283" spans="1:4">
      <c r="A7283" t="s">
        <v>6</v>
      </c>
      <c r="B7283">
        <v>33</v>
      </c>
      <c r="C7283" t="str">
        <f>CHOOSE(MATCH(B7283, {20,25,30,35,40,45,50,55,60,65,70,75,80,85}, 1), "20-24", "25-29", "30-34", "35-39", "40-44", "45-49", "50-54", "55-59", "60-64", "65-69", "70-74", "75-79", "80-84", "85+")</f>
        <v>30-34</v>
      </c>
      <c r="D7283" t="s">
        <v>7</v>
      </c>
    </row>
    <row r="7284" spans="1:4">
      <c r="A7284" t="s">
        <v>6</v>
      </c>
      <c r="B7284">
        <v>62</v>
      </c>
      <c r="C7284" t="str">
        <f>CHOOSE(MATCH(B7284, {20,25,30,35,40,45,50,55,60,65,70,75,80,85}, 1), "20-24", "25-29", "30-34", "35-39", "40-44", "45-49", "50-54", "55-59", "60-64", "65-69", "70-74", "75-79", "80-84", "85+")</f>
        <v>60-64</v>
      </c>
      <c r="D7284" t="s">
        <v>8</v>
      </c>
    </row>
    <row r="7285" spans="1:4">
      <c r="A7285" t="s">
        <v>6</v>
      </c>
      <c r="B7285">
        <v>38</v>
      </c>
      <c r="C7285" t="str">
        <f>CHOOSE(MATCH(B7285, {20,25,30,35,40,45,50,55,60,65,70,75,80,85}, 1), "20-24", "25-29", "30-34", "35-39", "40-44", "45-49", "50-54", "55-59", "60-64", "65-69", "70-74", "75-79", "80-84", "85+")</f>
        <v>35-39</v>
      </c>
      <c r="D7285" t="s">
        <v>7</v>
      </c>
    </row>
    <row r="7286" spans="1:4">
      <c r="A7286" t="s">
        <v>6</v>
      </c>
      <c r="B7286">
        <v>35</v>
      </c>
      <c r="C7286" t="str">
        <f>CHOOSE(MATCH(B7286, {20,25,30,35,40,45,50,55,60,65,70,75,80,85}, 1), "20-24", "25-29", "30-34", "35-39", "40-44", "45-49", "50-54", "55-59", "60-64", "65-69", "70-74", "75-79", "80-84", "85+")</f>
        <v>35-39</v>
      </c>
      <c r="D7286" t="s">
        <v>7</v>
      </c>
    </row>
    <row r="7287" spans="1:4">
      <c r="A7287" t="s">
        <v>6</v>
      </c>
      <c r="B7287">
        <v>40</v>
      </c>
      <c r="C7287" t="str">
        <f>CHOOSE(MATCH(B7287, {20,25,30,35,40,45,50,55,60,65,70,75,80,85}, 1), "20-24", "25-29", "30-34", "35-39", "40-44", "45-49", "50-54", "55-59", "60-64", "65-69", "70-74", "75-79", "80-84", "85+")</f>
        <v>40-44</v>
      </c>
      <c r="D7287" t="s">
        <v>8</v>
      </c>
    </row>
    <row r="7288" spans="1:4">
      <c r="A7288" t="s">
        <v>6</v>
      </c>
      <c r="B7288">
        <v>39</v>
      </c>
      <c r="C7288" t="str">
        <f>CHOOSE(MATCH(B7288, {20,25,30,35,40,45,50,55,60,65,70,75,80,85}, 1), "20-24", "25-29", "30-34", "35-39", "40-44", "45-49", "50-54", "55-59", "60-64", "65-69", "70-74", "75-79", "80-84", "85+")</f>
        <v>35-39</v>
      </c>
      <c r="D7288" t="s">
        <v>8</v>
      </c>
    </row>
    <row r="7289" spans="1:4">
      <c r="A7289" t="s">
        <v>6</v>
      </c>
      <c r="B7289">
        <v>25</v>
      </c>
      <c r="C7289" t="str">
        <f>CHOOSE(MATCH(B7289, {20,25,30,35,40,45,50,55,60,65,70,75,80,85}, 1), "20-24", "25-29", "30-34", "35-39", "40-44", "45-49", "50-54", "55-59", "60-64", "65-69", "70-74", "75-79", "80-84", "85+")</f>
        <v>25-29</v>
      </c>
      <c r="D7289" t="s">
        <v>7</v>
      </c>
    </row>
    <row r="7290" spans="1:4">
      <c r="A7290" t="s">
        <v>6</v>
      </c>
      <c r="B7290">
        <v>25</v>
      </c>
      <c r="C7290" t="str">
        <f>CHOOSE(MATCH(B7290, {20,25,30,35,40,45,50,55,60,65,70,75,80,85}, 1), "20-24", "25-29", "30-34", "35-39", "40-44", "45-49", "50-54", "55-59", "60-64", "65-69", "70-74", "75-79", "80-84", "85+")</f>
        <v>25-29</v>
      </c>
      <c r="D7290" t="s">
        <v>7</v>
      </c>
    </row>
    <row r="7291" spans="1:4">
      <c r="A7291" t="s">
        <v>6</v>
      </c>
      <c r="B7291">
        <v>29</v>
      </c>
      <c r="C7291" t="str">
        <f>CHOOSE(MATCH(B7291, {20,25,30,35,40,45,50,55,60,65,70,75,80,85}, 1), "20-24", "25-29", "30-34", "35-39", "40-44", "45-49", "50-54", "55-59", "60-64", "65-69", "70-74", "75-79", "80-84", "85+")</f>
        <v>25-29</v>
      </c>
      <c r="D7291" t="s">
        <v>8</v>
      </c>
    </row>
    <row r="7292" spans="1:4">
      <c r="A7292" t="s">
        <v>6</v>
      </c>
      <c r="B7292">
        <v>37</v>
      </c>
      <c r="C7292" t="str">
        <f>CHOOSE(MATCH(B7292, {20,25,30,35,40,45,50,55,60,65,70,75,80,85}, 1), "20-24", "25-29", "30-34", "35-39", "40-44", "45-49", "50-54", "55-59", "60-64", "65-69", "70-74", "75-79", "80-84", "85+")</f>
        <v>35-39</v>
      </c>
      <c r="D7292" t="s">
        <v>8</v>
      </c>
    </row>
    <row r="7293" spans="1:4">
      <c r="A7293" t="s">
        <v>6</v>
      </c>
      <c r="B7293">
        <v>32</v>
      </c>
      <c r="C7293" t="str">
        <f>CHOOSE(MATCH(B7293, {20,25,30,35,40,45,50,55,60,65,70,75,80,85}, 1), "20-24", "25-29", "30-34", "35-39", "40-44", "45-49", "50-54", "55-59", "60-64", "65-69", "70-74", "75-79", "80-84", "85+")</f>
        <v>30-34</v>
      </c>
      <c r="D7293" t="s">
        <v>7</v>
      </c>
    </row>
    <row r="7294" spans="1:4">
      <c r="A7294" t="s">
        <v>6</v>
      </c>
      <c r="B7294">
        <v>55</v>
      </c>
      <c r="C7294" t="str">
        <f>CHOOSE(MATCH(B7294, {20,25,30,35,40,45,50,55,60,65,70,75,80,85}, 1), "20-24", "25-29", "30-34", "35-39", "40-44", "45-49", "50-54", "55-59", "60-64", "65-69", "70-74", "75-79", "80-84", "85+")</f>
        <v>55-59</v>
      </c>
      <c r="D7294" t="s">
        <v>8</v>
      </c>
    </row>
    <row r="7295" spans="1:4">
      <c r="A7295" t="s">
        <v>6</v>
      </c>
      <c r="B7295">
        <v>30</v>
      </c>
      <c r="C7295" t="str">
        <f>CHOOSE(MATCH(B7295, {20,25,30,35,40,45,50,55,60,65,70,75,80,85}, 1), "20-24", "25-29", "30-34", "35-39", "40-44", "45-49", "50-54", "55-59", "60-64", "65-69", "70-74", "75-79", "80-84", "85+")</f>
        <v>30-34</v>
      </c>
      <c r="D7295" t="s">
        <v>7</v>
      </c>
    </row>
    <row r="7296" spans="1:4">
      <c r="A7296" t="s">
        <v>6</v>
      </c>
      <c r="B7296">
        <v>35</v>
      </c>
      <c r="C7296" t="str">
        <f>CHOOSE(MATCH(B7296, {20,25,30,35,40,45,50,55,60,65,70,75,80,85}, 1), "20-24", "25-29", "30-34", "35-39", "40-44", "45-49", "50-54", "55-59", "60-64", "65-69", "70-74", "75-79", "80-84", "85+")</f>
        <v>35-39</v>
      </c>
      <c r="D7296" t="s">
        <v>7</v>
      </c>
    </row>
    <row r="7297" spans="1:4">
      <c r="A7297" t="s">
        <v>6</v>
      </c>
      <c r="B7297">
        <v>66</v>
      </c>
      <c r="C7297" t="str">
        <f>CHOOSE(MATCH(B7297, {20,25,30,35,40,45,50,55,60,65,70,75,80,85}, 1), "20-24", "25-29", "30-34", "35-39", "40-44", "45-49", "50-54", "55-59", "60-64", "65-69", "70-74", "75-79", "80-84", "85+")</f>
        <v>65-69</v>
      </c>
      <c r="D7297" t="s">
        <v>8</v>
      </c>
    </row>
    <row r="7298" spans="1:4">
      <c r="A7298" t="s">
        <v>6</v>
      </c>
      <c r="B7298">
        <v>39</v>
      </c>
      <c r="C7298" t="str">
        <f>CHOOSE(MATCH(B7298, {20,25,30,35,40,45,50,55,60,65,70,75,80,85}, 1), "20-24", "25-29", "30-34", "35-39", "40-44", "45-49", "50-54", "55-59", "60-64", "65-69", "70-74", "75-79", "80-84", "85+")</f>
        <v>35-39</v>
      </c>
      <c r="D7298" t="s">
        <v>8</v>
      </c>
    </row>
    <row r="7299" spans="1:4">
      <c r="A7299" t="s">
        <v>6</v>
      </c>
      <c r="B7299">
        <v>39</v>
      </c>
      <c r="C7299" t="str">
        <f>CHOOSE(MATCH(B7299, {20,25,30,35,40,45,50,55,60,65,70,75,80,85}, 1), "20-24", "25-29", "30-34", "35-39", "40-44", "45-49", "50-54", "55-59", "60-64", "65-69", "70-74", "75-79", "80-84", "85+")</f>
        <v>35-39</v>
      </c>
      <c r="D7299" t="s">
        <v>8</v>
      </c>
    </row>
    <row r="7300" spans="1:4">
      <c r="A7300" t="s">
        <v>6</v>
      </c>
      <c r="B7300">
        <v>22</v>
      </c>
      <c r="C7300" t="str">
        <f>CHOOSE(MATCH(B7300, {20,25,30,35,40,45,50,55,60,65,70,75,80,85}, 1), "20-24", "25-29", "30-34", "35-39", "40-44", "45-49", "50-54", "55-59", "60-64", "65-69", "70-74", "75-79", "80-84", "85+")</f>
        <v>20-24</v>
      </c>
      <c r="D7300" t="s">
        <v>8</v>
      </c>
    </row>
    <row r="7301" spans="1:4">
      <c r="A7301" t="s">
        <v>6</v>
      </c>
      <c r="B7301">
        <v>25</v>
      </c>
      <c r="C7301" t="str">
        <f>CHOOSE(MATCH(B7301, {20,25,30,35,40,45,50,55,60,65,70,75,80,85}, 1), "20-24", "25-29", "30-34", "35-39", "40-44", "45-49", "50-54", "55-59", "60-64", "65-69", "70-74", "75-79", "80-84", "85+")</f>
        <v>25-29</v>
      </c>
      <c r="D7301" t="s">
        <v>8</v>
      </c>
    </row>
    <row r="7302" spans="1:4">
      <c r="A7302" t="s">
        <v>6</v>
      </c>
      <c r="B7302">
        <v>71</v>
      </c>
      <c r="C7302" t="str">
        <f>CHOOSE(MATCH(B7302, {20,25,30,35,40,45,50,55,60,65,70,75,80,85}, 1), "20-24", "25-29", "30-34", "35-39", "40-44", "45-49", "50-54", "55-59", "60-64", "65-69", "70-74", "75-79", "80-84", "85+")</f>
        <v>70-74</v>
      </c>
      <c r="D7302" t="s">
        <v>8</v>
      </c>
    </row>
    <row r="7303" spans="1:4">
      <c r="A7303" t="s">
        <v>6</v>
      </c>
      <c r="B7303">
        <v>49</v>
      </c>
      <c r="C7303" t="str">
        <f>CHOOSE(MATCH(B7303, {20,25,30,35,40,45,50,55,60,65,70,75,80,85}, 1), "20-24", "25-29", "30-34", "35-39", "40-44", "45-49", "50-54", "55-59", "60-64", "65-69", "70-74", "75-79", "80-84", "85+")</f>
        <v>45-49</v>
      </c>
      <c r="D7303" t="s">
        <v>8</v>
      </c>
    </row>
    <row r="7304" spans="1:4">
      <c r="A7304" t="s">
        <v>6</v>
      </c>
      <c r="B7304">
        <v>32</v>
      </c>
      <c r="C7304" t="str">
        <f>CHOOSE(MATCH(B7304, {20,25,30,35,40,45,50,55,60,65,70,75,80,85}, 1), "20-24", "25-29", "30-34", "35-39", "40-44", "45-49", "50-54", "55-59", "60-64", "65-69", "70-74", "75-79", "80-84", "85+")</f>
        <v>30-34</v>
      </c>
      <c r="D7304" t="s">
        <v>7</v>
      </c>
    </row>
    <row r="7305" spans="1:4">
      <c r="A7305" t="s">
        <v>6</v>
      </c>
      <c r="B7305">
        <v>25</v>
      </c>
      <c r="C7305" t="str">
        <f>CHOOSE(MATCH(B7305, {20,25,30,35,40,45,50,55,60,65,70,75,80,85}, 1), "20-24", "25-29", "30-34", "35-39", "40-44", "45-49", "50-54", "55-59", "60-64", "65-69", "70-74", "75-79", "80-84", "85+")</f>
        <v>25-29</v>
      </c>
      <c r="D7305" t="s">
        <v>7</v>
      </c>
    </row>
    <row r="7306" spans="1:4">
      <c r="A7306" t="s">
        <v>6</v>
      </c>
      <c r="B7306">
        <v>35</v>
      </c>
      <c r="C7306" t="str">
        <f>CHOOSE(MATCH(B7306, {20,25,30,35,40,45,50,55,60,65,70,75,80,85}, 1), "20-24", "25-29", "30-34", "35-39", "40-44", "45-49", "50-54", "55-59", "60-64", "65-69", "70-74", "75-79", "80-84", "85+")</f>
        <v>35-39</v>
      </c>
      <c r="D7306" t="s">
        <v>7</v>
      </c>
    </row>
    <row r="7307" spans="1:4">
      <c r="A7307" t="s">
        <v>6</v>
      </c>
      <c r="B7307">
        <v>46</v>
      </c>
      <c r="C7307" t="str">
        <f>CHOOSE(MATCH(B7307, {20,25,30,35,40,45,50,55,60,65,70,75,80,85}, 1), "20-24", "25-29", "30-34", "35-39", "40-44", "45-49", "50-54", "55-59", "60-64", "65-69", "70-74", "75-79", "80-84", "85+")</f>
        <v>45-49</v>
      </c>
      <c r="D7307" t="s">
        <v>8</v>
      </c>
    </row>
    <row r="7308" spans="1:4">
      <c r="A7308" t="s">
        <v>6</v>
      </c>
      <c r="B7308">
        <v>41</v>
      </c>
      <c r="C7308" t="str">
        <f>CHOOSE(MATCH(B7308, {20,25,30,35,40,45,50,55,60,65,70,75,80,85}, 1), "20-24", "25-29", "30-34", "35-39", "40-44", "45-49", "50-54", "55-59", "60-64", "65-69", "70-74", "75-79", "80-84", "85+")</f>
        <v>40-44</v>
      </c>
      <c r="D7308" t="s">
        <v>8</v>
      </c>
    </row>
    <row r="7309" spans="1:4">
      <c r="A7309" t="s">
        <v>6</v>
      </c>
      <c r="B7309">
        <v>30</v>
      </c>
      <c r="C7309" t="str">
        <f>CHOOSE(MATCH(B7309, {20,25,30,35,40,45,50,55,60,65,70,75,80,85}, 1), "20-24", "25-29", "30-34", "35-39", "40-44", "45-49", "50-54", "55-59", "60-64", "65-69", "70-74", "75-79", "80-84", "85+")</f>
        <v>30-34</v>
      </c>
      <c r="D7309" t="s">
        <v>7</v>
      </c>
    </row>
    <row r="7310" spans="1:4">
      <c r="A7310" t="s">
        <v>6</v>
      </c>
      <c r="B7310">
        <v>44</v>
      </c>
      <c r="C7310" t="str">
        <f>CHOOSE(MATCH(B7310, {20,25,30,35,40,45,50,55,60,65,70,75,80,85}, 1), "20-24", "25-29", "30-34", "35-39", "40-44", "45-49", "50-54", "55-59", "60-64", "65-69", "70-74", "75-79", "80-84", "85+")</f>
        <v>40-44</v>
      </c>
      <c r="D7310" t="s">
        <v>8</v>
      </c>
    </row>
    <row r="7311" spans="1:4">
      <c r="A7311" t="s">
        <v>6</v>
      </c>
      <c r="B7311">
        <v>24</v>
      </c>
      <c r="C7311" t="str">
        <f>CHOOSE(MATCH(B7311, {20,25,30,35,40,45,50,55,60,65,70,75,80,85}, 1), "20-24", "25-29", "30-34", "35-39", "40-44", "45-49", "50-54", "55-59", "60-64", "65-69", "70-74", "75-79", "80-84", "85+")</f>
        <v>20-24</v>
      </c>
      <c r="D7311" t="s">
        <v>7</v>
      </c>
    </row>
    <row r="7312" spans="1:4">
      <c r="A7312" t="s">
        <v>6</v>
      </c>
      <c r="B7312">
        <v>53</v>
      </c>
      <c r="C7312" t="str">
        <f>CHOOSE(MATCH(B7312, {20,25,30,35,40,45,50,55,60,65,70,75,80,85}, 1), "20-24", "25-29", "30-34", "35-39", "40-44", "45-49", "50-54", "55-59", "60-64", "65-69", "70-74", "75-79", "80-84", "85+")</f>
        <v>50-54</v>
      </c>
      <c r="D7312" t="s">
        <v>7</v>
      </c>
    </row>
    <row r="7313" spans="1:4">
      <c r="A7313" t="s">
        <v>6</v>
      </c>
      <c r="B7313">
        <v>31</v>
      </c>
      <c r="C7313" t="str">
        <f>CHOOSE(MATCH(B7313, {20,25,30,35,40,45,50,55,60,65,70,75,80,85}, 1), "20-24", "25-29", "30-34", "35-39", "40-44", "45-49", "50-54", "55-59", "60-64", "65-69", "70-74", "75-79", "80-84", "85+")</f>
        <v>30-34</v>
      </c>
      <c r="D7313" t="s">
        <v>7</v>
      </c>
    </row>
    <row r="7314" spans="1:4">
      <c r="A7314" t="s">
        <v>6</v>
      </c>
      <c r="B7314">
        <v>27</v>
      </c>
      <c r="C7314" t="str">
        <f>CHOOSE(MATCH(B7314, {20,25,30,35,40,45,50,55,60,65,70,75,80,85}, 1), "20-24", "25-29", "30-34", "35-39", "40-44", "45-49", "50-54", "55-59", "60-64", "65-69", "70-74", "75-79", "80-84", "85+")</f>
        <v>25-29</v>
      </c>
      <c r="D7314" t="s">
        <v>7</v>
      </c>
    </row>
    <row r="7315" spans="1:4">
      <c r="A7315" t="s">
        <v>6</v>
      </c>
      <c r="B7315">
        <v>25</v>
      </c>
      <c r="C7315" t="str">
        <f>CHOOSE(MATCH(B7315, {20,25,30,35,40,45,50,55,60,65,70,75,80,85}, 1), "20-24", "25-29", "30-34", "35-39", "40-44", "45-49", "50-54", "55-59", "60-64", "65-69", "70-74", "75-79", "80-84", "85+")</f>
        <v>25-29</v>
      </c>
      <c r="D7315" t="s">
        <v>7</v>
      </c>
    </row>
    <row r="7316" spans="1:4">
      <c r="A7316" t="s">
        <v>6</v>
      </c>
      <c r="B7316">
        <v>26</v>
      </c>
      <c r="C7316" t="str">
        <f>CHOOSE(MATCH(B7316, {20,25,30,35,40,45,50,55,60,65,70,75,80,85}, 1), "20-24", "25-29", "30-34", "35-39", "40-44", "45-49", "50-54", "55-59", "60-64", "65-69", "70-74", "75-79", "80-84", "85+")</f>
        <v>25-29</v>
      </c>
      <c r="D7316" t="s">
        <v>8</v>
      </c>
    </row>
    <row r="7317" spans="1:4">
      <c r="A7317" t="s">
        <v>6</v>
      </c>
      <c r="B7317">
        <v>65</v>
      </c>
      <c r="C7317" t="str">
        <f>CHOOSE(MATCH(B7317, {20,25,30,35,40,45,50,55,60,65,70,75,80,85}, 1), "20-24", "25-29", "30-34", "35-39", "40-44", "45-49", "50-54", "55-59", "60-64", "65-69", "70-74", "75-79", "80-84", "85+")</f>
        <v>65-69</v>
      </c>
      <c r="D7317" t="s">
        <v>8</v>
      </c>
    </row>
    <row r="7318" spans="1:4">
      <c r="A7318" t="s">
        <v>6</v>
      </c>
      <c r="B7318">
        <v>73</v>
      </c>
      <c r="C7318" t="str">
        <f>CHOOSE(MATCH(B7318, {20,25,30,35,40,45,50,55,60,65,70,75,80,85}, 1), "20-24", "25-29", "30-34", "35-39", "40-44", "45-49", "50-54", "55-59", "60-64", "65-69", "70-74", "75-79", "80-84", "85+")</f>
        <v>70-74</v>
      </c>
      <c r="D7318" t="s">
        <v>7</v>
      </c>
    </row>
    <row r="7319" spans="1:4">
      <c r="A7319" t="s">
        <v>6</v>
      </c>
      <c r="B7319">
        <v>74</v>
      </c>
      <c r="C7319" t="str">
        <f>CHOOSE(MATCH(B7319, {20,25,30,35,40,45,50,55,60,65,70,75,80,85}, 1), "20-24", "25-29", "30-34", "35-39", "40-44", "45-49", "50-54", "55-59", "60-64", "65-69", "70-74", "75-79", "80-84", "85+")</f>
        <v>70-74</v>
      </c>
      <c r="D7319" t="s">
        <v>8</v>
      </c>
    </row>
    <row r="7320" spans="1:4">
      <c r="A7320" t="s">
        <v>6</v>
      </c>
      <c r="B7320">
        <v>40</v>
      </c>
      <c r="C7320" t="str">
        <f>CHOOSE(MATCH(B7320, {20,25,30,35,40,45,50,55,60,65,70,75,80,85}, 1), "20-24", "25-29", "30-34", "35-39", "40-44", "45-49", "50-54", "55-59", "60-64", "65-69", "70-74", "75-79", "80-84", "85+")</f>
        <v>40-44</v>
      </c>
      <c r="D7320" t="s">
        <v>7</v>
      </c>
    </row>
    <row r="7321" spans="1:4">
      <c r="A7321" t="s">
        <v>6</v>
      </c>
      <c r="B7321">
        <v>70</v>
      </c>
      <c r="C7321" t="str">
        <f>CHOOSE(MATCH(B7321, {20,25,30,35,40,45,50,55,60,65,70,75,80,85}, 1), "20-24", "25-29", "30-34", "35-39", "40-44", "45-49", "50-54", "55-59", "60-64", "65-69", "70-74", "75-79", "80-84", "85+")</f>
        <v>70-74</v>
      </c>
      <c r="D7321" t="s">
        <v>8</v>
      </c>
    </row>
    <row r="7322" spans="1:4">
      <c r="A7322" t="s">
        <v>6</v>
      </c>
      <c r="B7322">
        <v>33</v>
      </c>
      <c r="C7322" t="str">
        <f>CHOOSE(MATCH(B7322, {20,25,30,35,40,45,50,55,60,65,70,75,80,85}, 1), "20-24", "25-29", "30-34", "35-39", "40-44", "45-49", "50-54", "55-59", "60-64", "65-69", "70-74", "75-79", "80-84", "85+")</f>
        <v>30-34</v>
      </c>
      <c r="D7322" t="s">
        <v>7</v>
      </c>
    </row>
    <row r="7323" spans="1:4">
      <c r="A7323" t="s">
        <v>6</v>
      </c>
      <c r="B7323">
        <v>51</v>
      </c>
      <c r="C7323" t="str">
        <f>CHOOSE(MATCH(B7323, {20,25,30,35,40,45,50,55,60,65,70,75,80,85}, 1), "20-24", "25-29", "30-34", "35-39", "40-44", "45-49", "50-54", "55-59", "60-64", "65-69", "70-74", "75-79", "80-84", "85+")</f>
        <v>50-54</v>
      </c>
      <c r="D7323" t="s">
        <v>7</v>
      </c>
    </row>
    <row r="7324" spans="1:4">
      <c r="A7324" t="s">
        <v>6</v>
      </c>
      <c r="B7324">
        <v>42</v>
      </c>
      <c r="C7324" t="str">
        <f>CHOOSE(MATCH(B7324, {20,25,30,35,40,45,50,55,60,65,70,75,80,85}, 1), "20-24", "25-29", "30-34", "35-39", "40-44", "45-49", "50-54", "55-59", "60-64", "65-69", "70-74", "75-79", "80-84", "85+")</f>
        <v>40-44</v>
      </c>
      <c r="D7324" t="s">
        <v>8</v>
      </c>
    </row>
    <row r="7325" spans="1:4">
      <c r="A7325" t="s">
        <v>6</v>
      </c>
      <c r="B7325">
        <v>31</v>
      </c>
      <c r="C7325" t="str">
        <f>CHOOSE(MATCH(B7325, {20,25,30,35,40,45,50,55,60,65,70,75,80,85}, 1), "20-24", "25-29", "30-34", "35-39", "40-44", "45-49", "50-54", "55-59", "60-64", "65-69", "70-74", "75-79", "80-84", "85+")</f>
        <v>30-34</v>
      </c>
      <c r="D7325" t="s">
        <v>7</v>
      </c>
    </row>
    <row r="7326" spans="1:4">
      <c r="A7326" t="s">
        <v>6</v>
      </c>
      <c r="B7326">
        <v>36</v>
      </c>
      <c r="C7326" t="str">
        <f>CHOOSE(MATCH(B7326, {20,25,30,35,40,45,50,55,60,65,70,75,80,85}, 1), "20-24", "25-29", "30-34", "35-39", "40-44", "45-49", "50-54", "55-59", "60-64", "65-69", "70-74", "75-79", "80-84", "85+")</f>
        <v>35-39</v>
      </c>
      <c r="D7326" t="s">
        <v>7</v>
      </c>
    </row>
    <row r="7327" spans="1:4">
      <c r="A7327" t="s">
        <v>6</v>
      </c>
      <c r="B7327">
        <v>25</v>
      </c>
      <c r="C7327" t="str">
        <f>CHOOSE(MATCH(B7327, {20,25,30,35,40,45,50,55,60,65,70,75,80,85}, 1), "20-24", "25-29", "30-34", "35-39", "40-44", "45-49", "50-54", "55-59", "60-64", "65-69", "70-74", "75-79", "80-84", "85+")</f>
        <v>25-29</v>
      </c>
      <c r="D7327" t="s">
        <v>7</v>
      </c>
    </row>
    <row r="7328" spans="1:4">
      <c r="A7328" t="s">
        <v>6</v>
      </c>
      <c r="B7328">
        <v>83</v>
      </c>
      <c r="C7328" t="str">
        <f>CHOOSE(MATCH(B7328, {20,25,30,35,40,45,50,55,60,65,70,75,80,85}, 1), "20-24", "25-29", "30-34", "35-39", "40-44", "45-49", "50-54", "55-59", "60-64", "65-69", "70-74", "75-79", "80-84", "85+")</f>
        <v>80-84</v>
      </c>
      <c r="D7328" t="s">
        <v>7</v>
      </c>
    </row>
    <row r="7329" spans="1:4">
      <c r="A7329" t="s">
        <v>6</v>
      </c>
      <c r="B7329">
        <v>43</v>
      </c>
      <c r="C7329" t="str">
        <f>CHOOSE(MATCH(B7329, {20,25,30,35,40,45,50,55,60,65,70,75,80,85}, 1), "20-24", "25-29", "30-34", "35-39", "40-44", "45-49", "50-54", "55-59", "60-64", "65-69", "70-74", "75-79", "80-84", "85+")</f>
        <v>40-44</v>
      </c>
      <c r="D7329" t="s">
        <v>7</v>
      </c>
    </row>
    <row r="7330" spans="1:4">
      <c r="A7330" t="s">
        <v>6</v>
      </c>
      <c r="B7330">
        <v>37</v>
      </c>
      <c r="C7330" t="str">
        <f>CHOOSE(MATCH(B7330, {20,25,30,35,40,45,50,55,60,65,70,75,80,85}, 1), "20-24", "25-29", "30-34", "35-39", "40-44", "45-49", "50-54", "55-59", "60-64", "65-69", "70-74", "75-79", "80-84", "85+")</f>
        <v>35-39</v>
      </c>
      <c r="D7330" t="s">
        <v>7</v>
      </c>
    </row>
    <row r="7331" spans="1:4">
      <c r="A7331" t="s">
        <v>6</v>
      </c>
      <c r="B7331">
        <v>55</v>
      </c>
      <c r="C7331" t="str">
        <f>CHOOSE(MATCH(B7331, {20,25,30,35,40,45,50,55,60,65,70,75,80,85}, 1), "20-24", "25-29", "30-34", "35-39", "40-44", "45-49", "50-54", "55-59", "60-64", "65-69", "70-74", "75-79", "80-84", "85+")</f>
        <v>55-59</v>
      </c>
      <c r="D7331" t="s">
        <v>7</v>
      </c>
    </row>
    <row r="7332" spans="1:4">
      <c r="A7332" t="s">
        <v>6</v>
      </c>
      <c r="B7332">
        <v>71</v>
      </c>
      <c r="C7332" t="str">
        <f>CHOOSE(MATCH(B7332, {20,25,30,35,40,45,50,55,60,65,70,75,80,85}, 1), "20-24", "25-29", "30-34", "35-39", "40-44", "45-49", "50-54", "55-59", "60-64", "65-69", "70-74", "75-79", "80-84", "85+")</f>
        <v>70-74</v>
      </c>
      <c r="D7332" t="s">
        <v>8</v>
      </c>
    </row>
    <row r="7333" spans="1:4">
      <c r="A7333" t="s">
        <v>6</v>
      </c>
      <c r="B7333">
        <v>33</v>
      </c>
      <c r="C7333" t="str">
        <f>CHOOSE(MATCH(B7333, {20,25,30,35,40,45,50,55,60,65,70,75,80,85}, 1), "20-24", "25-29", "30-34", "35-39", "40-44", "45-49", "50-54", "55-59", "60-64", "65-69", "70-74", "75-79", "80-84", "85+")</f>
        <v>30-34</v>
      </c>
      <c r="D7333" t="s">
        <v>7</v>
      </c>
    </row>
    <row r="7334" spans="1:4">
      <c r="A7334" t="s">
        <v>6</v>
      </c>
      <c r="B7334">
        <v>22</v>
      </c>
      <c r="C7334" t="str">
        <f>CHOOSE(MATCH(B7334, {20,25,30,35,40,45,50,55,60,65,70,75,80,85}, 1), "20-24", "25-29", "30-34", "35-39", "40-44", "45-49", "50-54", "55-59", "60-64", "65-69", "70-74", "75-79", "80-84", "85+")</f>
        <v>20-24</v>
      </c>
      <c r="D7334" t="s">
        <v>7</v>
      </c>
    </row>
    <row r="7335" spans="1:4">
      <c r="A7335" t="s">
        <v>6</v>
      </c>
      <c r="B7335">
        <v>41</v>
      </c>
      <c r="C7335" t="str">
        <f>CHOOSE(MATCH(B7335, {20,25,30,35,40,45,50,55,60,65,70,75,80,85}, 1), "20-24", "25-29", "30-34", "35-39", "40-44", "45-49", "50-54", "55-59", "60-64", "65-69", "70-74", "75-79", "80-84", "85+")</f>
        <v>40-44</v>
      </c>
      <c r="D7335" t="s">
        <v>7</v>
      </c>
    </row>
    <row r="7336" spans="1:4">
      <c r="A7336" t="s">
        <v>6</v>
      </c>
      <c r="B7336">
        <v>23</v>
      </c>
      <c r="C7336" t="str">
        <f>CHOOSE(MATCH(B7336, {20,25,30,35,40,45,50,55,60,65,70,75,80,85}, 1), "20-24", "25-29", "30-34", "35-39", "40-44", "45-49", "50-54", "55-59", "60-64", "65-69", "70-74", "75-79", "80-84", "85+")</f>
        <v>20-24</v>
      </c>
      <c r="D7336" t="s">
        <v>7</v>
      </c>
    </row>
    <row r="7337" spans="1:4">
      <c r="A7337" t="s">
        <v>6</v>
      </c>
      <c r="B7337">
        <v>26</v>
      </c>
      <c r="C7337" t="str">
        <f>CHOOSE(MATCH(B7337, {20,25,30,35,40,45,50,55,60,65,70,75,80,85}, 1), "20-24", "25-29", "30-34", "35-39", "40-44", "45-49", "50-54", "55-59", "60-64", "65-69", "70-74", "75-79", "80-84", "85+")</f>
        <v>25-29</v>
      </c>
      <c r="D7337" t="s">
        <v>8</v>
      </c>
    </row>
    <row r="7338" spans="1:4">
      <c r="A7338" t="s">
        <v>6</v>
      </c>
      <c r="B7338">
        <v>37</v>
      </c>
      <c r="C7338" t="str">
        <f>CHOOSE(MATCH(B7338, {20,25,30,35,40,45,50,55,60,65,70,75,80,85}, 1), "20-24", "25-29", "30-34", "35-39", "40-44", "45-49", "50-54", "55-59", "60-64", "65-69", "70-74", "75-79", "80-84", "85+")</f>
        <v>35-39</v>
      </c>
      <c r="D7338" t="s">
        <v>7</v>
      </c>
    </row>
    <row r="7339" spans="1:4">
      <c r="A7339" t="s">
        <v>6</v>
      </c>
      <c r="B7339">
        <v>63</v>
      </c>
      <c r="C7339" t="str">
        <f>CHOOSE(MATCH(B7339, {20,25,30,35,40,45,50,55,60,65,70,75,80,85}, 1), "20-24", "25-29", "30-34", "35-39", "40-44", "45-49", "50-54", "55-59", "60-64", "65-69", "70-74", "75-79", "80-84", "85+")</f>
        <v>60-64</v>
      </c>
      <c r="D7339" t="s">
        <v>8</v>
      </c>
    </row>
    <row r="7340" spans="1:4">
      <c r="A7340" t="s">
        <v>6</v>
      </c>
      <c r="B7340">
        <v>47</v>
      </c>
      <c r="C7340" t="str">
        <f>CHOOSE(MATCH(B7340, {20,25,30,35,40,45,50,55,60,65,70,75,80,85}, 1), "20-24", "25-29", "30-34", "35-39", "40-44", "45-49", "50-54", "55-59", "60-64", "65-69", "70-74", "75-79", "80-84", "85+")</f>
        <v>45-49</v>
      </c>
      <c r="D7340" t="s">
        <v>8</v>
      </c>
    </row>
    <row r="7341" spans="1:4">
      <c r="A7341" t="s">
        <v>6</v>
      </c>
      <c r="B7341">
        <v>50</v>
      </c>
      <c r="C7341" t="str">
        <f>CHOOSE(MATCH(B7341, {20,25,30,35,40,45,50,55,60,65,70,75,80,85}, 1), "20-24", "25-29", "30-34", "35-39", "40-44", "45-49", "50-54", "55-59", "60-64", "65-69", "70-74", "75-79", "80-84", "85+")</f>
        <v>50-54</v>
      </c>
      <c r="D7341" t="s">
        <v>7</v>
      </c>
    </row>
    <row r="7342" spans="1:4">
      <c r="A7342" t="s">
        <v>6</v>
      </c>
      <c r="B7342">
        <v>63</v>
      </c>
      <c r="C7342" t="str">
        <f>CHOOSE(MATCH(B7342, {20,25,30,35,40,45,50,55,60,65,70,75,80,85}, 1), "20-24", "25-29", "30-34", "35-39", "40-44", "45-49", "50-54", "55-59", "60-64", "65-69", "70-74", "75-79", "80-84", "85+")</f>
        <v>60-64</v>
      </c>
      <c r="D7342" t="s">
        <v>7</v>
      </c>
    </row>
    <row r="7343" spans="1:4">
      <c r="A7343" t="s">
        <v>6</v>
      </c>
      <c r="B7343">
        <v>57</v>
      </c>
      <c r="C7343" t="str">
        <f>CHOOSE(MATCH(B7343, {20,25,30,35,40,45,50,55,60,65,70,75,80,85}, 1), "20-24", "25-29", "30-34", "35-39", "40-44", "45-49", "50-54", "55-59", "60-64", "65-69", "70-74", "75-79", "80-84", "85+")</f>
        <v>55-59</v>
      </c>
      <c r="D7343" t="s">
        <v>7</v>
      </c>
    </row>
    <row r="7344" spans="1:4">
      <c r="A7344" t="s">
        <v>6</v>
      </c>
      <c r="B7344">
        <v>26</v>
      </c>
      <c r="C7344" t="str">
        <f>CHOOSE(MATCH(B7344, {20,25,30,35,40,45,50,55,60,65,70,75,80,85}, 1), "20-24", "25-29", "30-34", "35-39", "40-44", "45-49", "50-54", "55-59", "60-64", "65-69", "70-74", "75-79", "80-84", "85+")</f>
        <v>25-29</v>
      </c>
      <c r="D7344" t="s">
        <v>7</v>
      </c>
    </row>
    <row r="7345" spans="1:4">
      <c r="A7345" t="s">
        <v>6</v>
      </c>
      <c r="B7345">
        <v>38</v>
      </c>
      <c r="C7345" t="str">
        <f>CHOOSE(MATCH(B7345, {20,25,30,35,40,45,50,55,60,65,70,75,80,85}, 1), "20-24", "25-29", "30-34", "35-39", "40-44", "45-49", "50-54", "55-59", "60-64", "65-69", "70-74", "75-79", "80-84", "85+")</f>
        <v>35-39</v>
      </c>
      <c r="D7345" t="s">
        <v>8</v>
      </c>
    </row>
    <row r="7346" spans="1:4">
      <c r="A7346" t="s">
        <v>6</v>
      </c>
      <c r="B7346">
        <v>47</v>
      </c>
      <c r="C7346" t="str">
        <f>CHOOSE(MATCH(B7346, {20,25,30,35,40,45,50,55,60,65,70,75,80,85}, 1), "20-24", "25-29", "30-34", "35-39", "40-44", "45-49", "50-54", "55-59", "60-64", "65-69", "70-74", "75-79", "80-84", "85+")</f>
        <v>45-49</v>
      </c>
      <c r="D7346" t="s">
        <v>8</v>
      </c>
    </row>
    <row r="7347" spans="1:4">
      <c r="A7347" t="s">
        <v>6</v>
      </c>
      <c r="B7347">
        <v>30</v>
      </c>
      <c r="C7347" t="str">
        <f>CHOOSE(MATCH(B7347, {20,25,30,35,40,45,50,55,60,65,70,75,80,85}, 1), "20-24", "25-29", "30-34", "35-39", "40-44", "45-49", "50-54", "55-59", "60-64", "65-69", "70-74", "75-79", "80-84", "85+")</f>
        <v>30-34</v>
      </c>
      <c r="D7347" t="s">
        <v>7</v>
      </c>
    </row>
    <row r="7348" spans="1:4">
      <c r="A7348" t="s">
        <v>6</v>
      </c>
      <c r="B7348">
        <v>40</v>
      </c>
      <c r="C7348" t="str">
        <f>CHOOSE(MATCH(B7348, {20,25,30,35,40,45,50,55,60,65,70,75,80,85}, 1), "20-24", "25-29", "30-34", "35-39", "40-44", "45-49", "50-54", "55-59", "60-64", "65-69", "70-74", "75-79", "80-84", "85+")</f>
        <v>40-44</v>
      </c>
      <c r="D7348" t="s">
        <v>7</v>
      </c>
    </row>
    <row r="7349" spans="1:4">
      <c r="A7349" t="s">
        <v>6</v>
      </c>
      <c r="B7349">
        <v>27</v>
      </c>
      <c r="C7349" t="str">
        <f>CHOOSE(MATCH(B7349, {20,25,30,35,40,45,50,55,60,65,70,75,80,85}, 1), "20-24", "25-29", "30-34", "35-39", "40-44", "45-49", "50-54", "55-59", "60-64", "65-69", "70-74", "75-79", "80-84", "85+")</f>
        <v>25-29</v>
      </c>
      <c r="D7349" t="s">
        <v>7</v>
      </c>
    </row>
    <row r="7350" spans="1:4">
      <c r="A7350" t="s">
        <v>6</v>
      </c>
      <c r="B7350">
        <v>23</v>
      </c>
      <c r="C7350" t="str">
        <f>CHOOSE(MATCH(B7350, {20,25,30,35,40,45,50,55,60,65,70,75,80,85}, 1), "20-24", "25-29", "30-34", "35-39", "40-44", "45-49", "50-54", "55-59", "60-64", "65-69", "70-74", "75-79", "80-84", "85+")</f>
        <v>20-24</v>
      </c>
      <c r="D7350" t="s">
        <v>7</v>
      </c>
    </row>
    <row r="7351" spans="1:4">
      <c r="A7351" t="s">
        <v>6</v>
      </c>
      <c r="B7351">
        <v>32</v>
      </c>
      <c r="C7351" t="str">
        <f>CHOOSE(MATCH(B7351, {20,25,30,35,40,45,50,55,60,65,70,75,80,85}, 1), "20-24", "25-29", "30-34", "35-39", "40-44", "45-49", "50-54", "55-59", "60-64", "65-69", "70-74", "75-79", "80-84", "85+")</f>
        <v>30-34</v>
      </c>
      <c r="D7351" t="s">
        <v>8</v>
      </c>
    </row>
    <row r="7352" spans="1:4">
      <c r="A7352" t="s">
        <v>6</v>
      </c>
      <c r="B7352">
        <v>25</v>
      </c>
      <c r="C7352" t="str">
        <f>CHOOSE(MATCH(B7352, {20,25,30,35,40,45,50,55,60,65,70,75,80,85}, 1), "20-24", "25-29", "30-34", "35-39", "40-44", "45-49", "50-54", "55-59", "60-64", "65-69", "70-74", "75-79", "80-84", "85+")</f>
        <v>25-29</v>
      </c>
      <c r="D7352" t="s">
        <v>8</v>
      </c>
    </row>
    <row r="7353" spans="1:4">
      <c r="A7353" t="s">
        <v>6</v>
      </c>
      <c r="B7353">
        <v>56</v>
      </c>
      <c r="C7353" t="str">
        <f>CHOOSE(MATCH(B7353, {20,25,30,35,40,45,50,55,60,65,70,75,80,85}, 1), "20-24", "25-29", "30-34", "35-39", "40-44", "45-49", "50-54", "55-59", "60-64", "65-69", "70-74", "75-79", "80-84", "85+")</f>
        <v>55-59</v>
      </c>
      <c r="D7353" t="s">
        <v>8</v>
      </c>
    </row>
    <row r="7354" spans="1:4">
      <c r="A7354" t="s">
        <v>6</v>
      </c>
      <c r="B7354">
        <v>41</v>
      </c>
      <c r="C7354" t="str">
        <f>CHOOSE(MATCH(B7354, {20,25,30,35,40,45,50,55,60,65,70,75,80,85}, 1), "20-24", "25-29", "30-34", "35-39", "40-44", "45-49", "50-54", "55-59", "60-64", "65-69", "70-74", "75-79", "80-84", "85+")</f>
        <v>40-44</v>
      </c>
      <c r="D7354" t="s">
        <v>7</v>
      </c>
    </row>
    <row r="7355" spans="1:4">
      <c r="A7355" t="s">
        <v>6</v>
      </c>
      <c r="B7355">
        <v>49</v>
      </c>
      <c r="C7355" t="str">
        <f>CHOOSE(MATCH(B7355, {20,25,30,35,40,45,50,55,60,65,70,75,80,85}, 1), "20-24", "25-29", "30-34", "35-39", "40-44", "45-49", "50-54", "55-59", "60-64", "65-69", "70-74", "75-79", "80-84", "85+")</f>
        <v>45-49</v>
      </c>
      <c r="D7355" t="s">
        <v>7</v>
      </c>
    </row>
    <row r="7356" spans="1:4">
      <c r="A7356" t="s">
        <v>6</v>
      </c>
      <c r="B7356">
        <v>61</v>
      </c>
      <c r="C7356" t="str">
        <f>CHOOSE(MATCH(B7356, {20,25,30,35,40,45,50,55,60,65,70,75,80,85}, 1), "20-24", "25-29", "30-34", "35-39", "40-44", "45-49", "50-54", "55-59", "60-64", "65-69", "70-74", "75-79", "80-84", "85+")</f>
        <v>60-64</v>
      </c>
      <c r="D7356" t="s">
        <v>8</v>
      </c>
    </row>
    <row r="7357" spans="1:4">
      <c r="A7357" t="s">
        <v>6</v>
      </c>
      <c r="B7357">
        <v>26</v>
      </c>
      <c r="C7357" t="str">
        <f>CHOOSE(MATCH(B7357, {20,25,30,35,40,45,50,55,60,65,70,75,80,85}, 1), "20-24", "25-29", "30-34", "35-39", "40-44", "45-49", "50-54", "55-59", "60-64", "65-69", "70-74", "75-79", "80-84", "85+")</f>
        <v>25-29</v>
      </c>
      <c r="D7357" t="s">
        <v>8</v>
      </c>
    </row>
    <row r="7358" spans="1:4">
      <c r="A7358" t="s">
        <v>6</v>
      </c>
      <c r="B7358">
        <v>26</v>
      </c>
      <c r="C7358" t="str">
        <f>CHOOSE(MATCH(B7358, {20,25,30,35,40,45,50,55,60,65,70,75,80,85}, 1), "20-24", "25-29", "30-34", "35-39", "40-44", "45-49", "50-54", "55-59", "60-64", "65-69", "70-74", "75-79", "80-84", "85+")</f>
        <v>25-29</v>
      </c>
      <c r="D7358" t="s">
        <v>8</v>
      </c>
    </row>
    <row r="7359" spans="1:4">
      <c r="A7359" t="s">
        <v>6</v>
      </c>
      <c r="B7359">
        <v>64</v>
      </c>
      <c r="C7359" t="str">
        <f>CHOOSE(MATCH(B7359, {20,25,30,35,40,45,50,55,60,65,70,75,80,85}, 1), "20-24", "25-29", "30-34", "35-39", "40-44", "45-49", "50-54", "55-59", "60-64", "65-69", "70-74", "75-79", "80-84", "85+")</f>
        <v>60-64</v>
      </c>
      <c r="D7359" t="s">
        <v>8</v>
      </c>
    </row>
    <row r="7360" spans="1:4">
      <c r="A7360" t="s">
        <v>6</v>
      </c>
      <c r="B7360">
        <v>41</v>
      </c>
      <c r="C7360" t="str">
        <f>CHOOSE(MATCH(B7360, {20,25,30,35,40,45,50,55,60,65,70,75,80,85}, 1), "20-24", "25-29", "30-34", "35-39", "40-44", "45-49", "50-54", "55-59", "60-64", "65-69", "70-74", "75-79", "80-84", "85+")</f>
        <v>40-44</v>
      </c>
      <c r="D7360" t="s">
        <v>7</v>
      </c>
    </row>
    <row r="7361" spans="1:4">
      <c r="A7361" t="s">
        <v>6</v>
      </c>
      <c r="B7361">
        <v>31</v>
      </c>
      <c r="C7361" t="str">
        <f>CHOOSE(MATCH(B7361, {20,25,30,35,40,45,50,55,60,65,70,75,80,85}, 1), "20-24", "25-29", "30-34", "35-39", "40-44", "45-49", "50-54", "55-59", "60-64", "65-69", "70-74", "75-79", "80-84", "85+")</f>
        <v>30-34</v>
      </c>
      <c r="D7361" t="s">
        <v>8</v>
      </c>
    </row>
    <row r="7362" spans="1:4">
      <c r="A7362" t="s">
        <v>6</v>
      </c>
      <c r="B7362">
        <v>38</v>
      </c>
      <c r="C7362" t="str">
        <f>CHOOSE(MATCH(B7362, {20,25,30,35,40,45,50,55,60,65,70,75,80,85}, 1), "20-24", "25-29", "30-34", "35-39", "40-44", "45-49", "50-54", "55-59", "60-64", "65-69", "70-74", "75-79", "80-84", "85+")</f>
        <v>35-39</v>
      </c>
      <c r="D7362" t="s">
        <v>7</v>
      </c>
    </row>
    <row r="7363" spans="1:4">
      <c r="A7363" t="s">
        <v>6</v>
      </c>
      <c r="B7363">
        <v>64</v>
      </c>
      <c r="C7363" t="str">
        <f>CHOOSE(MATCH(B7363, {20,25,30,35,40,45,50,55,60,65,70,75,80,85}, 1), "20-24", "25-29", "30-34", "35-39", "40-44", "45-49", "50-54", "55-59", "60-64", "65-69", "70-74", "75-79", "80-84", "85+")</f>
        <v>60-64</v>
      </c>
      <c r="D7363" t="s">
        <v>7</v>
      </c>
    </row>
    <row r="7364" spans="1:4">
      <c r="A7364" t="s">
        <v>6</v>
      </c>
      <c r="B7364">
        <v>69</v>
      </c>
      <c r="C7364" t="str">
        <f>CHOOSE(MATCH(B7364, {20,25,30,35,40,45,50,55,60,65,70,75,80,85}, 1), "20-24", "25-29", "30-34", "35-39", "40-44", "45-49", "50-54", "55-59", "60-64", "65-69", "70-74", "75-79", "80-84", "85+")</f>
        <v>65-69</v>
      </c>
      <c r="D7364" t="s">
        <v>7</v>
      </c>
    </row>
    <row r="7365" spans="1:4">
      <c r="A7365" t="s">
        <v>6</v>
      </c>
      <c r="B7365">
        <v>45</v>
      </c>
      <c r="C7365" t="str">
        <f>CHOOSE(MATCH(B7365, {20,25,30,35,40,45,50,55,60,65,70,75,80,85}, 1), "20-24", "25-29", "30-34", "35-39", "40-44", "45-49", "50-54", "55-59", "60-64", "65-69", "70-74", "75-79", "80-84", "85+")</f>
        <v>45-49</v>
      </c>
      <c r="D7365" t="s">
        <v>7</v>
      </c>
    </row>
    <row r="7366" spans="1:4">
      <c r="A7366" t="s">
        <v>6</v>
      </c>
      <c r="B7366">
        <v>58</v>
      </c>
      <c r="C7366" t="str">
        <f>CHOOSE(MATCH(B7366, {20,25,30,35,40,45,50,55,60,65,70,75,80,85}, 1), "20-24", "25-29", "30-34", "35-39", "40-44", "45-49", "50-54", "55-59", "60-64", "65-69", "70-74", "75-79", "80-84", "85+")</f>
        <v>55-59</v>
      </c>
      <c r="D7366" t="s">
        <v>8</v>
      </c>
    </row>
    <row r="7367" spans="1:4">
      <c r="A7367" t="s">
        <v>6</v>
      </c>
      <c r="B7367">
        <v>42</v>
      </c>
      <c r="C7367" t="str">
        <f>CHOOSE(MATCH(B7367, {20,25,30,35,40,45,50,55,60,65,70,75,80,85}, 1), "20-24", "25-29", "30-34", "35-39", "40-44", "45-49", "50-54", "55-59", "60-64", "65-69", "70-74", "75-79", "80-84", "85+")</f>
        <v>40-44</v>
      </c>
      <c r="D7367" t="s">
        <v>8</v>
      </c>
    </row>
    <row r="7368" spans="1:4">
      <c r="A7368" t="s">
        <v>6</v>
      </c>
      <c r="B7368">
        <v>49</v>
      </c>
      <c r="C7368" t="str">
        <f>CHOOSE(MATCH(B7368, {20,25,30,35,40,45,50,55,60,65,70,75,80,85}, 1), "20-24", "25-29", "30-34", "35-39", "40-44", "45-49", "50-54", "55-59", "60-64", "65-69", "70-74", "75-79", "80-84", "85+")</f>
        <v>45-49</v>
      </c>
      <c r="D7368" t="s">
        <v>8</v>
      </c>
    </row>
    <row r="7369" spans="1:4">
      <c r="A7369" t="s">
        <v>6</v>
      </c>
      <c r="B7369">
        <v>35</v>
      </c>
      <c r="C7369" t="str">
        <f>CHOOSE(MATCH(B7369, {20,25,30,35,40,45,50,55,60,65,70,75,80,85}, 1), "20-24", "25-29", "30-34", "35-39", "40-44", "45-49", "50-54", "55-59", "60-64", "65-69", "70-74", "75-79", "80-84", "85+")</f>
        <v>35-39</v>
      </c>
      <c r="D7369" t="s">
        <v>7</v>
      </c>
    </row>
    <row r="7370" spans="1:4">
      <c r="A7370" t="s">
        <v>6</v>
      </c>
      <c r="B7370">
        <v>47</v>
      </c>
      <c r="C7370" t="str">
        <f>CHOOSE(MATCH(B7370, {20,25,30,35,40,45,50,55,60,65,70,75,80,85}, 1), "20-24", "25-29", "30-34", "35-39", "40-44", "45-49", "50-54", "55-59", "60-64", "65-69", "70-74", "75-79", "80-84", "85+")</f>
        <v>45-49</v>
      </c>
      <c r="D7370" t="s">
        <v>7</v>
      </c>
    </row>
    <row r="7371" spans="1:4">
      <c r="A7371" t="s">
        <v>6</v>
      </c>
      <c r="B7371">
        <v>50</v>
      </c>
      <c r="C7371" t="str">
        <f>CHOOSE(MATCH(B7371, {20,25,30,35,40,45,50,55,60,65,70,75,80,85}, 1), "20-24", "25-29", "30-34", "35-39", "40-44", "45-49", "50-54", "55-59", "60-64", "65-69", "70-74", "75-79", "80-84", "85+")</f>
        <v>50-54</v>
      </c>
      <c r="D7371" t="s">
        <v>7</v>
      </c>
    </row>
    <row r="7372" spans="1:4">
      <c r="A7372" t="s">
        <v>6</v>
      </c>
      <c r="B7372">
        <v>48</v>
      </c>
      <c r="C7372" t="str">
        <f>CHOOSE(MATCH(B7372, {20,25,30,35,40,45,50,55,60,65,70,75,80,85}, 1), "20-24", "25-29", "30-34", "35-39", "40-44", "45-49", "50-54", "55-59", "60-64", "65-69", "70-74", "75-79", "80-84", "85+")</f>
        <v>45-49</v>
      </c>
      <c r="D7372" t="s">
        <v>7</v>
      </c>
    </row>
    <row r="7373" spans="1:4">
      <c r="A7373" t="s">
        <v>6</v>
      </c>
      <c r="B7373">
        <v>23</v>
      </c>
      <c r="C7373" t="str">
        <f>CHOOSE(MATCH(B7373, {20,25,30,35,40,45,50,55,60,65,70,75,80,85}, 1), "20-24", "25-29", "30-34", "35-39", "40-44", "45-49", "50-54", "55-59", "60-64", "65-69", "70-74", "75-79", "80-84", "85+")</f>
        <v>20-24</v>
      </c>
      <c r="D7373" t="s">
        <v>7</v>
      </c>
    </row>
    <row r="7374" spans="1:4">
      <c r="A7374" t="s">
        <v>6</v>
      </c>
      <c r="B7374">
        <v>31</v>
      </c>
      <c r="C7374" t="str">
        <f>CHOOSE(MATCH(B7374, {20,25,30,35,40,45,50,55,60,65,70,75,80,85}, 1), "20-24", "25-29", "30-34", "35-39", "40-44", "45-49", "50-54", "55-59", "60-64", "65-69", "70-74", "75-79", "80-84", "85+")</f>
        <v>30-34</v>
      </c>
      <c r="D7374" t="s">
        <v>8</v>
      </c>
    </row>
    <row r="7375" spans="1:4">
      <c r="A7375" t="s">
        <v>6</v>
      </c>
      <c r="B7375">
        <v>39</v>
      </c>
      <c r="C7375" t="str">
        <f>CHOOSE(MATCH(B7375, {20,25,30,35,40,45,50,55,60,65,70,75,80,85}, 1), "20-24", "25-29", "30-34", "35-39", "40-44", "45-49", "50-54", "55-59", "60-64", "65-69", "70-74", "75-79", "80-84", "85+")</f>
        <v>35-39</v>
      </c>
      <c r="D7375" t="s">
        <v>7</v>
      </c>
    </row>
    <row r="7376" spans="1:4">
      <c r="A7376" t="s">
        <v>6</v>
      </c>
      <c r="B7376">
        <v>24</v>
      </c>
      <c r="C7376" t="str">
        <f>CHOOSE(MATCH(B7376, {20,25,30,35,40,45,50,55,60,65,70,75,80,85}, 1), "20-24", "25-29", "30-34", "35-39", "40-44", "45-49", "50-54", "55-59", "60-64", "65-69", "70-74", "75-79", "80-84", "85+")</f>
        <v>20-24</v>
      </c>
      <c r="D7376" t="s">
        <v>7</v>
      </c>
    </row>
    <row r="7377" spans="1:4">
      <c r="A7377" t="s">
        <v>6</v>
      </c>
      <c r="B7377">
        <v>46</v>
      </c>
      <c r="C7377" t="str">
        <f>CHOOSE(MATCH(B7377, {20,25,30,35,40,45,50,55,60,65,70,75,80,85}, 1), "20-24", "25-29", "30-34", "35-39", "40-44", "45-49", "50-54", "55-59", "60-64", "65-69", "70-74", "75-79", "80-84", "85+")</f>
        <v>45-49</v>
      </c>
      <c r="D7377" t="s">
        <v>7</v>
      </c>
    </row>
    <row r="7378" spans="1:4">
      <c r="A7378" t="s">
        <v>6</v>
      </c>
      <c r="B7378">
        <v>82</v>
      </c>
      <c r="C7378" t="str">
        <f>CHOOSE(MATCH(B7378, {20,25,30,35,40,45,50,55,60,65,70,75,80,85}, 1), "20-24", "25-29", "30-34", "35-39", "40-44", "45-49", "50-54", "55-59", "60-64", "65-69", "70-74", "75-79", "80-84", "85+")</f>
        <v>80-84</v>
      </c>
      <c r="D7378" t="s">
        <v>7</v>
      </c>
    </row>
    <row r="7379" spans="1:4">
      <c r="A7379" t="s">
        <v>6</v>
      </c>
      <c r="B7379">
        <v>53</v>
      </c>
      <c r="C7379" t="str">
        <f>CHOOSE(MATCH(B7379, {20,25,30,35,40,45,50,55,60,65,70,75,80,85}, 1), "20-24", "25-29", "30-34", "35-39", "40-44", "45-49", "50-54", "55-59", "60-64", "65-69", "70-74", "75-79", "80-84", "85+")</f>
        <v>50-54</v>
      </c>
      <c r="D7379" t="s">
        <v>7</v>
      </c>
    </row>
    <row r="7380" spans="1:4">
      <c r="A7380" t="s">
        <v>6</v>
      </c>
      <c r="B7380">
        <v>34</v>
      </c>
      <c r="C7380" t="str">
        <f>CHOOSE(MATCH(B7380, {20,25,30,35,40,45,50,55,60,65,70,75,80,85}, 1), "20-24", "25-29", "30-34", "35-39", "40-44", "45-49", "50-54", "55-59", "60-64", "65-69", "70-74", "75-79", "80-84", "85+")</f>
        <v>30-34</v>
      </c>
      <c r="D7380" t="s">
        <v>7</v>
      </c>
    </row>
    <row r="7381" spans="1:4">
      <c r="A7381" t="s">
        <v>6</v>
      </c>
      <c r="B7381">
        <v>50</v>
      </c>
      <c r="C7381" t="str">
        <f>CHOOSE(MATCH(B7381, {20,25,30,35,40,45,50,55,60,65,70,75,80,85}, 1), "20-24", "25-29", "30-34", "35-39", "40-44", "45-49", "50-54", "55-59", "60-64", "65-69", "70-74", "75-79", "80-84", "85+")</f>
        <v>50-54</v>
      </c>
      <c r="D7381" t="s">
        <v>8</v>
      </c>
    </row>
    <row r="7382" spans="1:4">
      <c r="A7382" t="s">
        <v>6</v>
      </c>
      <c r="B7382">
        <v>32</v>
      </c>
      <c r="C7382" t="str">
        <f>CHOOSE(MATCH(B7382, {20,25,30,35,40,45,50,55,60,65,70,75,80,85}, 1), "20-24", "25-29", "30-34", "35-39", "40-44", "45-49", "50-54", "55-59", "60-64", "65-69", "70-74", "75-79", "80-84", "85+")</f>
        <v>30-34</v>
      </c>
      <c r="D7382" t="s">
        <v>8</v>
      </c>
    </row>
    <row r="7383" spans="1:4">
      <c r="A7383" t="s">
        <v>6</v>
      </c>
      <c r="B7383">
        <v>29</v>
      </c>
      <c r="C7383" t="str">
        <f>CHOOSE(MATCH(B7383, {20,25,30,35,40,45,50,55,60,65,70,75,80,85}, 1), "20-24", "25-29", "30-34", "35-39", "40-44", "45-49", "50-54", "55-59", "60-64", "65-69", "70-74", "75-79", "80-84", "85+")</f>
        <v>25-29</v>
      </c>
      <c r="D7383" t="s">
        <v>7</v>
      </c>
    </row>
    <row r="7384" spans="1:4">
      <c r="A7384" t="s">
        <v>6</v>
      </c>
      <c r="B7384">
        <v>76</v>
      </c>
      <c r="C7384" t="str">
        <f>CHOOSE(MATCH(B7384, {20,25,30,35,40,45,50,55,60,65,70,75,80,85}, 1), "20-24", "25-29", "30-34", "35-39", "40-44", "45-49", "50-54", "55-59", "60-64", "65-69", "70-74", "75-79", "80-84", "85+")</f>
        <v>75-79</v>
      </c>
      <c r="D7384" t="s">
        <v>7</v>
      </c>
    </row>
    <row r="7385" spans="1:4">
      <c r="A7385" t="s">
        <v>6</v>
      </c>
      <c r="B7385">
        <v>73</v>
      </c>
      <c r="C7385" t="str">
        <f>CHOOSE(MATCH(B7385, {20,25,30,35,40,45,50,55,60,65,70,75,80,85}, 1), "20-24", "25-29", "30-34", "35-39", "40-44", "45-49", "50-54", "55-59", "60-64", "65-69", "70-74", "75-79", "80-84", "85+")</f>
        <v>70-74</v>
      </c>
      <c r="D7385" t="s">
        <v>7</v>
      </c>
    </row>
    <row r="7386" spans="1:4">
      <c r="A7386" t="s">
        <v>6</v>
      </c>
      <c r="B7386">
        <v>41</v>
      </c>
      <c r="C7386" t="str">
        <f>CHOOSE(MATCH(B7386, {20,25,30,35,40,45,50,55,60,65,70,75,80,85}, 1), "20-24", "25-29", "30-34", "35-39", "40-44", "45-49", "50-54", "55-59", "60-64", "65-69", "70-74", "75-79", "80-84", "85+")</f>
        <v>40-44</v>
      </c>
      <c r="D7386" t="s">
        <v>7</v>
      </c>
    </row>
    <row r="7387" spans="1:4">
      <c r="A7387" t="s">
        <v>6</v>
      </c>
      <c r="B7387">
        <v>24</v>
      </c>
      <c r="C7387" t="str">
        <f>CHOOSE(MATCH(B7387, {20,25,30,35,40,45,50,55,60,65,70,75,80,85}, 1), "20-24", "25-29", "30-34", "35-39", "40-44", "45-49", "50-54", "55-59", "60-64", "65-69", "70-74", "75-79", "80-84", "85+")</f>
        <v>20-24</v>
      </c>
      <c r="D7387" t="s">
        <v>7</v>
      </c>
    </row>
    <row r="7388" spans="1:4">
      <c r="A7388" t="s">
        <v>6</v>
      </c>
      <c r="B7388">
        <v>37</v>
      </c>
      <c r="C7388" t="str">
        <f>CHOOSE(MATCH(B7388, {20,25,30,35,40,45,50,55,60,65,70,75,80,85}, 1), "20-24", "25-29", "30-34", "35-39", "40-44", "45-49", "50-54", "55-59", "60-64", "65-69", "70-74", "75-79", "80-84", "85+")</f>
        <v>35-39</v>
      </c>
      <c r="D7388" t="s">
        <v>7</v>
      </c>
    </row>
    <row r="7389" spans="1:4">
      <c r="A7389" t="s">
        <v>6</v>
      </c>
      <c r="B7389">
        <v>47</v>
      </c>
      <c r="C7389" t="str">
        <f>CHOOSE(MATCH(B7389, {20,25,30,35,40,45,50,55,60,65,70,75,80,85}, 1), "20-24", "25-29", "30-34", "35-39", "40-44", "45-49", "50-54", "55-59", "60-64", "65-69", "70-74", "75-79", "80-84", "85+")</f>
        <v>45-49</v>
      </c>
      <c r="D7389" t="s">
        <v>7</v>
      </c>
    </row>
    <row r="7390" spans="1:4">
      <c r="A7390" t="s">
        <v>6</v>
      </c>
      <c r="B7390">
        <v>59</v>
      </c>
      <c r="C7390" t="str">
        <f>CHOOSE(MATCH(B7390, {20,25,30,35,40,45,50,55,60,65,70,75,80,85}, 1), "20-24", "25-29", "30-34", "35-39", "40-44", "45-49", "50-54", "55-59", "60-64", "65-69", "70-74", "75-79", "80-84", "85+")</f>
        <v>55-59</v>
      </c>
      <c r="D7390" t="s">
        <v>7</v>
      </c>
    </row>
    <row r="7391" spans="1:4">
      <c r="A7391" t="s">
        <v>6</v>
      </c>
      <c r="B7391">
        <v>25</v>
      </c>
      <c r="C7391" t="str">
        <f>CHOOSE(MATCH(B7391, {20,25,30,35,40,45,50,55,60,65,70,75,80,85}, 1), "20-24", "25-29", "30-34", "35-39", "40-44", "45-49", "50-54", "55-59", "60-64", "65-69", "70-74", "75-79", "80-84", "85+")</f>
        <v>25-29</v>
      </c>
      <c r="D7391" t="s">
        <v>7</v>
      </c>
    </row>
    <row r="7392" spans="1:4">
      <c r="A7392" t="s">
        <v>6</v>
      </c>
      <c r="B7392">
        <v>38</v>
      </c>
      <c r="C7392" t="str">
        <f>CHOOSE(MATCH(B7392, {20,25,30,35,40,45,50,55,60,65,70,75,80,85}, 1), "20-24", "25-29", "30-34", "35-39", "40-44", "45-49", "50-54", "55-59", "60-64", "65-69", "70-74", "75-79", "80-84", "85+")</f>
        <v>35-39</v>
      </c>
      <c r="D7392" t="s">
        <v>7</v>
      </c>
    </row>
    <row r="7393" spans="1:4">
      <c r="A7393" t="s">
        <v>6</v>
      </c>
      <c r="B7393">
        <v>46</v>
      </c>
      <c r="C7393" t="str">
        <f>CHOOSE(MATCH(B7393, {20,25,30,35,40,45,50,55,60,65,70,75,80,85}, 1), "20-24", "25-29", "30-34", "35-39", "40-44", "45-49", "50-54", "55-59", "60-64", "65-69", "70-74", "75-79", "80-84", "85+")</f>
        <v>45-49</v>
      </c>
      <c r="D7393" t="s">
        <v>8</v>
      </c>
    </row>
    <row r="7394" spans="1:4">
      <c r="A7394" t="s">
        <v>6</v>
      </c>
      <c r="B7394">
        <v>32</v>
      </c>
      <c r="C7394" t="str">
        <f>CHOOSE(MATCH(B7394, {20,25,30,35,40,45,50,55,60,65,70,75,80,85}, 1), "20-24", "25-29", "30-34", "35-39", "40-44", "45-49", "50-54", "55-59", "60-64", "65-69", "70-74", "75-79", "80-84", "85+")</f>
        <v>30-34</v>
      </c>
      <c r="D7394" t="s">
        <v>7</v>
      </c>
    </row>
    <row r="7395" spans="1:4">
      <c r="A7395" t="s">
        <v>6</v>
      </c>
      <c r="B7395">
        <v>24</v>
      </c>
      <c r="C7395" t="str">
        <f>CHOOSE(MATCH(B7395, {20,25,30,35,40,45,50,55,60,65,70,75,80,85}, 1), "20-24", "25-29", "30-34", "35-39", "40-44", "45-49", "50-54", "55-59", "60-64", "65-69", "70-74", "75-79", "80-84", "85+")</f>
        <v>20-24</v>
      </c>
      <c r="D7395" t="s">
        <v>7</v>
      </c>
    </row>
    <row r="7396" spans="1:4">
      <c r="A7396" t="s">
        <v>6</v>
      </c>
      <c r="B7396">
        <v>62</v>
      </c>
      <c r="C7396" t="str">
        <f>CHOOSE(MATCH(B7396, {20,25,30,35,40,45,50,55,60,65,70,75,80,85}, 1), "20-24", "25-29", "30-34", "35-39", "40-44", "45-49", "50-54", "55-59", "60-64", "65-69", "70-74", "75-79", "80-84", "85+")</f>
        <v>60-64</v>
      </c>
      <c r="D7396" t="s">
        <v>8</v>
      </c>
    </row>
    <row r="7397" spans="1:4">
      <c r="A7397" t="s">
        <v>6</v>
      </c>
      <c r="B7397">
        <v>26</v>
      </c>
      <c r="C7397" t="str">
        <f>CHOOSE(MATCH(B7397, {20,25,30,35,40,45,50,55,60,65,70,75,80,85}, 1), "20-24", "25-29", "30-34", "35-39", "40-44", "45-49", "50-54", "55-59", "60-64", "65-69", "70-74", "75-79", "80-84", "85+")</f>
        <v>25-29</v>
      </c>
      <c r="D7397" t="s">
        <v>7</v>
      </c>
    </row>
    <row r="7398" spans="1:4">
      <c r="A7398" t="s">
        <v>6</v>
      </c>
      <c r="B7398">
        <v>26</v>
      </c>
      <c r="C7398" t="str">
        <f>CHOOSE(MATCH(B7398, {20,25,30,35,40,45,50,55,60,65,70,75,80,85}, 1), "20-24", "25-29", "30-34", "35-39", "40-44", "45-49", "50-54", "55-59", "60-64", "65-69", "70-74", "75-79", "80-84", "85+")</f>
        <v>25-29</v>
      </c>
      <c r="D7398" t="s">
        <v>7</v>
      </c>
    </row>
    <row r="7399" spans="1:4">
      <c r="A7399" t="s">
        <v>6</v>
      </c>
      <c r="B7399">
        <v>43</v>
      </c>
      <c r="C7399" t="str">
        <f>CHOOSE(MATCH(B7399, {20,25,30,35,40,45,50,55,60,65,70,75,80,85}, 1), "20-24", "25-29", "30-34", "35-39", "40-44", "45-49", "50-54", "55-59", "60-64", "65-69", "70-74", "75-79", "80-84", "85+")</f>
        <v>40-44</v>
      </c>
      <c r="D7399" t="s">
        <v>7</v>
      </c>
    </row>
    <row r="7400" spans="1:4">
      <c r="A7400" t="s">
        <v>6</v>
      </c>
      <c r="B7400">
        <v>39</v>
      </c>
      <c r="C7400" t="str">
        <f>CHOOSE(MATCH(B7400, {20,25,30,35,40,45,50,55,60,65,70,75,80,85}, 1), "20-24", "25-29", "30-34", "35-39", "40-44", "45-49", "50-54", "55-59", "60-64", "65-69", "70-74", "75-79", "80-84", "85+")</f>
        <v>35-39</v>
      </c>
      <c r="D7400" t="s">
        <v>8</v>
      </c>
    </row>
    <row r="7401" spans="1:4">
      <c r="A7401" t="s">
        <v>6</v>
      </c>
      <c r="B7401">
        <v>46</v>
      </c>
      <c r="C7401" t="str">
        <f>CHOOSE(MATCH(B7401, {20,25,30,35,40,45,50,55,60,65,70,75,80,85}, 1), "20-24", "25-29", "30-34", "35-39", "40-44", "45-49", "50-54", "55-59", "60-64", "65-69", "70-74", "75-79", "80-84", "85+")</f>
        <v>45-49</v>
      </c>
      <c r="D7401" t="s">
        <v>7</v>
      </c>
    </row>
    <row r="7402" spans="1:4">
      <c r="A7402" t="s">
        <v>6</v>
      </c>
      <c r="B7402">
        <v>35</v>
      </c>
      <c r="C7402" t="str">
        <f>CHOOSE(MATCH(B7402, {20,25,30,35,40,45,50,55,60,65,70,75,80,85}, 1), "20-24", "25-29", "30-34", "35-39", "40-44", "45-49", "50-54", "55-59", "60-64", "65-69", "70-74", "75-79", "80-84", "85+")</f>
        <v>35-39</v>
      </c>
      <c r="D7402" t="s">
        <v>8</v>
      </c>
    </row>
    <row r="7403" spans="1:4">
      <c r="A7403" t="s">
        <v>6</v>
      </c>
      <c r="B7403">
        <v>32</v>
      </c>
      <c r="C7403" t="str">
        <f>CHOOSE(MATCH(B7403, {20,25,30,35,40,45,50,55,60,65,70,75,80,85}, 1), "20-24", "25-29", "30-34", "35-39", "40-44", "45-49", "50-54", "55-59", "60-64", "65-69", "70-74", "75-79", "80-84", "85+")</f>
        <v>30-34</v>
      </c>
      <c r="D7403" t="s">
        <v>8</v>
      </c>
    </row>
    <row r="7404" spans="1:4">
      <c r="A7404" t="s">
        <v>6</v>
      </c>
      <c r="B7404">
        <v>65</v>
      </c>
      <c r="C7404" t="str">
        <f>CHOOSE(MATCH(B7404, {20,25,30,35,40,45,50,55,60,65,70,75,80,85}, 1), "20-24", "25-29", "30-34", "35-39", "40-44", "45-49", "50-54", "55-59", "60-64", "65-69", "70-74", "75-79", "80-84", "85+")</f>
        <v>65-69</v>
      </c>
      <c r="D7404" t="s">
        <v>8</v>
      </c>
    </row>
    <row r="7405" spans="1:4">
      <c r="A7405" t="s">
        <v>6</v>
      </c>
      <c r="B7405">
        <v>35</v>
      </c>
      <c r="C7405" t="str">
        <f>CHOOSE(MATCH(B7405, {20,25,30,35,40,45,50,55,60,65,70,75,80,85}, 1), "20-24", "25-29", "30-34", "35-39", "40-44", "45-49", "50-54", "55-59", "60-64", "65-69", "70-74", "75-79", "80-84", "85+")</f>
        <v>35-39</v>
      </c>
      <c r="D7405" t="s">
        <v>8</v>
      </c>
    </row>
    <row r="7406" spans="1:4">
      <c r="A7406" t="s">
        <v>6</v>
      </c>
      <c r="B7406">
        <v>80</v>
      </c>
      <c r="C7406" t="str">
        <f>CHOOSE(MATCH(B7406, {20,25,30,35,40,45,50,55,60,65,70,75,80,85}, 1), "20-24", "25-29", "30-34", "35-39", "40-44", "45-49", "50-54", "55-59", "60-64", "65-69", "70-74", "75-79", "80-84", "85+")</f>
        <v>80-84</v>
      </c>
      <c r="D7406" t="s">
        <v>7</v>
      </c>
    </row>
    <row r="7407" spans="1:4">
      <c r="A7407" t="s">
        <v>6</v>
      </c>
      <c r="B7407">
        <v>34</v>
      </c>
      <c r="C7407" t="str">
        <f>CHOOSE(MATCH(B7407, {20,25,30,35,40,45,50,55,60,65,70,75,80,85}, 1), "20-24", "25-29", "30-34", "35-39", "40-44", "45-49", "50-54", "55-59", "60-64", "65-69", "70-74", "75-79", "80-84", "85+")</f>
        <v>30-34</v>
      </c>
      <c r="D7407" t="s">
        <v>8</v>
      </c>
    </row>
    <row r="7408" spans="1:4">
      <c r="A7408" t="s">
        <v>6</v>
      </c>
      <c r="B7408">
        <v>29</v>
      </c>
      <c r="C7408" t="str">
        <f>CHOOSE(MATCH(B7408, {20,25,30,35,40,45,50,55,60,65,70,75,80,85}, 1), "20-24", "25-29", "30-34", "35-39", "40-44", "45-49", "50-54", "55-59", "60-64", "65-69", "70-74", "75-79", "80-84", "85+")</f>
        <v>25-29</v>
      </c>
      <c r="D7408" t="s">
        <v>7</v>
      </c>
    </row>
    <row r="7409" spans="1:4">
      <c r="A7409" t="s">
        <v>6</v>
      </c>
      <c r="B7409">
        <v>81</v>
      </c>
      <c r="C7409" t="str">
        <f>CHOOSE(MATCH(B7409, {20,25,30,35,40,45,50,55,60,65,70,75,80,85}, 1), "20-24", "25-29", "30-34", "35-39", "40-44", "45-49", "50-54", "55-59", "60-64", "65-69", "70-74", "75-79", "80-84", "85+")</f>
        <v>80-84</v>
      </c>
      <c r="D7409" t="s">
        <v>7</v>
      </c>
    </row>
    <row r="7410" spans="1:4">
      <c r="A7410" t="s">
        <v>6</v>
      </c>
      <c r="B7410">
        <v>45</v>
      </c>
      <c r="C7410" t="str">
        <f>CHOOSE(MATCH(B7410, {20,25,30,35,40,45,50,55,60,65,70,75,80,85}, 1), "20-24", "25-29", "30-34", "35-39", "40-44", "45-49", "50-54", "55-59", "60-64", "65-69", "70-74", "75-79", "80-84", "85+")</f>
        <v>45-49</v>
      </c>
      <c r="D7410" t="s">
        <v>7</v>
      </c>
    </row>
    <row r="7411" spans="1:4">
      <c r="A7411" t="s">
        <v>6</v>
      </c>
      <c r="B7411">
        <v>42</v>
      </c>
      <c r="C7411" t="str">
        <f>CHOOSE(MATCH(B7411, {20,25,30,35,40,45,50,55,60,65,70,75,80,85}, 1), "20-24", "25-29", "30-34", "35-39", "40-44", "45-49", "50-54", "55-59", "60-64", "65-69", "70-74", "75-79", "80-84", "85+")</f>
        <v>40-44</v>
      </c>
      <c r="D7411" t="s">
        <v>7</v>
      </c>
    </row>
    <row r="7412" spans="1:4">
      <c r="A7412" t="s">
        <v>6</v>
      </c>
      <c r="B7412">
        <v>43</v>
      </c>
      <c r="C7412" t="str">
        <f>CHOOSE(MATCH(B7412, {20,25,30,35,40,45,50,55,60,65,70,75,80,85}, 1), "20-24", "25-29", "30-34", "35-39", "40-44", "45-49", "50-54", "55-59", "60-64", "65-69", "70-74", "75-79", "80-84", "85+")</f>
        <v>40-44</v>
      </c>
      <c r="D7412" t="s">
        <v>7</v>
      </c>
    </row>
    <row r="7413" spans="1:4">
      <c r="A7413" t="s">
        <v>6</v>
      </c>
      <c r="B7413">
        <v>38</v>
      </c>
      <c r="C7413" t="str">
        <f>CHOOSE(MATCH(B7413, {20,25,30,35,40,45,50,55,60,65,70,75,80,85}, 1), "20-24", "25-29", "30-34", "35-39", "40-44", "45-49", "50-54", "55-59", "60-64", "65-69", "70-74", "75-79", "80-84", "85+")</f>
        <v>35-39</v>
      </c>
      <c r="D7413" t="s">
        <v>8</v>
      </c>
    </row>
    <row r="7414" spans="1:4">
      <c r="A7414" t="s">
        <v>6</v>
      </c>
      <c r="B7414">
        <v>29</v>
      </c>
      <c r="C7414" t="str">
        <f>CHOOSE(MATCH(B7414, {20,25,30,35,40,45,50,55,60,65,70,75,80,85}, 1), "20-24", "25-29", "30-34", "35-39", "40-44", "45-49", "50-54", "55-59", "60-64", "65-69", "70-74", "75-79", "80-84", "85+")</f>
        <v>25-29</v>
      </c>
      <c r="D7414" t="s">
        <v>8</v>
      </c>
    </row>
    <row r="7415" spans="1:4">
      <c r="A7415" t="s">
        <v>6</v>
      </c>
      <c r="B7415">
        <v>63</v>
      </c>
      <c r="C7415" t="str">
        <f>CHOOSE(MATCH(B7415, {20,25,30,35,40,45,50,55,60,65,70,75,80,85}, 1), "20-24", "25-29", "30-34", "35-39", "40-44", "45-49", "50-54", "55-59", "60-64", "65-69", "70-74", "75-79", "80-84", "85+")</f>
        <v>60-64</v>
      </c>
      <c r="D7415" t="s">
        <v>8</v>
      </c>
    </row>
    <row r="7416" spans="1:4">
      <c r="A7416" t="s">
        <v>6</v>
      </c>
      <c r="B7416">
        <v>60</v>
      </c>
      <c r="C7416" t="str">
        <f>CHOOSE(MATCH(B7416, {20,25,30,35,40,45,50,55,60,65,70,75,80,85}, 1), "20-24", "25-29", "30-34", "35-39", "40-44", "45-49", "50-54", "55-59", "60-64", "65-69", "70-74", "75-79", "80-84", "85+")</f>
        <v>60-64</v>
      </c>
      <c r="D7416" t="s">
        <v>8</v>
      </c>
    </row>
    <row r="7417" spans="1:4">
      <c r="A7417" t="s">
        <v>6</v>
      </c>
      <c r="B7417">
        <v>35</v>
      </c>
      <c r="C7417" t="str">
        <f>CHOOSE(MATCH(B7417, {20,25,30,35,40,45,50,55,60,65,70,75,80,85}, 1), "20-24", "25-29", "30-34", "35-39", "40-44", "45-49", "50-54", "55-59", "60-64", "65-69", "70-74", "75-79", "80-84", "85+")</f>
        <v>35-39</v>
      </c>
      <c r="D7417" t="s">
        <v>7</v>
      </c>
    </row>
    <row r="7418" spans="1:4">
      <c r="A7418" t="s">
        <v>6</v>
      </c>
      <c r="B7418">
        <v>70</v>
      </c>
      <c r="C7418" t="str">
        <f>CHOOSE(MATCH(B7418, {20,25,30,35,40,45,50,55,60,65,70,75,80,85}, 1), "20-24", "25-29", "30-34", "35-39", "40-44", "45-49", "50-54", "55-59", "60-64", "65-69", "70-74", "75-79", "80-84", "85+")</f>
        <v>70-74</v>
      </c>
      <c r="D7418" t="s">
        <v>8</v>
      </c>
    </row>
    <row r="7419" spans="1:4">
      <c r="A7419" t="s">
        <v>6</v>
      </c>
      <c r="B7419">
        <v>51</v>
      </c>
      <c r="C7419" t="str">
        <f>CHOOSE(MATCH(B7419, {20,25,30,35,40,45,50,55,60,65,70,75,80,85}, 1), "20-24", "25-29", "30-34", "35-39", "40-44", "45-49", "50-54", "55-59", "60-64", "65-69", "70-74", "75-79", "80-84", "85+")</f>
        <v>50-54</v>
      </c>
      <c r="D7419" t="s">
        <v>7</v>
      </c>
    </row>
    <row r="7420" spans="1:4">
      <c r="A7420" t="s">
        <v>6</v>
      </c>
      <c r="B7420">
        <v>65</v>
      </c>
      <c r="C7420" t="str">
        <f>CHOOSE(MATCH(B7420, {20,25,30,35,40,45,50,55,60,65,70,75,80,85}, 1), "20-24", "25-29", "30-34", "35-39", "40-44", "45-49", "50-54", "55-59", "60-64", "65-69", "70-74", "75-79", "80-84", "85+")</f>
        <v>65-69</v>
      </c>
      <c r="D7420" t="s">
        <v>7</v>
      </c>
    </row>
    <row r="7421" spans="1:4">
      <c r="A7421" t="s">
        <v>6</v>
      </c>
      <c r="B7421">
        <v>52</v>
      </c>
      <c r="C7421" t="str">
        <f>CHOOSE(MATCH(B7421, {20,25,30,35,40,45,50,55,60,65,70,75,80,85}, 1), "20-24", "25-29", "30-34", "35-39", "40-44", "45-49", "50-54", "55-59", "60-64", "65-69", "70-74", "75-79", "80-84", "85+")</f>
        <v>50-54</v>
      </c>
      <c r="D7421" t="s">
        <v>7</v>
      </c>
    </row>
    <row r="7422" spans="1:4">
      <c r="A7422" t="s">
        <v>6</v>
      </c>
      <c r="B7422">
        <v>34</v>
      </c>
      <c r="C7422" t="str">
        <f>CHOOSE(MATCH(B7422, {20,25,30,35,40,45,50,55,60,65,70,75,80,85}, 1), "20-24", "25-29", "30-34", "35-39", "40-44", "45-49", "50-54", "55-59", "60-64", "65-69", "70-74", "75-79", "80-84", "85+")</f>
        <v>30-34</v>
      </c>
      <c r="D7422" t="s">
        <v>8</v>
      </c>
    </row>
    <row r="7423" spans="1:4">
      <c r="A7423" t="s">
        <v>6</v>
      </c>
      <c r="B7423">
        <v>57</v>
      </c>
      <c r="C7423" t="str">
        <f>CHOOSE(MATCH(B7423, {20,25,30,35,40,45,50,55,60,65,70,75,80,85}, 1), "20-24", "25-29", "30-34", "35-39", "40-44", "45-49", "50-54", "55-59", "60-64", "65-69", "70-74", "75-79", "80-84", "85+")</f>
        <v>55-59</v>
      </c>
      <c r="D7423" t="s">
        <v>8</v>
      </c>
    </row>
    <row r="7424" spans="1:4">
      <c r="A7424" t="s">
        <v>6</v>
      </c>
      <c r="B7424">
        <v>22</v>
      </c>
      <c r="C7424" t="str">
        <f>CHOOSE(MATCH(B7424, {20,25,30,35,40,45,50,55,60,65,70,75,80,85}, 1), "20-24", "25-29", "30-34", "35-39", "40-44", "45-49", "50-54", "55-59", "60-64", "65-69", "70-74", "75-79", "80-84", "85+")</f>
        <v>20-24</v>
      </c>
      <c r="D7424" t="s">
        <v>7</v>
      </c>
    </row>
    <row r="7425" spans="1:4">
      <c r="A7425" t="s">
        <v>6</v>
      </c>
      <c r="B7425">
        <v>41</v>
      </c>
      <c r="C7425" t="str">
        <f>CHOOSE(MATCH(B7425, {20,25,30,35,40,45,50,55,60,65,70,75,80,85}, 1), "20-24", "25-29", "30-34", "35-39", "40-44", "45-49", "50-54", "55-59", "60-64", "65-69", "70-74", "75-79", "80-84", "85+")</f>
        <v>40-44</v>
      </c>
      <c r="D7425" t="s">
        <v>8</v>
      </c>
    </row>
    <row r="7426" spans="1:4">
      <c r="A7426" t="s">
        <v>6</v>
      </c>
      <c r="B7426">
        <v>46</v>
      </c>
      <c r="C7426" t="str">
        <f>CHOOSE(MATCH(B7426, {20,25,30,35,40,45,50,55,60,65,70,75,80,85}, 1), "20-24", "25-29", "30-34", "35-39", "40-44", "45-49", "50-54", "55-59", "60-64", "65-69", "70-74", "75-79", "80-84", "85+")</f>
        <v>45-49</v>
      </c>
      <c r="D7426" t="s">
        <v>7</v>
      </c>
    </row>
    <row r="7427" spans="1:4">
      <c r="A7427" t="s">
        <v>6</v>
      </c>
      <c r="B7427">
        <v>39</v>
      </c>
      <c r="C7427" t="str">
        <f>CHOOSE(MATCH(B7427, {20,25,30,35,40,45,50,55,60,65,70,75,80,85}, 1), "20-24", "25-29", "30-34", "35-39", "40-44", "45-49", "50-54", "55-59", "60-64", "65-69", "70-74", "75-79", "80-84", "85+")</f>
        <v>35-39</v>
      </c>
      <c r="D7427" t="s">
        <v>7</v>
      </c>
    </row>
    <row r="7428" spans="1:4">
      <c r="A7428" t="s">
        <v>6</v>
      </c>
      <c r="B7428">
        <v>53</v>
      </c>
      <c r="C7428" t="str">
        <f>CHOOSE(MATCH(B7428, {20,25,30,35,40,45,50,55,60,65,70,75,80,85}, 1), "20-24", "25-29", "30-34", "35-39", "40-44", "45-49", "50-54", "55-59", "60-64", "65-69", "70-74", "75-79", "80-84", "85+")</f>
        <v>50-54</v>
      </c>
      <c r="D7428" t="s">
        <v>8</v>
      </c>
    </row>
    <row r="7429" spans="1:4">
      <c r="A7429" t="s">
        <v>6</v>
      </c>
      <c r="B7429">
        <v>26</v>
      </c>
      <c r="C7429" t="str">
        <f>CHOOSE(MATCH(B7429, {20,25,30,35,40,45,50,55,60,65,70,75,80,85}, 1), "20-24", "25-29", "30-34", "35-39", "40-44", "45-49", "50-54", "55-59", "60-64", "65-69", "70-74", "75-79", "80-84", "85+")</f>
        <v>25-29</v>
      </c>
      <c r="D7429" t="s">
        <v>7</v>
      </c>
    </row>
    <row r="7430" spans="1:4">
      <c r="A7430" t="s">
        <v>6</v>
      </c>
      <c r="B7430">
        <v>50</v>
      </c>
      <c r="C7430" t="str">
        <f>CHOOSE(MATCH(B7430, {20,25,30,35,40,45,50,55,60,65,70,75,80,85}, 1), "20-24", "25-29", "30-34", "35-39", "40-44", "45-49", "50-54", "55-59", "60-64", "65-69", "70-74", "75-79", "80-84", "85+")</f>
        <v>50-54</v>
      </c>
      <c r="D7430" t="s">
        <v>7</v>
      </c>
    </row>
    <row r="7431" spans="1:4">
      <c r="A7431" t="s">
        <v>6</v>
      </c>
      <c r="B7431">
        <v>49</v>
      </c>
      <c r="C7431" t="str">
        <f>CHOOSE(MATCH(B7431, {20,25,30,35,40,45,50,55,60,65,70,75,80,85}, 1), "20-24", "25-29", "30-34", "35-39", "40-44", "45-49", "50-54", "55-59", "60-64", "65-69", "70-74", "75-79", "80-84", "85+")</f>
        <v>45-49</v>
      </c>
      <c r="D7431" t="s">
        <v>7</v>
      </c>
    </row>
    <row r="7432" spans="1:4">
      <c r="A7432" t="s">
        <v>6</v>
      </c>
      <c r="B7432">
        <v>36</v>
      </c>
      <c r="C7432" t="str">
        <f>CHOOSE(MATCH(B7432, {20,25,30,35,40,45,50,55,60,65,70,75,80,85}, 1), "20-24", "25-29", "30-34", "35-39", "40-44", "45-49", "50-54", "55-59", "60-64", "65-69", "70-74", "75-79", "80-84", "85+")</f>
        <v>35-39</v>
      </c>
      <c r="D7432" t="s">
        <v>7</v>
      </c>
    </row>
    <row r="7433" spans="1:4">
      <c r="A7433" t="s">
        <v>6</v>
      </c>
      <c r="B7433">
        <v>43</v>
      </c>
      <c r="C7433" t="str">
        <f>CHOOSE(MATCH(B7433, {20,25,30,35,40,45,50,55,60,65,70,75,80,85}, 1), "20-24", "25-29", "30-34", "35-39", "40-44", "45-49", "50-54", "55-59", "60-64", "65-69", "70-74", "75-79", "80-84", "85+")</f>
        <v>40-44</v>
      </c>
      <c r="D7433" t="s">
        <v>8</v>
      </c>
    </row>
    <row r="7434" spans="1:4">
      <c r="A7434" t="s">
        <v>6</v>
      </c>
      <c r="B7434">
        <v>30</v>
      </c>
      <c r="C7434" t="str">
        <f>CHOOSE(MATCH(B7434, {20,25,30,35,40,45,50,55,60,65,70,75,80,85}, 1), "20-24", "25-29", "30-34", "35-39", "40-44", "45-49", "50-54", "55-59", "60-64", "65-69", "70-74", "75-79", "80-84", "85+")</f>
        <v>30-34</v>
      </c>
      <c r="D7434" t="s">
        <v>7</v>
      </c>
    </row>
    <row r="7435" spans="1:4">
      <c r="A7435" t="s">
        <v>6</v>
      </c>
      <c r="B7435">
        <v>33</v>
      </c>
      <c r="C7435" t="str">
        <f>CHOOSE(MATCH(B7435, {20,25,30,35,40,45,50,55,60,65,70,75,80,85}, 1), "20-24", "25-29", "30-34", "35-39", "40-44", "45-49", "50-54", "55-59", "60-64", "65-69", "70-74", "75-79", "80-84", "85+")</f>
        <v>30-34</v>
      </c>
      <c r="D7435" t="s">
        <v>7</v>
      </c>
    </row>
    <row r="7436" spans="1:4">
      <c r="A7436" t="s">
        <v>6</v>
      </c>
      <c r="B7436">
        <v>38</v>
      </c>
      <c r="C7436" t="str">
        <f>CHOOSE(MATCH(B7436, {20,25,30,35,40,45,50,55,60,65,70,75,80,85}, 1), "20-24", "25-29", "30-34", "35-39", "40-44", "45-49", "50-54", "55-59", "60-64", "65-69", "70-74", "75-79", "80-84", "85+")</f>
        <v>35-39</v>
      </c>
      <c r="D7436" t="s">
        <v>7</v>
      </c>
    </row>
    <row r="7437" spans="1:4">
      <c r="A7437" t="s">
        <v>6</v>
      </c>
      <c r="B7437">
        <v>37</v>
      </c>
      <c r="C7437" t="str">
        <f>CHOOSE(MATCH(B7437, {20,25,30,35,40,45,50,55,60,65,70,75,80,85}, 1), "20-24", "25-29", "30-34", "35-39", "40-44", "45-49", "50-54", "55-59", "60-64", "65-69", "70-74", "75-79", "80-84", "85+")</f>
        <v>35-39</v>
      </c>
      <c r="D7437" t="s">
        <v>7</v>
      </c>
    </row>
    <row r="7438" spans="1:4">
      <c r="A7438" t="s">
        <v>6</v>
      </c>
      <c r="B7438">
        <v>60</v>
      </c>
      <c r="C7438" t="str">
        <f>CHOOSE(MATCH(B7438, {20,25,30,35,40,45,50,55,60,65,70,75,80,85}, 1), "20-24", "25-29", "30-34", "35-39", "40-44", "45-49", "50-54", "55-59", "60-64", "65-69", "70-74", "75-79", "80-84", "85+")</f>
        <v>60-64</v>
      </c>
      <c r="D7438" t="s">
        <v>7</v>
      </c>
    </row>
    <row r="7439" spans="1:4">
      <c r="A7439" t="s">
        <v>6</v>
      </c>
      <c r="B7439">
        <v>29</v>
      </c>
      <c r="C7439" t="str">
        <f>CHOOSE(MATCH(B7439, {20,25,30,35,40,45,50,55,60,65,70,75,80,85}, 1), "20-24", "25-29", "30-34", "35-39", "40-44", "45-49", "50-54", "55-59", "60-64", "65-69", "70-74", "75-79", "80-84", "85+")</f>
        <v>25-29</v>
      </c>
      <c r="D7439" t="s">
        <v>8</v>
      </c>
    </row>
    <row r="7440" spans="1:4">
      <c r="A7440" t="s">
        <v>6</v>
      </c>
      <c r="B7440">
        <v>23</v>
      </c>
      <c r="C7440" t="str">
        <f>CHOOSE(MATCH(B7440, {20,25,30,35,40,45,50,55,60,65,70,75,80,85}, 1), "20-24", "25-29", "30-34", "35-39", "40-44", "45-49", "50-54", "55-59", "60-64", "65-69", "70-74", "75-79", "80-84", "85+")</f>
        <v>20-24</v>
      </c>
      <c r="D7440" t="s">
        <v>7</v>
      </c>
    </row>
    <row r="7441" spans="1:4">
      <c r="A7441" t="s">
        <v>6</v>
      </c>
      <c r="B7441">
        <v>27</v>
      </c>
      <c r="C7441" t="str">
        <f>CHOOSE(MATCH(B7441, {20,25,30,35,40,45,50,55,60,65,70,75,80,85}, 1), "20-24", "25-29", "30-34", "35-39", "40-44", "45-49", "50-54", "55-59", "60-64", "65-69", "70-74", "75-79", "80-84", "85+")</f>
        <v>25-29</v>
      </c>
      <c r="D7441" t="s">
        <v>7</v>
      </c>
    </row>
    <row r="7442" spans="1:4">
      <c r="A7442" t="s">
        <v>6</v>
      </c>
      <c r="B7442">
        <v>39</v>
      </c>
      <c r="C7442" t="str">
        <f>CHOOSE(MATCH(B7442, {20,25,30,35,40,45,50,55,60,65,70,75,80,85}, 1), "20-24", "25-29", "30-34", "35-39", "40-44", "45-49", "50-54", "55-59", "60-64", "65-69", "70-74", "75-79", "80-84", "85+")</f>
        <v>35-39</v>
      </c>
      <c r="D7442" t="s">
        <v>8</v>
      </c>
    </row>
    <row r="7443" spans="1:4">
      <c r="A7443" t="s">
        <v>6</v>
      </c>
      <c r="B7443">
        <v>65</v>
      </c>
      <c r="C7443" t="str">
        <f>CHOOSE(MATCH(B7443, {20,25,30,35,40,45,50,55,60,65,70,75,80,85}, 1), "20-24", "25-29", "30-34", "35-39", "40-44", "45-49", "50-54", "55-59", "60-64", "65-69", "70-74", "75-79", "80-84", "85+")</f>
        <v>65-69</v>
      </c>
      <c r="D7443" t="s">
        <v>8</v>
      </c>
    </row>
    <row r="7444" spans="1:4">
      <c r="A7444" t="s">
        <v>6</v>
      </c>
      <c r="B7444">
        <v>41</v>
      </c>
      <c r="C7444" t="str">
        <f>CHOOSE(MATCH(B7444, {20,25,30,35,40,45,50,55,60,65,70,75,80,85}, 1), "20-24", "25-29", "30-34", "35-39", "40-44", "45-49", "50-54", "55-59", "60-64", "65-69", "70-74", "75-79", "80-84", "85+")</f>
        <v>40-44</v>
      </c>
      <c r="D7444" t="s">
        <v>8</v>
      </c>
    </row>
    <row r="7445" spans="1:4">
      <c r="A7445" t="s">
        <v>6</v>
      </c>
      <c r="B7445">
        <v>40</v>
      </c>
      <c r="C7445" t="str">
        <f>CHOOSE(MATCH(B7445, {20,25,30,35,40,45,50,55,60,65,70,75,80,85}, 1), "20-24", "25-29", "30-34", "35-39", "40-44", "45-49", "50-54", "55-59", "60-64", "65-69", "70-74", "75-79", "80-84", "85+")</f>
        <v>40-44</v>
      </c>
      <c r="D7445" t="s">
        <v>8</v>
      </c>
    </row>
    <row r="7446" spans="1:4">
      <c r="A7446" t="s">
        <v>6</v>
      </c>
      <c r="B7446">
        <v>29</v>
      </c>
      <c r="C7446" t="str">
        <f>CHOOSE(MATCH(B7446, {20,25,30,35,40,45,50,55,60,65,70,75,80,85}, 1), "20-24", "25-29", "30-34", "35-39", "40-44", "45-49", "50-54", "55-59", "60-64", "65-69", "70-74", "75-79", "80-84", "85+")</f>
        <v>25-29</v>
      </c>
      <c r="D7446" t="s">
        <v>7</v>
      </c>
    </row>
    <row r="7447" spans="1:4">
      <c r="A7447" t="s">
        <v>6</v>
      </c>
      <c r="B7447">
        <v>32</v>
      </c>
      <c r="C7447" t="str">
        <f>CHOOSE(MATCH(B7447, {20,25,30,35,40,45,50,55,60,65,70,75,80,85}, 1), "20-24", "25-29", "30-34", "35-39", "40-44", "45-49", "50-54", "55-59", "60-64", "65-69", "70-74", "75-79", "80-84", "85+")</f>
        <v>30-34</v>
      </c>
      <c r="D7447" t="s">
        <v>7</v>
      </c>
    </row>
    <row r="7448" spans="1:4">
      <c r="A7448" t="s">
        <v>6</v>
      </c>
      <c r="B7448">
        <v>41</v>
      </c>
      <c r="C7448" t="str">
        <f>CHOOSE(MATCH(B7448, {20,25,30,35,40,45,50,55,60,65,70,75,80,85}, 1), "20-24", "25-29", "30-34", "35-39", "40-44", "45-49", "50-54", "55-59", "60-64", "65-69", "70-74", "75-79", "80-84", "85+")</f>
        <v>40-44</v>
      </c>
      <c r="D7448" t="s">
        <v>8</v>
      </c>
    </row>
    <row r="7449" spans="1:4">
      <c r="A7449" t="s">
        <v>6</v>
      </c>
      <c r="B7449">
        <v>49</v>
      </c>
      <c r="C7449" t="str">
        <f>CHOOSE(MATCH(B7449, {20,25,30,35,40,45,50,55,60,65,70,75,80,85}, 1), "20-24", "25-29", "30-34", "35-39", "40-44", "45-49", "50-54", "55-59", "60-64", "65-69", "70-74", "75-79", "80-84", "85+")</f>
        <v>45-49</v>
      </c>
      <c r="D7449" t="s">
        <v>8</v>
      </c>
    </row>
    <row r="7450" spans="1:4">
      <c r="A7450" t="s">
        <v>6</v>
      </c>
      <c r="B7450">
        <v>28</v>
      </c>
      <c r="C7450" t="str">
        <f>CHOOSE(MATCH(B7450, {20,25,30,35,40,45,50,55,60,65,70,75,80,85}, 1), "20-24", "25-29", "30-34", "35-39", "40-44", "45-49", "50-54", "55-59", "60-64", "65-69", "70-74", "75-79", "80-84", "85+")</f>
        <v>25-29</v>
      </c>
      <c r="D7450" t="s">
        <v>7</v>
      </c>
    </row>
    <row r="7451" spans="1:4">
      <c r="A7451" t="s">
        <v>6</v>
      </c>
      <c r="B7451">
        <v>33</v>
      </c>
      <c r="C7451" t="str">
        <f>CHOOSE(MATCH(B7451, {20,25,30,35,40,45,50,55,60,65,70,75,80,85}, 1), "20-24", "25-29", "30-34", "35-39", "40-44", "45-49", "50-54", "55-59", "60-64", "65-69", "70-74", "75-79", "80-84", "85+")</f>
        <v>30-34</v>
      </c>
      <c r="D7451" t="s">
        <v>7</v>
      </c>
    </row>
    <row r="7452" spans="1:4">
      <c r="A7452" t="s">
        <v>6</v>
      </c>
      <c r="B7452">
        <v>31</v>
      </c>
      <c r="C7452" t="str">
        <f>CHOOSE(MATCH(B7452, {20,25,30,35,40,45,50,55,60,65,70,75,80,85}, 1), "20-24", "25-29", "30-34", "35-39", "40-44", "45-49", "50-54", "55-59", "60-64", "65-69", "70-74", "75-79", "80-84", "85+")</f>
        <v>30-34</v>
      </c>
      <c r="D7452" t="s">
        <v>7</v>
      </c>
    </row>
    <row r="7453" spans="1:4">
      <c r="A7453" t="s">
        <v>6</v>
      </c>
      <c r="B7453">
        <v>38</v>
      </c>
      <c r="C7453" t="str">
        <f>CHOOSE(MATCH(B7453, {20,25,30,35,40,45,50,55,60,65,70,75,80,85}, 1), "20-24", "25-29", "30-34", "35-39", "40-44", "45-49", "50-54", "55-59", "60-64", "65-69", "70-74", "75-79", "80-84", "85+")</f>
        <v>35-39</v>
      </c>
      <c r="D7453" t="s">
        <v>7</v>
      </c>
    </row>
    <row r="7454" spans="1:4">
      <c r="A7454" t="s">
        <v>6</v>
      </c>
      <c r="B7454">
        <v>30</v>
      </c>
      <c r="C7454" t="str">
        <f>CHOOSE(MATCH(B7454, {20,25,30,35,40,45,50,55,60,65,70,75,80,85}, 1), "20-24", "25-29", "30-34", "35-39", "40-44", "45-49", "50-54", "55-59", "60-64", "65-69", "70-74", "75-79", "80-84", "85+")</f>
        <v>30-34</v>
      </c>
      <c r="D7454" t="s">
        <v>8</v>
      </c>
    </row>
    <row r="7455" spans="1:4">
      <c r="A7455" t="s">
        <v>6</v>
      </c>
      <c r="B7455">
        <v>25</v>
      </c>
      <c r="C7455" t="str">
        <f>CHOOSE(MATCH(B7455, {20,25,30,35,40,45,50,55,60,65,70,75,80,85}, 1), "20-24", "25-29", "30-34", "35-39", "40-44", "45-49", "50-54", "55-59", "60-64", "65-69", "70-74", "75-79", "80-84", "85+")</f>
        <v>25-29</v>
      </c>
      <c r="D7455" t="s">
        <v>7</v>
      </c>
    </row>
    <row r="7456" spans="1:4">
      <c r="A7456" t="s">
        <v>6</v>
      </c>
      <c r="B7456">
        <v>32</v>
      </c>
      <c r="C7456" t="str">
        <f>CHOOSE(MATCH(B7456, {20,25,30,35,40,45,50,55,60,65,70,75,80,85}, 1), "20-24", "25-29", "30-34", "35-39", "40-44", "45-49", "50-54", "55-59", "60-64", "65-69", "70-74", "75-79", "80-84", "85+")</f>
        <v>30-34</v>
      </c>
      <c r="D7456" t="s">
        <v>7</v>
      </c>
    </row>
    <row r="7457" spans="1:4">
      <c r="A7457" t="s">
        <v>6</v>
      </c>
      <c r="B7457">
        <v>38</v>
      </c>
      <c r="C7457" t="str">
        <f>CHOOSE(MATCH(B7457, {20,25,30,35,40,45,50,55,60,65,70,75,80,85}, 1), "20-24", "25-29", "30-34", "35-39", "40-44", "45-49", "50-54", "55-59", "60-64", "65-69", "70-74", "75-79", "80-84", "85+")</f>
        <v>35-39</v>
      </c>
      <c r="D7457" t="s">
        <v>7</v>
      </c>
    </row>
    <row r="7458" spans="1:4">
      <c r="A7458" t="s">
        <v>6</v>
      </c>
      <c r="B7458">
        <v>68</v>
      </c>
      <c r="C7458" t="str">
        <f>CHOOSE(MATCH(B7458, {20,25,30,35,40,45,50,55,60,65,70,75,80,85}, 1), "20-24", "25-29", "30-34", "35-39", "40-44", "45-49", "50-54", "55-59", "60-64", "65-69", "70-74", "75-79", "80-84", "85+")</f>
        <v>65-69</v>
      </c>
      <c r="D7458" t="s">
        <v>7</v>
      </c>
    </row>
    <row r="7459" spans="1:4">
      <c r="A7459" t="s">
        <v>6</v>
      </c>
      <c r="B7459">
        <v>62</v>
      </c>
      <c r="C7459" t="str">
        <f>CHOOSE(MATCH(B7459, {20,25,30,35,40,45,50,55,60,65,70,75,80,85}, 1), "20-24", "25-29", "30-34", "35-39", "40-44", "45-49", "50-54", "55-59", "60-64", "65-69", "70-74", "75-79", "80-84", "85+")</f>
        <v>60-64</v>
      </c>
      <c r="D7459" t="s">
        <v>8</v>
      </c>
    </row>
    <row r="7460" spans="1:4">
      <c r="A7460" t="s">
        <v>6</v>
      </c>
      <c r="B7460">
        <v>63</v>
      </c>
      <c r="C7460" t="str">
        <f>CHOOSE(MATCH(B7460, {20,25,30,35,40,45,50,55,60,65,70,75,80,85}, 1), "20-24", "25-29", "30-34", "35-39", "40-44", "45-49", "50-54", "55-59", "60-64", "65-69", "70-74", "75-79", "80-84", "85+")</f>
        <v>60-64</v>
      </c>
      <c r="D7460" t="s">
        <v>7</v>
      </c>
    </row>
    <row r="7461" spans="1:4">
      <c r="A7461" t="s">
        <v>6</v>
      </c>
      <c r="B7461">
        <v>70</v>
      </c>
      <c r="C7461" t="str">
        <f>CHOOSE(MATCH(B7461, {20,25,30,35,40,45,50,55,60,65,70,75,80,85}, 1), "20-24", "25-29", "30-34", "35-39", "40-44", "45-49", "50-54", "55-59", "60-64", "65-69", "70-74", "75-79", "80-84", "85+")</f>
        <v>70-74</v>
      </c>
      <c r="D7461" t="s">
        <v>8</v>
      </c>
    </row>
    <row r="7462" spans="1:4">
      <c r="A7462" t="s">
        <v>6</v>
      </c>
      <c r="B7462">
        <v>37</v>
      </c>
      <c r="C7462" t="str">
        <f>CHOOSE(MATCH(B7462, {20,25,30,35,40,45,50,55,60,65,70,75,80,85}, 1), "20-24", "25-29", "30-34", "35-39", "40-44", "45-49", "50-54", "55-59", "60-64", "65-69", "70-74", "75-79", "80-84", "85+")</f>
        <v>35-39</v>
      </c>
      <c r="D7462" t="s">
        <v>7</v>
      </c>
    </row>
    <row r="7463" spans="1:4">
      <c r="A7463" t="s">
        <v>6</v>
      </c>
      <c r="B7463">
        <v>27</v>
      </c>
      <c r="C7463" t="str">
        <f>CHOOSE(MATCH(B7463, {20,25,30,35,40,45,50,55,60,65,70,75,80,85}, 1), "20-24", "25-29", "30-34", "35-39", "40-44", "45-49", "50-54", "55-59", "60-64", "65-69", "70-74", "75-79", "80-84", "85+")</f>
        <v>25-29</v>
      </c>
      <c r="D7463" t="s">
        <v>8</v>
      </c>
    </row>
    <row r="7464" spans="1:4">
      <c r="A7464" t="s">
        <v>6</v>
      </c>
      <c r="B7464">
        <v>43</v>
      </c>
      <c r="C7464" t="str">
        <f>CHOOSE(MATCH(B7464, {20,25,30,35,40,45,50,55,60,65,70,75,80,85}, 1), "20-24", "25-29", "30-34", "35-39", "40-44", "45-49", "50-54", "55-59", "60-64", "65-69", "70-74", "75-79", "80-84", "85+")</f>
        <v>40-44</v>
      </c>
      <c r="D7464" t="s">
        <v>7</v>
      </c>
    </row>
    <row r="7465" spans="1:4">
      <c r="A7465" t="s">
        <v>6</v>
      </c>
      <c r="B7465">
        <v>46</v>
      </c>
      <c r="C7465" t="str">
        <f>CHOOSE(MATCH(B7465, {20,25,30,35,40,45,50,55,60,65,70,75,80,85}, 1), "20-24", "25-29", "30-34", "35-39", "40-44", "45-49", "50-54", "55-59", "60-64", "65-69", "70-74", "75-79", "80-84", "85+")</f>
        <v>45-49</v>
      </c>
      <c r="D7465" t="s">
        <v>7</v>
      </c>
    </row>
    <row r="7466" spans="1:4">
      <c r="A7466" t="s">
        <v>6</v>
      </c>
      <c r="B7466">
        <v>51</v>
      </c>
      <c r="C7466" t="str">
        <f>CHOOSE(MATCH(B7466, {20,25,30,35,40,45,50,55,60,65,70,75,80,85}, 1), "20-24", "25-29", "30-34", "35-39", "40-44", "45-49", "50-54", "55-59", "60-64", "65-69", "70-74", "75-79", "80-84", "85+")</f>
        <v>50-54</v>
      </c>
      <c r="D7466" t="s">
        <v>7</v>
      </c>
    </row>
    <row r="7467" spans="1:4">
      <c r="A7467" t="s">
        <v>6</v>
      </c>
      <c r="B7467">
        <v>42</v>
      </c>
      <c r="C7467" t="str">
        <f>CHOOSE(MATCH(B7467, {20,25,30,35,40,45,50,55,60,65,70,75,80,85}, 1), "20-24", "25-29", "30-34", "35-39", "40-44", "45-49", "50-54", "55-59", "60-64", "65-69", "70-74", "75-79", "80-84", "85+")</f>
        <v>40-44</v>
      </c>
      <c r="D7467" t="s">
        <v>7</v>
      </c>
    </row>
    <row r="7468" spans="1:4">
      <c r="A7468" t="s">
        <v>6</v>
      </c>
      <c r="B7468">
        <v>31</v>
      </c>
      <c r="C7468" t="str">
        <f>CHOOSE(MATCH(B7468, {20,25,30,35,40,45,50,55,60,65,70,75,80,85}, 1), "20-24", "25-29", "30-34", "35-39", "40-44", "45-49", "50-54", "55-59", "60-64", "65-69", "70-74", "75-79", "80-84", "85+")</f>
        <v>30-34</v>
      </c>
      <c r="D7468" t="s">
        <v>7</v>
      </c>
    </row>
    <row r="7469" spans="1:4">
      <c r="A7469" t="s">
        <v>6</v>
      </c>
      <c r="B7469">
        <v>32</v>
      </c>
      <c r="C7469" t="str">
        <f>CHOOSE(MATCH(B7469, {20,25,30,35,40,45,50,55,60,65,70,75,80,85}, 1), "20-24", "25-29", "30-34", "35-39", "40-44", "45-49", "50-54", "55-59", "60-64", "65-69", "70-74", "75-79", "80-84", "85+")</f>
        <v>30-34</v>
      </c>
      <c r="D7469" t="s">
        <v>7</v>
      </c>
    </row>
    <row r="7470" spans="1:4">
      <c r="A7470" t="s">
        <v>6</v>
      </c>
      <c r="B7470">
        <v>48</v>
      </c>
      <c r="C7470" t="str">
        <f>CHOOSE(MATCH(B7470, {20,25,30,35,40,45,50,55,60,65,70,75,80,85}, 1), "20-24", "25-29", "30-34", "35-39", "40-44", "45-49", "50-54", "55-59", "60-64", "65-69", "70-74", "75-79", "80-84", "85+")</f>
        <v>45-49</v>
      </c>
      <c r="D7470" t="s">
        <v>7</v>
      </c>
    </row>
    <row r="7471" spans="1:4">
      <c r="A7471" t="s">
        <v>6</v>
      </c>
      <c r="B7471">
        <v>64</v>
      </c>
      <c r="C7471" t="str">
        <f>CHOOSE(MATCH(B7471, {20,25,30,35,40,45,50,55,60,65,70,75,80,85}, 1), "20-24", "25-29", "30-34", "35-39", "40-44", "45-49", "50-54", "55-59", "60-64", "65-69", "70-74", "75-79", "80-84", "85+")</f>
        <v>60-64</v>
      </c>
      <c r="D7471" t="s">
        <v>7</v>
      </c>
    </row>
    <row r="7472" spans="1:4">
      <c r="A7472" t="s">
        <v>6</v>
      </c>
      <c r="B7472">
        <v>56</v>
      </c>
      <c r="C7472" t="str">
        <f>CHOOSE(MATCH(B7472, {20,25,30,35,40,45,50,55,60,65,70,75,80,85}, 1), "20-24", "25-29", "30-34", "35-39", "40-44", "45-49", "50-54", "55-59", "60-64", "65-69", "70-74", "75-79", "80-84", "85+")</f>
        <v>55-59</v>
      </c>
      <c r="D7472" t="s">
        <v>8</v>
      </c>
    </row>
    <row r="7473" spans="1:4">
      <c r="A7473" t="s">
        <v>6</v>
      </c>
      <c r="B7473">
        <v>59</v>
      </c>
      <c r="C7473" t="str">
        <f>CHOOSE(MATCH(B7473, {20,25,30,35,40,45,50,55,60,65,70,75,80,85}, 1), "20-24", "25-29", "30-34", "35-39", "40-44", "45-49", "50-54", "55-59", "60-64", "65-69", "70-74", "75-79", "80-84", "85+")</f>
        <v>55-59</v>
      </c>
      <c r="D7473" t="s">
        <v>8</v>
      </c>
    </row>
    <row r="7474" spans="1:4">
      <c r="A7474" t="s">
        <v>6</v>
      </c>
      <c r="B7474">
        <v>25</v>
      </c>
      <c r="C7474" t="str">
        <f>CHOOSE(MATCH(B7474, {20,25,30,35,40,45,50,55,60,65,70,75,80,85}, 1), "20-24", "25-29", "30-34", "35-39", "40-44", "45-49", "50-54", "55-59", "60-64", "65-69", "70-74", "75-79", "80-84", "85+")</f>
        <v>25-29</v>
      </c>
      <c r="D7474" t="s">
        <v>7</v>
      </c>
    </row>
    <row r="7475" spans="1:4">
      <c r="A7475" t="s">
        <v>6</v>
      </c>
      <c r="B7475">
        <v>29</v>
      </c>
      <c r="C7475" t="str">
        <f>CHOOSE(MATCH(B7475, {20,25,30,35,40,45,50,55,60,65,70,75,80,85}, 1), "20-24", "25-29", "30-34", "35-39", "40-44", "45-49", "50-54", "55-59", "60-64", "65-69", "70-74", "75-79", "80-84", "85+")</f>
        <v>25-29</v>
      </c>
      <c r="D7475" t="s">
        <v>8</v>
      </c>
    </row>
    <row r="7476" spans="1:4">
      <c r="A7476" t="s">
        <v>6</v>
      </c>
      <c r="B7476">
        <v>34</v>
      </c>
      <c r="C7476" t="str">
        <f>CHOOSE(MATCH(B7476, {20,25,30,35,40,45,50,55,60,65,70,75,80,85}, 1), "20-24", "25-29", "30-34", "35-39", "40-44", "45-49", "50-54", "55-59", "60-64", "65-69", "70-74", "75-79", "80-84", "85+")</f>
        <v>30-34</v>
      </c>
      <c r="D7476" t="s">
        <v>7</v>
      </c>
    </row>
    <row r="7477" spans="1:4">
      <c r="A7477" t="s">
        <v>6</v>
      </c>
      <c r="B7477">
        <v>40</v>
      </c>
      <c r="C7477" t="str">
        <f>CHOOSE(MATCH(B7477, {20,25,30,35,40,45,50,55,60,65,70,75,80,85}, 1), "20-24", "25-29", "30-34", "35-39", "40-44", "45-49", "50-54", "55-59", "60-64", "65-69", "70-74", "75-79", "80-84", "85+")</f>
        <v>40-44</v>
      </c>
      <c r="D7477" t="s">
        <v>8</v>
      </c>
    </row>
    <row r="7478" spans="1:4">
      <c r="A7478" t="s">
        <v>6</v>
      </c>
      <c r="B7478">
        <v>48</v>
      </c>
      <c r="C7478" t="str">
        <f>CHOOSE(MATCH(B7478, {20,25,30,35,40,45,50,55,60,65,70,75,80,85}, 1), "20-24", "25-29", "30-34", "35-39", "40-44", "45-49", "50-54", "55-59", "60-64", "65-69", "70-74", "75-79", "80-84", "85+")</f>
        <v>45-49</v>
      </c>
      <c r="D7478" t="s">
        <v>7</v>
      </c>
    </row>
    <row r="7479" spans="1:4">
      <c r="A7479" t="s">
        <v>6</v>
      </c>
      <c r="B7479">
        <v>52</v>
      </c>
      <c r="C7479" t="str">
        <f>CHOOSE(MATCH(B7479, {20,25,30,35,40,45,50,55,60,65,70,75,80,85}, 1), "20-24", "25-29", "30-34", "35-39", "40-44", "45-49", "50-54", "55-59", "60-64", "65-69", "70-74", "75-79", "80-84", "85+")</f>
        <v>50-54</v>
      </c>
      <c r="D7479" t="s">
        <v>7</v>
      </c>
    </row>
    <row r="7480" spans="1:4">
      <c r="A7480" t="s">
        <v>6</v>
      </c>
      <c r="B7480">
        <v>41</v>
      </c>
      <c r="C7480" t="str">
        <f>CHOOSE(MATCH(B7480, {20,25,30,35,40,45,50,55,60,65,70,75,80,85}, 1), "20-24", "25-29", "30-34", "35-39", "40-44", "45-49", "50-54", "55-59", "60-64", "65-69", "70-74", "75-79", "80-84", "85+")</f>
        <v>40-44</v>
      </c>
      <c r="D7480" t="s">
        <v>8</v>
      </c>
    </row>
    <row r="7481" spans="1:4">
      <c r="A7481" t="s">
        <v>6</v>
      </c>
      <c r="B7481">
        <v>33</v>
      </c>
      <c r="C7481" t="str">
        <f>CHOOSE(MATCH(B7481, {20,25,30,35,40,45,50,55,60,65,70,75,80,85}, 1), "20-24", "25-29", "30-34", "35-39", "40-44", "45-49", "50-54", "55-59", "60-64", "65-69", "70-74", "75-79", "80-84", "85+")</f>
        <v>30-34</v>
      </c>
      <c r="D7481" t="s">
        <v>7</v>
      </c>
    </row>
    <row r="7482" spans="1:4">
      <c r="A7482" t="s">
        <v>6</v>
      </c>
      <c r="B7482">
        <v>72</v>
      </c>
      <c r="C7482" t="str">
        <f>CHOOSE(MATCH(B7482, {20,25,30,35,40,45,50,55,60,65,70,75,80,85}, 1), "20-24", "25-29", "30-34", "35-39", "40-44", "45-49", "50-54", "55-59", "60-64", "65-69", "70-74", "75-79", "80-84", "85+")</f>
        <v>70-74</v>
      </c>
      <c r="D7482" t="s">
        <v>7</v>
      </c>
    </row>
    <row r="7483" spans="1:4">
      <c r="A7483" t="s">
        <v>6</v>
      </c>
      <c r="B7483">
        <v>40</v>
      </c>
      <c r="C7483" t="str">
        <f>CHOOSE(MATCH(B7483, {20,25,30,35,40,45,50,55,60,65,70,75,80,85}, 1), "20-24", "25-29", "30-34", "35-39", "40-44", "45-49", "50-54", "55-59", "60-64", "65-69", "70-74", "75-79", "80-84", "85+")</f>
        <v>40-44</v>
      </c>
      <c r="D7483" t="s">
        <v>7</v>
      </c>
    </row>
    <row r="7484" spans="1:4">
      <c r="A7484" t="s">
        <v>6</v>
      </c>
      <c r="B7484">
        <v>30</v>
      </c>
      <c r="C7484" t="str">
        <f>CHOOSE(MATCH(B7484, {20,25,30,35,40,45,50,55,60,65,70,75,80,85}, 1), "20-24", "25-29", "30-34", "35-39", "40-44", "45-49", "50-54", "55-59", "60-64", "65-69", "70-74", "75-79", "80-84", "85+")</f>
        <v>30-34</v>
      </c>
      <c r="D7484" t="s">
        <v>8</v>
      </c>
    </row>
    <row r="7485" spans="1:4">
      <c r="A7485" t="s">
        <v>6</v>
      </c>
      <c r="B7485">
        <v>35</v>
      </c>
      <c r="C7485" t="str">
        <f>CHOOSE(MATCH(B7485, {20,25,30,35,40,45,50,55,60,65,70,75,80,85}, 1), "20-24", "25-29", "30-34", "35-39", "40-44", "45-49", "50-54", "55-59", "60-64", "65-69", "70-74", "75-79", "80-84", "85+")</f>
        <v>35-39</v>
      </c>
      <c r="D7485" t="s">
        <v>7</v>
      </c>
    </row>
    <row r="7486" spans="1:4">
      <c r="A7486" t="s">
        <v>6</v>
      </c>
      <c r="B7486">
        <v>69</v>
      </c>
      <c r="C7486" t="str">
        <f>CHOOSE(MATCH(B7486, {20,25,30,35,40,45,50,55,60,65,70,75,80,85}, 1), "20-24", "25-29", "30-34", "35-39", "40-44", "45-49", "50-54", "55-59", "60-64", "65-69", "70-74", "75-79", "80-84", "85+")</f>
        <v>65-69</v>
      </c>
      <c r="D7486" t="s">
        <v>7</v>
      </c>
    </row>
    <row r="7487" spans="1:4">
      <c r="A7487" t="s">
        <v>6</v>
      </c>
      <c r="B7487">
        <v>48</v>
      </c>
      <c r="C7487" t="str">
        <f>CHOOSE(MATCH(B7487, {20,25,30,35,40,45,50,55,60,65,70,75,80,85}, 1), "20-24", "25-29", "30-34", "35-39", "40-44", "45-49", "50-54", "55-59", "60-64", "65-69", "70-74", "75-79", "80-84", "85+")</f>
        <v>45-49</v>
      </c>
      <c r="D7487" t="s">
        <v>7</v>
      </c>
    </row>
    <row r="7488" spans="1:4">
      <c r="A7488" t="s">
        <v>6</v>
      </c>
      <c r="B7488">
        <v>60</v>
      </c>
      <c r="C7488" t="str">
        <f>CHOOSE(MATCH(B7488, {20,25,30,35,40,45,50,55,60,65,70,75,80,85}, 1), "20-24", "25-29", "30-34", "35-39", "40-44", "45-49", "50-54", "55-59", "60-64", "65-69", "70-74", "75-79", "80-84", "85+")</f>
        <v>60-64</v>
      </c>
      <c r="D7488" t="s">
        <v>8</v>
      </c>
    </row>
    <row r="7489" spans="1:4">
      <c r="A7489" t="s">
        <v>6</v>
      </c>
      <c r="B7489">
        <v>75</v>
      </c>
      <c r="C7489" t="str">
        <f>CHOOSE(MATCH(B7489, {20,25,30,35,40,45,50,55,60,65,70,75,80,85}, 1), "20-24", "25-29", "30-34", "35-39", "40-44", "45-49", "50-54", "55-59", "60-64", "65-69", "70-74", "75-79", "80-84", "85+")</f>
        <v>75-79</v>
      </c>
      <c r="D7489" t="s">
        <v>8</v>
      </c>
    </row>
    <row r="7490" spans="1:4">
      <c r="A7490" t="s">
        <v>6</v>
      </c>
      <c r="B7490">
        <v>31</v>
      </c>
      <c r="C7490" t="str">
        <f>CHOOSE(MATCH(B7490, {20,25,30,35,40,45,50,55,60,65,70,75,80,85}, 1), "20-24", "25-29", "30-34", "35-39", "40-44", "45-49", "50-54", "55-59", "60-64", "65-69", "70-74", "75-79", "80-84", "85+")</f>
        <v>30-34</v>
      </c>
      <c r="D7490" t="s">
        <v>8</v>
      </c>
    </row>
    <row r="7491" spans="1:4">
      <c r="A7491" t="s">
        <v>6</v>
      </c>
      <c r="B7491">
        <v>71</v>
      </c>
      <c r="C7491" t="str">
        <f>CHOOSE(MATCH(B7491, {20,25,30,35,40,45,50,55,60,65,70,75,80,85}, 1), "20-24", "25-29", "30-34", "35-39", "40-44", "45-49", "50-54", "55-59", "60-64", "65-69", "70-74", "75-79", "80-84", "85+")</f>
        <v>70-74</v>
      </c>
      <c r="D7491" t="s">
        <v>8</v>
      </c>
    </row>
    <row r="7492" spans="1:4">
      <c r="A7492" t="s">
        <v>6</v>
      </c>
      <c r="B7492">
        <v>29</v>
      </c>
      <c r="C7492" t="str">
        <f>CHOOSE(MATCH(B7492, {20,25,30,35,40,45,50,55,60,65,70,75,80,85}, 1), "20-24", "25-29", "30-34", "35-39", "40-44", "45-49", "50-54", "55-59", "60-64", "65-69", "70-74", "75-79", "80-84", "85+")</f>
        <v>25-29</v>
      </c>
      <c r="D7492" t="s">
        <v>8</v>
      </c>
    </row>
    <row r="7493" spans="1:4">
      <c r="A7493" t="s">
        <v>6</v>
      </c>
      <c r="B7493">
        <v>24</v>
      </c>
      <c r="C7493" t="str">
        <f>CHOOSE(MATCH(B7493, {20,25,30,35,40,45,50,55,60,65,70,75,80,85}, 1), "20-24", "25-29", "30-34", "35-39", "40-44", "45-49", "50-54", "55-59", "60-64", "65-69", "70-74", "75-79", "80-84", "85+")</f>
        <v>20-24</v>
      </c>
      <c r="D7493" t="s">
        <v>7</v>
      </c>
    </row>
    <row r="7494" spans="1:4">
      <c r="A7494" t="s">
        <v>6</v>
      </c>
      <c r="B7494">
        <v>49</v>
      </c>
      <c r="C7494" t="str">
        <f>CHOOSE(MATCH(B7494, {20,25,30,35,40,45,50,55,60,65,70,75,80,85}, 1), "20-24", "25-29", "30-34", "35-39", "40-44", "45-49", "50-54", "55-59", "60-64", "65-69", "70-74", "75-79", "80-84", "85+")</f>
        <v>45-49</v>
      </c>
      <c r="D7494" t="s">
        <v>7</v>
      </c>
    </row>
    <row r="7495" spans="1:4">
      <c r="A7495" t="s">
        <v>6</v>
      </c>
      <c r="B7495">
        <v>43</v>
      </c>
      <c r="C7495" t="str">
        <f>CHOOSE(MATCH(B7495, {20,25,30,35,40,45,50,55,60,65,70,75,80,85}, 1), "20-24", "25-29", "30-34", "35-39", "40-44", "45-49", "50-54", "55-59", "60-64", "65-69", "70-74", "75-79", "80-84", "85+")</f>
        <v>40-44</v>
      </c>
      <c r="D7495" t="s">
        <v>7</v>
      </c>
    </row>
    <row r="7496" spans="1:4">
      <c r="A7496" t="s">
        <v>6</v>
      </c>
      <c r="B7496">
        <v>24</v>
      </c>
      <c r="C7496" t="str">
        <f>CHOOSE(MATCH(B7496, {20,25,30,35,40,45,50,55,60,65,70,75,80,85}, 1), "20-24", "25-29", "30-34", "35-39", "40-44", "45-49", "50-54", "55-59", "60-64", "65-69", "70-74", "75-79", "80-84", "85+")</f>
        <v>20-24</v>
      </c>
      <c r="D7496" t="s">
        <v>7</v>
      </c>
    </row>
    <row r="7497" spans="1:4">
      <c r="A7497" t="s">
        <v>6</v>
      </c>
      <c r="B7497">
        <v>33</v>
      </c>
      <c r="C7497" t="str">
        <f>CHOOSE(MATCH(B7497, {20,25,30,35,40,45,50,55,60,65,70,75,80,85}, 1), "20-24", "25-29", "30-34", "35-39", "40-44", "45-49", "50-54", "55-59", "60-64", "65-69", "70-74", "75-79", "80-84", "85+")</f>
        <v>30-34</v>
      </c>
      <c r="D7497" t="s">
        <v>8</v>
      </c>
    </row>
    <row r="7498" spans="1:4">
      <c r="A7498" t="s">
        <v>6</v>
      </c>
      <c r="B7498">
        <v>28</v>
      </c>
      <c r="C7498" t="str">
        <f>CHOOSE(MATCH(B7498, {20,25,30,35,40,45,50,55,60,65,70,75,80,85}, 1), "20-24", "25-29", "30-34", "35-39", "40-44", "45-49", "50-54", "55-59", "60-64", "65-69", "70-74", "75-79", "80-84", "85+")</f>
        <v>25-29</v>
      </c>
      <c r="D7498" t="s">
        <v>7</v>
      </c>
    </row>
    <row r="7499" spans="1:4">
      <c r="A7499" t="s">
        <v>6</v>
      </c>
      <c r="B7499">
        <v>37</v>
      </c>
      <c r="C7499" t="str">
        <f>CHOOSE(MATCH(B7499, {20,25,30,35,40,45,50,55,60,65,70,75,80,85}, 1), "20-24", "25-29", "30-34", "35-39", "40-44", "45-49", "50-54", "55-59", "60-64", "65-69", "70-74", "75-79", "80-84", "85+")</f>
        <v>35-39</v>
      </c>
      <c r="D7499" t="s">
        <v>7</v>
      </c>
    </row>
    <row r="7500" spans="1:4">
      <c r="A7500" t="s">
        <v>6</v>
      </c>
      <c r="B7500">
        <v>61</v>
      </c>
      <c r="C7500" t="str">
        <f>CHOOSE(MATCH(B7500, {20,25,30,35,40,45,50,55,60,65,70,75,80,85}, 1), "20-24", "25-29", "30-34", "35-39", "40-44", "45-49", "50-54", "55-59", "60-64", "65-69", "70-74", "75-79", "80-84", "85+")</f>
        <v>60-64</v>
      </c>
      <c r="D7500" t="s">
        <v>8</v>
      </c>
    </row>
    <row r="7501" spans="1:4">
      <c r="A7501" t="s">
        <v>6</v>
      </c>
      <c r="B7501">
        <v>45</v>
      </c>
      <c r="C7501" t="str">
        <f>CHOOSE(MATCH(B7501, {20,25,30,35,40,45,50,55,60,65,70,75,80,85}, 1), "20-24", "25-29", "30-34", "35-39", "40-44", "45-49", "50-54", "55-59", "60-64", "65-69", "70-74", "75-79", "80-84", "85+")</f>
        <v>45-49</v>
      </c>
      <c r="D7501" t="s">
        <v>7</v>
      </c>
    </row>
    <row r="7502" spans="1:4">
      <c r="A7502" t="s">
        <v>6</v>
      </c>
      <c r="B7502">
        <v>52</v>
      </c>
      <c r="C7502" t="str">
        <f>CHOOSE(MATCH(B7502, {20,25,30,35,40,45,50,55,60,65,70,75,80,85}, 1), "20-24", "25-29", "30-34", "35-39", "40-44", "45-49", "50-54", "55-59", "60-64", "65-69", "70-74", "75-79", "80-84", "85+")</f>
        <v>50-54</v>
      </c>
      <c r="D7502" t="s">
        <v>7</v>
      </c>
    </row>
    <row r="7503" spans="1:4">
      <c r="A7503" t="s">
        <v>6</v>
      </c>
      <c r="B7503">
        <v>56</v>
      </c>
      <c r="C7503" t="str">
        <f>CHOOSE(MATCH(B7503, {20,25,30,35,40,45,50,55,60,65,70,75,80,85}, 1), "20-24", "25-29", "30-34", "35-39", "40-44", "45-49", "50-54", "55-59", "60-64", "65-69", "70-74", "75-79", "80-84", "85+")</f>
        <v>55-59</v>
      </c>
      <c r="D7503" t="s">
        <v>7</v>
      </c>
    </row>
    <row r="7504" spans="1:4">
      <c r="A7504" t="s">
        <v>6</v>
      </c>
      <c r="B7504">
        <v>33</v>
      </c>
      <c r="C7504" t="str">
        <f>CHOOSE(MATCH(B7504, {20,25,30,35,40,45,50,55,60,65,70,75,80,85}, 1), "20-24", "25-29", "30-34", "35-39", "40-44", "45-49", "50-54", "55-59", "60-64", "65-69", "70-74", "75-79", "80-84", "85+")</f>
        <v>30-34</v>
      </c>
      <c r="D7504" t="s">
        <v>8</v>
      </c>
    </row>
    <row r="7505" spans="1:4">
      <c r="A7505" t="s">
        <v>6</v>
      </c>
      <c r="B7505">
        <v>44</v>
      </c>
      <c r="C7505" t="str">
        <f>CHOOSE(MATCH(B7505, {20,25,30,35,40,45,50,55,60,65,70,75,80,85}, 1), "20-24", "25-29", "30-34", "35-39", "40-44", "45-49", "50-54", "55-59", "60-64", "65-69", "70-74", "75-79", "80-84", "85+")</f>
        <v>40-44</v>
      </c>
      <c r="D7505" t="s">
        <v>7</v>
      </c>
    </row>
    <row r="7506" spans="1:4">
      <c r="A7506" t="s">
        <v>6</v>
      </c>
      <c r="B7506">
        <v>54</v>
      </c>
      <c r="C7506" t="str">
        <f>CHOOSE(MATCH(B7506, {20,25,30,35,40,45,50,55,60,65,70,75,80,85}, 1), "20-24", "25-29", "30-34", "35-39", "40-44", "45-49", "50-54", "55-59", "60-64", "65-69", "70-74", "75-79", "80-84", "85+")</f>
        <v>50-54</v>
      </c>
      <c r="D7506" t="s">
        <v>8</v>
      </c>
    </row>
    <row r="7507" spans="1:4">
      <c r="A7507" t="s">
        <v>6</v>
      </c>
      <c r="B7507">
        <v>52</v>
      </c>
      <c r="C7507" t="str">
        <f>CHOOSE(MATCH(B7507, {20,25,30,35,40,45,50,55,60,65,70,75,80,85}, 1), "20-24", "25-29", "30-34", "35-39", "40-44", "45-49", "50-54", "55-59", "60-64", "65-69", "70-74", "75-79", "80-84", "85+")</f>
        <v>50-54</v>
      </c>
      <c r="D7507" t="s">
        <v>7</v>
      </c>
    </row>
    <row r="7508" spans="1:4">
      <c r="A7508" t="s">
        <v>6</v>
      </c>
      <c r="B7508">
        <v>67</v>
      </c>
      <c r="C7508" t="str">
        <f>CHOOSE(MATCH(B7508, {20,25,30,35,40,45,50,55,60,65,70,75,80,85}, 1), "20-24", "25-29", "30-34", "35-39", "40-44", "45-49", "50-54", "55-59", "60-64", "65-69", "70-74", "75-79", "80-84", "85+")</f>
        <v>65-69</v>
      </c>
      <c r="D7508" t="s">
        <v>7</v>
      </c>
    </row>
    <row r="7509" spans="1:4">
      <c r="A7509" t="s">
        <v>6</v>
      </c>
      <c r="B7509">
        <v>41</v>
      </c>
      <c r="C7509" t="str">
        <f>CHOOSE(MATCH(B7509, {20,25,30,35,40,45,50,55,60,65,70,75,80,85}, 1), "20-24", "25-29", "30-34", "35-39", "40-44", "45-49", "50-54", "55-59", "60-64", "65-69", "70-74", "75-79", "80-84", "85+")</f>
        <v>40-44</v>
      </c>
      <c r="D7509" t="s">
        <v>8</v>
      </c>
    </row>
    <row r="7510" spans="1:4">
      <c r="A7510" t="s">
        <v>6</v>
      </c>
      <c r="B7510">
        <v>30</v>
      </c>
      <c r="C7510" t="str">
        <f>CHOOSE(MATCH(B7510, {20,25,30,35,40,45,50,55,60,65,70,75,80,85}, 1), "20-24", "25-29", "30-34", "35-39", "40-44", "45-49", "50-54", "55-59", "60-64", "65-69", "70-74", "75-79", "80-84", "85+")</f>
        <v>30-34</v>
      </c>
      <c r="D7510" t="s">
        <v>8</v>
      </c>
    </row>
    <row r="7511" spans="1:4">
      <c r="A7511" t="s">
        <v>6</v>
      </c>
      <c r="B7511">
        <v>20</v>
      </c>
      <c r="C7511" t="str">
        <f>CHOOSE(MATCH(B7511, {20,25,30,35,40,45,50,55,60,65,70,75,80,85}, 1), "20-24", "25-29", "30-34", "35-39", "40-44", "45-49", "50-54", "55-59", "60-64", "65-69", "70-74", "75-79", "80-84", "85+")</f>
        <v>20-24</v>
      </c>
      <c r="D7511" t="s">
        <v>8</v>
      </c>
    </row>
    <row r="7512" spans="1:4">
      <c r="A7512" t="s">
        <v>6</v>
      </c>
      <c r="B7512">
        <v>43</v>
      </c>
      <c r="C7512" t="str">
        <f>CHOOSE(MATCH(B7512, {20,25,30,35,40,45,50,55,60,65,70,75,80,85}, 1), "20-24", "25-29", "30-34", "35-39", "40-44", "45-49", "50-54", "55-59", "60-64", "65-69", "70-74", "75-79", "80-84", "85+")</f>
        <v>40-44</v>
      </c>
      <c r="D7512" t="s">
        <v>8</v>
      </c>
    </row>
    <row r="7513" spans="1:4">
      <c r="A7513" t="s">
        <v>6</v>
      </c>
      <c r="B7513">
        <v>37</v>
      </c>
      <c r="C7513" t="str">
        <f>CHOOSE(MATCH(B7513, {20,25,30,35,40,45,50,55,60,65,70,75,80,85}, 1), "20-24", "25-29", "30-34", "35-39", "40-44", "45-49", "50-54", "55-59", "60-64", "65-69", "70-74", "75-79", "80-84", "85+")</f>
        <v>35-39</v>
      </c>
      <c r="D7513" t="s">
        <v>8</v>
      </c>
    </row>
    <row r="7514" spans="1:4">
      <c r="A7514" t="s">
        <v>6</v>
      </c>
      <c r="B7514">
        <v>78</v>
      </c>
      <c r="C7514" t="str">
        <f>CHOOSE(MATCH(B7514, {20,25,30,35,40,45,50,55,60,65,70,75,80,85}, 1), "20-24", "25-29", "30-34", "35-39", "40-44", "45-49", "50-54", "55-59", "60-64", "65-69", "70-74", "75-79", "80-84", "85+")</f>
        <v>75-79</v>
      </c>
      <c r="D7514" t="s">
        <v>7</v>
      </c>
    </row>
    <row r="7515" spans="1:4">
      <c r="A7515" t="s">
        <v>6</v>
      </c>
      <c r="B7515">
        <v>81</v>
      </c>
      <c r="C7515" t="str">
        <f>CHOOSE(MATCH(B7515, {20,25,30,35,40,45,50,55,60,65,70,75,80,85}, 1), "20-24", "25-29", "30-34", "35-39", "40-44", "45-49", "50-54", "55-59", "60-64", "65-69", "70-74", "75-79", "80-84", "85+")</f>
        <v>80-84</v>
      </c>
      <c r="D7515" t="s">
        <v>7</v>
      </c>
    </row>
    <row r="7516" spans="1:4">
      <c r="A7516" t="s">
        <v>6</v>
      </c>
      <c r="B7516">
        <v>37</v>
      </c>
      <c r="C7516" t="str">
        <f>CHOOSE(MATCH(B7516, {20,25,30,35,40,45,50,55,60,65,70,75,80,85}, 1), "20-24", "25-29", "30-34", "35-39", "40-44", "45-49", "50-54", "55-59", "60-64", "65-69", "70-74", "75-79", "80-84", "85+")</f>
        <v>35-39</v>
      </c>
      <c r="D7516" t="s">
        <v>8</v>
      </c>
    </row>
    <row r="7517" spans="1:4">
      <c r="A7517" t="s">
        <v>6</v>
      </c>
      <c r="B7517">
        <v>36</v>
      </c>
      <c r="C7517" t="str">
        <f>CHOOSE(MATCH(B7517, {20,25,30,35,40,45,50,55,60,65,70,75,80,85}, 1), "20-24", "25-29", "30-34", "35-39", "40-44", "45-49", "50-54", "55-59", "60-64", "65-69", "70-74", "75-79", "80-84", "85+")</f>
        <v>35-39</v>
      </c>
      <c r="D7517" t="s">
        <v>7</v>
      </c>
    </row>
    <row r="7518" spans="1:4">
      <c r="A7518" t="s">
        <v>6</v>
      </c>
      <c r="B7518">
        <v>38</v>
      </c>
      <c r="C7518" t="str">
        <f>CHOOSE(MATCH(B7518, {20,25,30,35,40,45,50,55,60,65,70,75,80,85}, 1), "20-24", "25-29", "30-34", "35-39", "40-44", "45-49", "50-54", "55-59", "60-64", "65-69", "70-74", "75-79", "80-84", "85+")</f>
        <v>35-39</v>
      </c>
      <c r="D7518" t="s">
        <v>7</v>
      </c>
    </row>
    <row r="7519" spans="1:4">
      <c r="A7519" t="s">
        <v>6</v>
      </c>
      <c r="B7519">
        <v>49</v>
      </c>
      <c r="C7519" t="str">
        <f>CHOOSE(MATCH(B7519, {20,25,30,35,40,45,50,55,60,65,70,75,80,85}, 1), "20-24", "25-29", "30-34", "35-39", "40-44", "45-49", "50-54", "55-59", "60-64", "65-69", "70-74", "75-79", "80-84", "85+")</f>
        <v>45-49</v>
      </c>
      <c r="D7519" t="s">
        <v>8</v>
      </c>
    </row>
    <row r="7520" spans="1:4">
      <c r="A7520" t="s">
        <v>6</v>
      </c>
      <c r="B7520">
        <v>27</v>
      </c>
      <c r="C7520" t="str">
        <f>CHOOSE(MATCH(B7520, {20,25,30,35,40,45,50,55,60,65,70,75,80,85}, 1), "20-24", "25-29", "30-34", "35-39", "40-44", "45-49", "50-54", "55-59", "60-64", "65-69", "70-74", "75-79", "80-84", "85+")</f>
        <v>25-29</v>
      </c>
      <c r="D7520" t="s">
        <v>7</v>
      </c>
    </row>
    <row r="7521" spans="1:4">
      <c r="A7521" t="s">
        <v>6</v>
      </c>
      <c r="B7521">
        <v>73</v>
      </c>
      <c r="C7521" t="str">
        <f>CHOOSE(MATCH(B7521, {20,25,30,35,40,45,50,55,60,65,70,75,80,85}, 1), "20-24", "25-29", "30-34", "35-39", "40-44", "45-49", "50-54", "55-59", "60-64", "65-69", "70-74", "75-79", "80-84", "85+")</f>
        <v>70-74</v>
      </c>
      <c r="D7521" t="s">
        <v>8</v>
      </c>
    </row>
    <row r="7522" spans="1:4">
      <c r="A7522" t="s">
        <v>6</v>
      </c>
      <c r="B7522">
        <v>50</v>
      </c>
      <c r="C7522" t="str">
        <f>CHOOSE(MATCH(B7522, {20,25,30,35,40,45,50,55,60,65,70,75,80,85}, 1), "20-24", "25-29", "30-34", "35-39", "40-44", "45-49", "50-54", "55-59", "60-64", "65-69", "70-74", "75-79", "80-84", "85+")</f>
        <v>50-54</v>
      </c>
      <c r="D7522" t="s">
        <v>8</v>
      </c>
    </row>
    <row r="7523" spans="1:4">
      <c r="A7523" t="s">
        <v>6</v>
      </c>
      <c r="B7523">
        <v>41</v>
      </c>
      <c r="C7523" t="str">
        <f>CHOOSE(MATCH(B7523, {20,25,30,35,40,45,50,55,60,65,70,75,80,85}, 1), "20-24", "25-29", "30-34", "35-39", "40-44", "45-49", "50-54", "55-59", "60-64", "65-69", "70-74", "75-79", "80-84", "85+")</f>
        <v>40-44</v>
      </c>
      <c r="D7523" t="s">
        <v>8</v>
      </c>
    </row>
    <row r="7524" spans="1:4">
      <c r="A7524" t="s">
        <v>6</v>
      </c>
      <c r="B7524">
        <v>25</v>
      </c>
      <c r="C7524" t="str">
        <f>CHOOSE(MATCH(B7524, {20,25,30,35,40,45,50,55,60,65,70,75,80,85}, 1), "20-24", "25-29", "30-34", "35-39", "40-44", "45-49", "50-54", "55-59", "60-64", "65-69", "70-74", "75-79", "80-84", "85+")</f>
        <v>25-29</v>
      </c>
      <c r="D7524" t="s">
        <v>8</v>
      </c>
    </row>
    <row r="7525" spans="1:4">
      <c r="A7525" t="s">
        <v>6</v>
      </c>
      <c r="B7525">
        <v>34</v>
      </c>
      <c r="C7525" t="str">
        <f>CHOOSE(MATCH(B7525, {20,25,30,35,40,45,50,55,60,65,70,75,80,85}, 1), "20-24", "25-29", "30-34", "35-39", "40-44", "45-49", "50-54", "55-59", "60-64", "65-69", "70-74", "75-79", "80-84", "85+")</f>
        <v>30-34</v>
      </c>
      <c r="D7525" t="s">
        <v>8</v>
      </c>
    </row>
    <row r="7526" spans="1:4">
      <c r="A7526" t="s">
        <v>6</v>
      </c>
      <c r="B7526">
        <v>38</v>
      </c>
      <c r="C7526" t="str">
        <f>CHOOSE(MATCH(B7526, {20,25,30,35,40,45,50,55,60,65,70,75,80,85}, 1), "20-24", "25-29", "30-34", "35-39", "40-44", "45-49", "50-54", "55-59", "60-64", "65-69", "70-74", "75-79", "80-84", "85+")</f>
        <v>35-39</v>
      </c>
      <c r="D7526" t="s">
        <v>8</v>
      </c>
    </row>
    <row r="7527" spans="1:4">
      <c r="A7527" t="s">
        <v>6</v>
      </c>
      <c r="B7527">
        <v>34</v>
      </c>
      <c r="C7527" t="str">
        <f>CHOOSE(MATCH(B7527, {20,25,30,35,40,45,50,55,60,65,70,75,80,85}, 1), "20-24", "25-29", "30-34", "35-39", "40-44", "45-49", "50-54", "55-59", "60-64", "65-69", "70-74", "75-79", "80-84", "85+")</f>
        <v>30-34</v>
      </c>
      <c r="D7527" t="s">
        <v>7</v>
      </c>
    </row>
    <row r="7528" spans="1:4">
      <c r="A7528" t="s">
        <v>6</v>
      </c>
      <c r="B7528">
        <v>49</v>
      </c>
      <c r="C7528" t="str">
        <f>CHOOSE(MATCH(B7528, {20,25,30,35,40,45,50,55,60,65,70,75,80,85}, 1), "20-24", "25-29", "30-34", "35-39", "40-44", "45-49", "50-54", "55-59", "60-64", "65-69", "70-74", "75-79", "80-84", "85+")</f>
        <v>45-49</v>
      </c>
      <c r="D7528" t="s">
        <v>8</v>
      </c>
    </row>
    <row r="7529" spans="1:4">
      <c r="A7529" t="s">
        <v>6</v>
      </c>
      <c r="B7529">
        <v>73</v>
      </c>
      <c r="C7529" t="str">
        <f>CHOOSE(MATCH(B7529, {20,25,30,35,40,45,50,55,60,65,70,75,80,85}, 1), "20-24", "25-29", "30-34", "35-39", "40-44", "45-49", "50-54", "55-59", "60-64", "65-69", "70-74", "75-79", "80-84", "85+")</f>
        <v>70-74</v>
      </c>
      <c r="D7529" t="s">
        <v>7</v>
      </c>
    </row>
    <row r="7530" spans="1:4">
      <c r="A7530" t="s">
        <v>6</v>
      </c>
      <c r="B7530">
        <v>58</v>
      </c>
      <c r="C7530" t="str">
        <f>CHOOSE(MATCH(B7530, {20,25,30,35,40,45,50,55,60,65,70,75,80,85}, 1), "20-24", "25-29", "30-34", "35-39", "40-44", "45-49", "50-54", "55-59", "60-64", "65-69", "70-74", "75-79", "80-84", "85+")</f>
        <v>55-59</v>
      </c>
      <c r="D7530" t="s">
        <v>7</v>
      </c>
    </row>
    <row r="7531" spans="1:4">
      <c r="A7531" t="s">
        <v>6</v>
      </c>
      <c r="B7531">
        <v>62</v>
      </c>
      <c r="C7531" t="str">
        <f>CHOOSE(MATCH(B7531, {20,25,30,35,40,45,50,55,60,65,70,75,80,85}, 1), "20-24", "25-29", "30-34", "35-39", "40-44", "45-49", "50-54", "55-59", "60-64", "65-69", "70-74", "75-79", "80-84", "85+")</f>
        <v>60-64</v>
      </c>
      <c r="D7531" t="s">
        <v>7</v>
      </c>
    </row>
    <row r="7532" spans="1:4">
      <c r="A7532" t="s">
        <v>6</v>
      </c>
      <c r="B7532">
        <v>64</v>
      </c>
      <c r="C7532" t="str">
        <f>CHOOSE(MATCH(B7532, {20,25,30,35,40,45,50,55,60,65,70,75,80,85}, 1), "20-24", "25-29", "30-34", "35-39", "40-44", "45-49", "50-54", "55-59", "60-64", "65-69", "70-74", "75-79", "80-84", "85+")</f>
        <v>60-64</v>
      </c>
      <c r="D7532" t="s">
        <v>7</v>
      </c>
    </row>
    <row r="7533" spans="1:4">
      <c r="A7533" t="s">
        <v>6</v>
      </c>
      <c r="B7533">
        <v>42</v>
      </c>
      <c r="C7533" t="str">
        <f>CHOOSE(MATCH(B7533, {20,25,30,35,40,45,50,55,60,65,70,75,80,85}, 1), "20-24", "25-29", "30-34", "35-39", "40-44", "45-49", "50-54", "55-59", "60-64", "65-69", "70-74", "75-79", "80-84", "85+")</f>
        <v>40-44</v>
      </c>
      <c r="D7533" t="s">
        <v>7</v>
      </c>
    </row>
    <row r="7534" spans="1:4">
      <c r="A7534" t="s">
        <v>6</v>
      </c>
      <c r="B7534">
        <v>37</v>
      </c>
      <c r="C7534" t="str">
        <f>CHOOSE(MATCH(B7534, {20,25,30,35,40,45,50,55,60,65,70,75,80,85}, 1), "20-24", "25-29", "30-34", "35-39", "40-44", "45-49", "50-54", "55-59", "60-64", "65-69", "70-74", "75-79", "80-84", "85+")</f>
        <v>35-39</v>
      </c>
      <c r="D7534" t="s">
        <v>7</v>
      </c>
    </row>
    <row r="7535" spans="1:4">
      <c r="A7535" t="s">
        <v>6</v>
      </c>
      <c r="B7535">
        <v>42</v>
      </c>
      <c r="C7535" t="str">
        <f>CHOOSE(MATCH(B7535, {20,25,30,35,40,45,50,55,60,65,70,75,80,85}, 1), "20-24", "25-29", "30-34", "35-39", "40-44", "45-49", "50-54", "55-59", "60-64", "65-69", "70-74", "75-79", "80-84", "85+")</f>
        <v>40-44</v>
      </c>
      <c r="D7535" t="s">
        <v>7</v>
      </c>
    </row>
    <row r="7536" spans="1:4">
      <c r="A7536" t="s">
        <v>6</v>
      </c>
      <c r="B7536">
        <v>30</v>
      </c>
      <c r="C7536" t="str">
        <f>CHOOSE(MATCH(B7536, {20,25,30,35,40,45,50,55,60,65,70,75,80,85}, 1), "20-24", "25-29", "30-34", "35-39", "40-44", "45-49", "50-54", "55-59", "60-64", "65-69", "70-74", "75-79", "80-84", "85+")</f>
        <v>30-34</v>
      </c>
      <c r="D7536" t="s">
        <v>7</v>
      </c>
    </row>
    <row r="7537" spans="1:4">
      <c r="A7537" t="s">
        <v>6</v>
      </c>
      <c r="B7537">
        <v>38</v>
      </c>
      <c r="C7537" t="str">
        <f>CHOOSE(MATCH(B7537, {20,25,30,35,40,45,50,55,60,65,70,75,80,85}, 1), "20-24", "25-29", "30-34", "35-39", "40-44", "45-49", "50-54", "55-59", "60-64", "65-69", "70-74", "75-79", "80-84", "85+")</f>
        <v>35-39</v>
      </c>
      <c r="D7537" t="s">
        <v>7</v>
      </c>
    </row>
    <row r="7538" spans="1:4">
      <c r="A7538" t="s">
        <v>6</v>
      </c>
      <c r="B7538">
        <v>56</v>
      </c>
      <c r="C7538" t="str">
        <f>CHOOSE(MATCH(B7538, {20,25,30,35,40,45,50,55,60,65,70,75,80,85}, 1), "20-24", "25-29", "30-34", "35-39", "40-44", "45-49", "50-54", "55-59", "60-64", "65-69", "70-74", "75-79", "80-84", "85+")</f>
        <v>55-59</v>
      </c>
      <c r="D7538" t="s">
        <v>7</v>
      </c>
    </row>
    <row r="7539" spans="1:4">
      <c r="A7539" t="s">
        <v>6</v>
      </c>
      <c r="B7539">
        <v>43</v>
      </c>
      <c r="C7539" t="str">
        <f>CHOOSE(MATCH(B7539, {20,25,30,35,40,45,50,55,60,65,70,75,80,85}, 1), "20-24", "25-29", "30-34", "35-39", "40-44", "45-49", "50-54", "55-59", "60-64", "65-69", "70-74", "75-79", "80-84", "85+")</f>
        <v>40-44</v>
      </c>
      <c r="D7539" t="s">
        <v>8</v>
      </c>
    </row>
    <row r="7540" spans="1:4">
      <c r="A7540" t="s">
        <v>6</v>
      </c>
      <c r="B7540">
        <v>43</v>
      </c>
      <c r="C7540" t="str">
        <f>CHOOSE(MATCH(B7540, {20,25,30,35,40,45,50,55,60,65,70,75,80,85}, 1), "20-24", "25-29", "30-34", "35-39", "40-44", "45-49", "50-54", "55-59", "60-64", "65-69", "70-74", "75-79", "80-84", "85+")</f>
        <v>40-44</v>
      </c>
      <c r="D7540" t="s">
        <v>7</v>
      </c>
    </row>
    <row r="7541" spans="1:4">
      <c r="A7541" t="s">
        <v>6</v>
      </c>
      <c r="B7541">
        <v>31</v>
      </c>
      <c r="C7541" t="str">
        <f>CHOOSE(MATCH(B7541, {20,25,30,35,40,45,50,55,60,65,70,75,80,85}, 1), "20-24", "25-29", "30-34", "35-39", "40-44", "45-49", "50-54", "55-59", "60-64", "65-69", "70-74", "75-79", "80-84", "85+")</f>
        <v>30-34</v>
      </c>
      <c r="D7541" t="s">
        <v>8</v>
      </c>
    </row>
    <row r="7542" spans="1:4">
      <c r="A7542" t="s">
        <v>6</v>
      </c>
      <c r="B7542">
        <v>21</v>
      </c>
      <c r="C7542" t="str">
        <f>CHOOSE(MATCH(B7542, {20,25,30,35,40,45,50,55,60,65,70,75,80,85}, 1), "20-24", "25-29", "30-34", "35-39", "40-44", "45-49", "50-54", "55-59", "60-64", "65-69", "70-74", "75-79", "80-84", "85+")</f>
        <v>20-24</v>
      </c>
      <c r="D7542" t="s">
        <v>7</v>
      </c>
    </row>
    <row r="7543" spans="1:4">
      <c r="A7543" t="s">
        <v>6</v>
      </c>
      <c r="B7543">
        <v>67</v>
      </c>
      <c r="C7543" t="str">
        <f>CHOOSE(MATCH(B7543, {20,25,30,35,40,45,50,55,60,65,70,75,80,85}, 1), "20-24", "25-29", "30-34", "35-39", "40-44", "45-49", "50-54", "55-59", "60-64", "65-69", "70-74", "75-79", "80-84", "85+")</f>
        <v>65-69</v>
      </c>
      <c r="D7543" t="s">
        <v>8</v>
      </c>
    </row>
    <row r="7544" spans="1:4">
      <c r="A7544" t="s">
        <v>6</v>
      </c>
      <c r="B7544">
        <v>38</v>
      </c>
      <c r="C7544" t="str">
        <f>CHOOSE(MATCH(B7544, {20,25,30,35,40,45,50,55,60,65,70,75,80,85}, 1), "20-24", "25-29", "30-34", "35-39", "40-44", "45-49", "50-54", "55-59", "60-64", "65-69", "70-74", "75-79", "80-84", "85+")</f>
        <v>35-39</v>
      </c>
      <c r="D7544" t="s">
        <v>7</v>
      </c>
    </row>
    <row r="7545" spans="1:4">
      <c r="A7545" t="s">
        <v>6</v>
      </c>
      <c r="B7545">
        <v>56</v>
      </c>
      <c r="C7545" t="str">
        <f>CHOOSE(MATCH(B7545, {20,25,30,35,40,45,50,55,60,65,70,75,80,85}, 1), "20-24", "25-29", "30-34", "35-39", "40-44", "45-49", "50-54", "55-59", "60-64", "65-69", "70-74", "75-79", "80-84", "85+")</f>
        <v>55-59</v>
      </c>
      <c r="D7545" t="s">
        <v>7</v>
      </c>
    </row>
    <row r="7546" spans="1:4">
      <c r="A7546" t="s">
        <v>6</v>
      </c>
      <c r="B7546">
        <v>33</v>
      </c>
      <c r="C7546" t="str">
        <f>CHOOSE(MATCH(B7546, {20,25,30,35,40,45,50,55,60,65,70,75,80,85}, 1), "20-24", "25-29", "30-34", "35-39", "40-44", "45-49", "50-54", "55-59", "60-64", "65-69", "70-74", "75-79", "80-84", "85+")</f>
        <v>30-34</v>
      </c>
      <c r="D7546" t="s">
        <v>7</v>
      </c>
    </row>
    <row r="7547" spans="1:4">
      <c r="A7547" t="s">
        <v>6</v>
      </c>
      <c r="B7547">
        <v>63</v>
      </c>
      <c r="C7547" t="str">
        <f>CHOOSE(MATCH(B7547, {20,25,30,35,40,45,50,55,60,65,70,75,80,85}, 1), "20-24", "25-29", "30-34", "35-39", "40-44", "45-49", "50-54", "55-59", "60-64", "65-69", "70-74", "75-79", "80-84", "85+")</f>
        <v>60-64</v>
      </c>
      <c r="D7547" t="s">
        <v>8</v>
      </c>
    </row>
    <row r="7548" spans="1:4">
      <c r="A7548" t="s">
        <v>6</v>
      </c>
      <c r="B7548">
        <v>64</v>
      </c>
      <c r="C7548" t="str">
        <f>CHOOSE(MATCH(B7548, {20,25,30,35,40,45,50,55,60,65,70,75,80,85}, 1), "20-24", "25-29", "30-34", "35-39", "40-44", "45-49", "50-54", "55-59", "60-64", "65-69", "70-74", "75-79", "80-84", "85+")</f>
        <v>60-64</v>
      </c>
      <c r="D7548" t="s">
        <v>7</v>
      </c>
    </row>
    <row r="7549" spans="1:4">
      <c r="A7549" t="s">
        <v>6</v>
      </c>
      <c r="B7549">
        <v>71</v>
      </c>
      <c r="C7549" t="str">
        <f>CHOOSE(MATCH(B7549, {20,25,30,35,40,45,50,55,60,65,70,75,80,85}, 1), "20-24", "25-29", "30-34", "35-39", "40-44", "45-49", "50-54", "55-59", "60-64", "65-69", "70-74", "75-79", "80-84", "85+")</f>
        <v>70-74</v>
      </c>
      <c r="D7549" t="s">
        <v>8</v>
      </c>
    </row>
    <row r="7550" spans="1:4">
      <c r="A7550" t="s">
        <v>6</v>
      </c>
      <c r="B7550">
        <v>66</v>
      </c>
      <c r="C7550" t="str">
        <f>CHOOSE(MATCH(B7550, {20,25,30,35,40,45,50,55,60,65,70,75,80,85}, 1), "20-24", "25-29", "30-34", "35-39", "40-44", "45-49", "50-54", "55-59", "60-64", "65-69", "70-74", "75-79", "80-84", "85+")</f>
        <v>65-69</v>
      </c>
      <c r="D7550" t="s">
        <v>7</v>
      </c>
    </row>
    <row r="7551" spans="1:4">
      <c r="A7551" t="s">
        <v>6</v>
      </c>
      <c r="B7551">
        <v>22</v>
      </c>
      <c r="C7551" t="str">
        <f>CHOOSE(MATCH(B7551, {20,25,30,35,40,45,50,55,60,65,70,75,80,85}, 1), "20-24", "25-29", "30-34", "35-39", "40-44", "45-49", "50-54", "55-59", "60-64", "65-69", "70-74", "75-79", "80-84", "85+")</f>
        <v>20-24</v>
      </c>
      <c r="D7551" t="s">
        <v>8</v>
      </c>
    </row>
    <row r="7552" spans="1:4">
      <c r="A7552" t="s">
        <v>6</v>
      </c>
      <c r="B7552">
        <v>36</v>
      </c>
      <c r="C7552" t="str">
        <f>CHOOSE(MATCH(B7552, {20,25,30,35,40,45,50,55,60,65,70,75,80,85}, 1), "20-24", "25-29", "30-34", "35-39", "40-44", "45-49", "50-54", "55-59", "60-64", "65-69", "70-74", "75-79", "80-84", "85+")</f>
        <v>35-39</v>
      </c>
      <c r="D7552" t="s">
        <v>8</v>
      </c>
    </row>
    <row r="7553" spans="1:4">
      <c r="A7553" t="s">
        <v>6</v>
      </c>
      <c r="B7553">
        <v>30</v>
      </c>
      <c r="C7553" t="str">
        <f>CHOOSE(MATCH(B7553, {20,25,30,35,40,45,50,55,60,65,70,75,80,85}, 1), "20-24", "25-29", "30-34", "35-39", "40-44", "45-49", "50-54", "55-59", "60-64", "65-69", "70-74", "75-79", "80-84", "85+")</f>
        <v>30-34</v>
      </c>
      <c r="D7553" t="s">
        <v>8</v>
      </c>
    </row>
    <row r="7554" spans="1:4">
      <c r="A7554" t="s">
        <v>6</v>
      </c>
      <c r="B7554">
        <v>37</v>
      </c>
      <c r="C7554" t="str">
        <f>CHOOSE(MATCH(B7554, {20,25,30,35,40,45,50,55,60,65,70,75,80,85}, 1), "20-24", "25-29", "30-34", "35-39", "40-44", "45-49", "50-54", "55-59", "60-64", "65-69", "70-74", "75-79", "80-84", "85+")</f>
        <v>35-39</v>
      </c>
      <c r="D7554" t="s">
        <v>7</v>
      </c>
    </row>
    <row r="7555" spans="1:4">
      <c r="A7555" t="s">
        <v>6</v>
      </c>
      <c r="B7555">
        <v>33</v>
      </c>
      <c r="C7555" t="str">
        <f>CHOOSE(MATCH(B7555, {20,25,30,35,40,45,50,55,60,65,70,75,80,85}, 1), "20-24", "25-29", "30-34", "35-39", "40-44", "45-49", "50-54", "55-59", "60-64", "65-69", "70-74", "75-79", "80-84", "85+")</f>
        <v>30-34</v>
      </c>
      <c r="D7555" t="s">
        <v>8</v>
      </c>
    </row>
    <row r="7556" spans="1:4">
      <c r="A7556" t="s">
        <v>6</v>
      </c>
      <c r="B7556">
        <v>33</v>
      </c>
      <c r="C7556" t="str">
        <f>CHOOSE(MATCH(B7556, {20,25,30,35,40,45,50,55,60,65,70,75,80,85}, 1), "20-24", "25-29", "30-34", "35-39", "40-44", "45-49", "50-54", "55-59", "60-64", "65-69", "70-74", "75-79", "80-84", "85+")</f>
        <v>30-34</v>
      </c>
      <c r="D7556" t="s">
        <v>7</v>
      </c>
    </row>
    <row r="7557" spans="1:4">
      <c r="A7557" t="s">
        <v>6</v>
      </c>
      <c r="B7557">
        <v>74</v>
      </c>
      <c r="C7557" t="str">
        <f>CHOOSE(MATCH(B7557, {20,25,30,35,40,45,50,55,60,65,70,75,80,85}, 1), "20-24", "25-29", "30-34", "35-39", "40-44", "45-49", "50-54", "55-59", "60-64", "65-69", "70-74", "75-79", "80-84", "85+")</f>
        <v>70-74</v>
      </c>
      <c r="D7557" t="s">
        <v>8</v>
      </c>
    </row>
    <row r="7558" spans="1:4">
      <c r="A7558" t="s">
        <v>6</v>
      </c>
      <c r="B7558">
        <v>23</v>
      </c>
      <c r="C7558" t="str">
        <f>CHOOSE(MATCH(B7558, {20,25,30,35,40,45,50,55,60,65,70,75,80,85}, 1), "20-24", "25-29", "30-34", "35-39", "40-44", "45-49", "50-54", "55-59", "60-64", "65-69", "70-74", "75-79", "80-84", "85+")</f>
        <v>20-24</v>
      </c>
      <c r="D7558" t="s">
        <v>7</v>
      </c>
    </row>
    <row r="7559" spans="1:4">
      <c r="A7559" t="s">
        <v>6</v>
      </c>
      <c r="B7559">
        <v>31</v>
      </c>
      <c r="C7559" t="str">
        <f>CHOOSE(MATCH(B7559, {20,25,30,35,40,45,50,55,60,65,70,75,80,85}, 1), "20-24", "25-29", "30-34", "35-39", "40-44", "45-49", "50-54", "55-59", "60-64", "65-69", "70-74", "75-79", "80-84", "85+")</f>
        <v>30-34</v>
      </c>
      <c r="D7559" t="s">
        <v>7</v>
      </c>
    </row>
    <row r="7560" spans="1:4">
      <c r="A7560" t="s">
        <v>6</v>
      </c>
      <c r="B7560">
        <v>44</v>
      </c>
      <c r="C7560" t="str">
        <f>CHOOSE(MATCH(B7560, {20,25,30,35,40,45,50,55,60,65,70,75,80,85}, 1), "20-24", "25-29", "30-34", "35-39", "40-44", "45-49", "50-54", "55-59", "60-64", "65-69", "70-74", "75-79", "80-84", "85+")</f>
        <v>40-44</v>
      </c>
      <c r="D7560" t="s">
        <v>8</v>
      </c>
    </row>
    <row r="7561" spans="1:4">
      <c r="A7561" t="s">
        <v>6</v>
      </c>
      <c r="B7561">
        <v>56</v>
      </c>
      <c r="C7561" t="str">
        <f>CHOOSE(MATCH(B7561, {20,25,30,35,40,45,50,55,60,65,70,75,80,85}, 1), "20-24", "25-29", "30-34", "35-39", "40-44", "45-49", "50-54", "55-59", "60-64", "65-69", "70-74", "75-79", "80-84", "85+")</f>
        <v>55-59</v>
      </c>
      <c r="D7561" t="s">
        <v>8</v>
      </c>
    </row>
    <row r="7562" spans="1:4">
      <c r="A7562" t="s">
        <v>6</v>
      </c>
      <c r="B7562">
        <v>25</v>
      </c>
      <c r="C7562" t="str">
        <f>CHOOSE(MATCH(B7562, {20,25,30,35,40,45,50,55,60,65,70,75,80,85}, 1), "20-24", "25-29", "30-34", "35-39", "40-44", "45-49", "50-54", "55-59", "60-64", "65-69", "70-74", "75-79", "80-84", "85+")</f>
        <v>25-29</v>
      </c>
      <c r="D7562" t="s">
        <v>7</v>
      </c>
    </row>
    <row r="7563" spans="1:4">
      <c r="A7563" t="s">
        <v>6</v>
      </c>
      <c r="B7563">
        <v>55</v>
      </c>
      <c r="C7563" t="str">
        <f>CHOOSE(MATCH(B7563, {20,25,30,35,40,45,50,55,60,65,70,75,80,85}, 1), "20-24", "25-29", "30-34", "35-39", "40-44", "45-49", "50-54", "55-59", "60-64", "65-69", "70-74", "75-79", "80-84", "85+")</f>
        <v>55-59</v>
      </c>
      <c r="D7563" t="s">
        <v>7</v>
      </c>
    </row>
    <row r="7564" spans="1:4">
      <c r="A7564" t="s">
        <v>6</v>
      </c>
      <c r="B7564">
        <v>44</v>
      </c>
      <c r="C7564" t="str">
        <f>CHOOSE(MATCH(B7564, {20,25,30,35,40,45,50,55,60,65,70,75,80,85}, 1), "20-24", "25-29", "30-34", "35-39", "40-44", "45-49", "50-54", "55-59", "60-64", "65-69", "70-74", "75-79", "80-84", "85+")</f>
        <v>40-44</v>
      </c>
      <c r="D7564" t="s">
        <v>7</v>
      </c>
    </row>
    <row r="7565" spans="1:4">
      <c r="A7565" t="s">
        <v>6</v>
      </c>
      <c r="B7565">
        <v>34</v>
      </c>
      <c r="C7565" t="str">
        <f>CHOOSE(MATCH(B7565, {20,25,30,35,40,45,50,55,60,65,70,75,80,85}, 1), "20-24", "25-29", "30-34", "35-39", "40-44", "45-49", "50-54", "55-59", "60-64", "65-69", "70-74", "75-79", "80-84", "85+")</f>
        <v>30-34</v>
      </c>
      <c r="D7565" t="s">
        <v>8</v>
      </c>
    </row>
    <row r="7566" spans="1:4">
      <c r="A7566" t="s">
        <v>6</v>
      </c>
      <c r="B7566">
        <v>36</v>
      </c>
      <c r="C7566" t="str">
        <f>CHOOSE(MATCH(B7566, {20,25,30,35,40,45,50,55,60,65,70,75,80,85}, 1), "20-24", "25-29", "30-34", "35-39", "40-44", "45-49", "50-54", "55-59", "60-64", "65-69", "70-74", "75-79", "80-84", "85+")</f>
        <v>35-39</v>
      </c>
      <c r="D7566" t="s">
        <v>8</v>
      </c>
    </row>
    <row r="7567" spans="1:4">
      <c r="A7567" t="s">
        <v>6</v>
      </c>
      <c r="B7567">
        <v>58</v>
      </c>
      <c r="C7567" t="str">
        <f>CHOOSE(MATCH(B7567, {20,25,30,35,40,45,50,55,60,65,70,75,80,85}, 1), "20-24", "25-29", "30-34", "35-39", "40-44", "45-49", "50-54", "55-59", "60-64", "65-69", "70-74", "75-79", "80-84", "85+")</f>
        <v>55-59</v>
      </c>
      <c r="D7567" t="s">
        <v>7</v>
      </c>
    </row>
    <row r="7568" spans="1:4">
      <c r="A7568" t="s">
        <v>6</v>
      </c>
      <c r="B7568">
        <v>43</v>
      </c>
      <c r="C7568" t="str">
        <f>CHOOSE(MATCH(B7568, {20,25,30,35,40,45,50,55,60,65,70,75,80,85}, 1), "20-24", "25-29", "30-34", "35-39", "40-44", "45-49", "50-54", "55-59", "60-64", "65-69", "70-74", "75-79", "80-84", "85+")</f>
        <v>40-44</v>
      </c>
      <c r="D7568" t="s">
        <v>7</v>
      </c>
    </row>
    <row r="7569" spans="1:4">
      <c r="A7569" t="s">
        <v>6</v>
      </c>
      <c r="B7569">
        <v>44</v>
      </c>
      <c r="C7569" t="str">
        <f>CHOOSE(MATCH(B7569, {20,25,30,35,40,45,50,55,60,65,70,75,80,85}, 1), "20-24", "25-29", "30-34", "35-39", "40-44", "45-49", "50-54", "55-59", "60-64", "65-69", "70-74", "75-79", "80-84", "85+")</f>
        <v>40-44</v>
      </c>
      <c r="D7569" t="s">
        <v>7</v>
      </c>
    </row>
    <row r="7570" spans="1:4">
      <c r="A7570" t="s">
        <v>6</v>
      </c>
      <c r="B7570">
        <v>39</v>
      </c>
      <c r="C7570" t="str">
        <f>CHOOSE(MATCH(B7570, {20,25,30,35,40,45,50,55,60,65,70,75,80,85}, 1), "20-24", "25-29", "30-34", "35-39", "40-44", "45-49", "50-54", "55-59", "60-64", "65-69", "70-74", "75-79", "80-84", "85+")</f>
        <v>35-39</v>
      </c>
      <c r="D7570" t="s">
        <v>8</v>
      </c>
    </row>
    <row r="7571" spans="1:4">
      <c r="A7571" t="s">
        <v>6</v>
      </c>
      <c r="B7571">
        <v>72</v>
      </c>
      <c r="C7571" t="str">
        <f>CHOOSE(MATCH(B7571, {20,25,30,35,40,45,50,55,60,65,70,75,80,85}, 1), "20-24", "25-29", "30-34", "35-39", "40-44", "45-49", "50-54", "55-59", "60-64", "65-69", "70-74", "75-79", "80-84", "85+")</f>
        <v>70-74</v>
      </c>
      <c r="D7571" t="s">
        <v>7</v>
      </c>
    </row>
    <row r="7572" spans="1:4">
      <c r="A7572" t="s">
        <v>6</v>
      </c>
      <c r="B7572">
        <v>36</v>
      </c>
      <c r="C7572" t="str">
        <f>CHOOSE(MATCH(B7572, {20,25,30,35,40,45,50,55,60,65,70,75,80,85}, 1), "20-24", "25-29", "30-34", "35-39", "40-44", "45-49", "50-54", "55-59", "60-64", "65-69", "70-74", "75-79", "80-84", "85+")</f>
        <v>35-39</v>
      </c>
      <c r="D7572" t="s">
        <v>7</v>
      </c>
    </row>
    <row r="7573" spans="1:4">
      <c r="A7573" t="s">
        <v>6</v>
      </c>
      <c r="B7573">
        <v>32</v>
      </c>
      <c r="C7573" t="str">
        <f>CHOOSE(MATCH(B7573, {20,25,30,35,40,45,50,55,60,65,70,75,80,85}, 1), "20-24", "25-29", "30-34", "35-39", "40-44", "45-49", "50-54", "55-59", "60-64", "65-69", "70-74", "75-79", "80-84", "85+")</f>
        <v>30-34</v>
      </c>
      <c r="D7573" t="s">
        <v>7</v>
      </c>
    </row>
    <row r="7574" spans="1:4">
      <c r="A7574" t="s">
        <v>6</v>
      </c>
      <c r="B7574">
        <v>30</v>
      </c>
      <c r="C7574" t="str">
        <f>CHOOSE(MATCH(B7574, {20,25,30,35,40,45,50,55,60,65,70,75,80,85}, 1), "20-24", "25-29", "30-34", "35-39", "40-44", "45-49", "50-54", "55-59", "60-64", "65-69", "70-74", "75-79", "80-84", "85+")</f>
        <v>30-34</v>
      </c>
      <c r="D7574" t="s">
        <v>7</v>
      </c>
    </row>
    <row r="7575" spans="1:4">
      <c r="A7575" t="s">
        <v>6</v>
      </c>
      <c r="B7575">
        <v>73</v>
      </c>
      <c r="C7575" t="str">
        <f>CHOOSE(MATCH(B7575, {20,25,30,35,40,45,50,55,60,65,70,75,80,85}, 1), "20-24", "25-29", "30-34", "35-39", "40-44", "45-49", "50-54", "55-59", "60-64", "65-69", "70-74", "75-79", "80-84", "85+")</f>
        <v>70-74</v>
      </c>
      <c r="D7575" t="s">
        <v>8</v>
      </c>
    </row>
    <row r="7576" spans="1:4">
      <c r="A7576" t="s">
        <v>6</v>
      </c>
      <c r="B7576">
        <v>48</v>
      </c>
      <c r="C7576" t="str">
        <f>CHOOSE(MATCH(B7576, {20,25,30,35,40,45,50,55,60,65,70,75,80,85}, 1), "20-24", "25-29", "30-34", "35-39", "40-44", "45-49", "50-54", "55-59", "60-64", "65-69", "70-74", "75-79", "80-84", "85+")</f>
        <v>45-49</v>
      </c>
      <c r="D7576" t="s">
        <v>8</v>
      </c>
    </row>
    <row r="7577" spans="1:4">
      <c r="A7577" t="s">
        <v>6</v>
      </c>
      <c r="B7577">
        <v>70</v>
      </c>
      <c r="C7577" t="str">
        <f>CHOOSE(MATCH(B7577, {20,25,30,35,40,45,50,55,60,65,70,75,80,85}, 1), "20-24", "25-29", "30-34", "35-39", "40-44", "45-49", "50-54", "55-59", "60-64", "65-69", "70-74", "75-79", "80-84", "85+")</f>
        <v>70-74</v>
      </c>
      <c r="D7577" t="s">
        <v>7</v>
      </c>
    </row>
    <row r="7578" spans="1:4">
      <c r="A7578" t="s">
        <v>6</v>
      </c>
      <c r="B7578">
        <v>23</v>
      </c>
      <c r="C7578" t="str">
        <f>CHOOSE(MATCH(B7578, {20,25,30,35,40,45,50,55,60,65,70,75,80,85}, 1), "20-24", "25-29", "30-34", "35-39", "40-44", "45-49", "50-54", "55-59", "60-64", "65-69", "70-74", "75-79", "80-84", "85+")</f>
        <v>20-24</v>
      </c>
      <c r="D7578" t="s">
        <v>8</v>
      </c>
    </row>
    <row r="7579" spans="1:4">
      <c r="A7579" t="s">
        <v>6</v>
      </c>
      <c r="B7579">
        <v>25</v>
      </c>
      <c r="C7579" t="str">
        <f>CHOOSE(MATCH(B7579, {20,25,30,35,40,45,50,55,60,65,70,75,80,85}, 1), "20-24", "25-29", "30-34", "35-39", "40-44", "45-49", "50-54", "55-59", "60-64", "65-69", "70-74", "75-79", "80-84", "85+")</f>
        <v>25-29</v>
      </c>
      <c r="D7579" t="s">
        <v>7</v>
      </c>
    </row>
    <row r="7580" spans="1:4">
      <c r="A7580" t="s">
        <v>6</v>
      </c>
      <c r="B7580">
        <v>65</v>
      </c>
      <c r="C7580" t="str">
        <f>CHOOSE(MATCH(B7580, {20,25,30,35,40,45,50,55,60,65,70,75,80,85}, 1), "20-24", "25-29", "30-34", "35-39", "40-44", "45-49", "50-54", "55-59", "60-64", "65-69", "70-74", "75-79", "80-84", "85+")</f>
        <v>65-69</v>
      </c>
      <c r="D7580" t="s">
        <v>7</v>
      </c>
    </row>
    <row r="7581" spans="1:4">
      <c r="A7581" t="s">
        <v>6</v>
      </c>
      <c r="B7581">
        <v>26</v>
      </c>
      <c r="C7581" t="str">
        <f>CHOOSE(MATCH(B7581, {20,25,30,35,40,45,50,55,60,65,70,75,80,85}, 1), "20-24", "25-29", "30-34", "35-39", "40-44", "45-49", "50-54", "55-59", "60-64", "65-69", "70-74", "75-79", "80-84", "85+")</f>
        <v>25-29</v>
      </c>
      <c r="D7581" t="s">
        <v>8</v>
      </c>
    </row>
    <row r="7582" spans="1:4">
      <c r="A7582" t="s">
        <v>6</v>
      </c>
      <c r="B7582">
        <v>28</v>
      </c>
      <c r="C7582" t="str">
        <f>CHOOSE(MATCH(B7582, {20,25,30,35,40,45,50,55,60,65,70,75,80,85}, 1), "20-24", "25-29", "30-34", "35-39", "40-44", "45-49", "50-54", "55-59", "60-64", "65-69", "70-74", "75-79", "80-84", "85+")</f>
        <v>25-29</v>
      </c>
      <c r="D7582" t="s">
        <v>8</v>
      </c>
    </row>
    <row r="7583" spans="1:4">
      <c r="A7583" t="s">
        <v>6</v>
      </c>
      <c r="B7583">
        <v>41</v>
      </c>
      <c r="C7583" t="str">
        <f>CHOOSE(MATCH(B7583, {20,25,30,35,40,45,50,55,60,65,70,75,80,85}, 1), "20-24", "25-29", "30-34", "35-39", "40-44", "45-49", "50-54", "55-59", "60-64", "65-69", "70-74", "75-79", "80-84", "85+")</f>
        <v>40-44</v>
      </c>
      <c r="D7583" t="s">
        <v>8</v>
      </c>
    </row>
    <row r="7584" spans="1:4">
      <c r="A7584" t="s">
        <v>6</v>
      </c>
      <c r="B7584">
        <v>58</v>
      </c>
      <c r="C7584" t="str">
        <f>CHOOSE(MATCH(B7584, {20,25,30,35,40,45,50,55,60,65,70,75,80,85}, 1), "20-24", "25-29", "30-34", "35-39", "40-44", "45-49", "50-54", "55-59", "60-64", "65-69", "70-74", "75-79", "80-84", "85+")</f>
        <v>55-59</v>
      </c>
      <c r="D7584" t="s">
        <v>7</v>
      </c>
    </row>
    <row r="7585" spans="1:4">
      <c r="A7585" t="s">
        <v>6</v>
      </c>
      <c r="B7585">
        <v>60</v>
      </c>
      <c r="C7585" t="str">
        <f>CHOOSE(MATCH(B7585, {20,25,30,35,40,45,50,55,60,65,70,75,80,85}, 1), "20-24", "25-29", "30-34", "35-39", "40-44", "45-49", "50-54", "55-59", "60-64", "65-69", "70-74", "75-79", "80-84", "85+")</f>
        <v>60-64</v>
      </c>
      <c r="D7585" t="s">
        <v>7</v>
      </c>
    </row>
    <row r="7586" spans="1:4">
      <c r="A7586" t="s">
        <v>6</v>
      </c>
      <c r="B7586">
        <v>37</v>
      </c>
      <c r="C7586" t="str">
        <f>CHOOSE(MATCH(B7586, {20,25,30,35,40,45,50,55,60,65,70,75,80,85}, 1), "20-24", "25-29", "30-34", "35-39", "40-44", "45-49", "50-54", "55-59", "60-64", "65-69", "70-74", "75-79", "80-84", "85+")</f>
        <v>35-39</v>
      </c>
      <c r="D7586" t="s">
        <v>7</v>
      </c>
    </row>
    <row r="7587" spans="1:4">
      <c r="A7587" t="s">
        <v>6</v>
      </c>
      <c r="B7587">
        <v>59</v>
      </c>
      <c r="C7587" t="str">
        <f>CHOOSE(MATCH(B7587, {20,25,30,35,40,45,50,55,60,65,70,75,80,85}, 1), "20-24", "25-29", "30-34", "35-39", "40-44", "45-49", "50-54", "55-59", "60-64", "65-69", "70-74", "75-79", "80-84", "85+")</f>
        <v>55-59</v>
      </c>
      <c r="D7587" t="s">
        <v>7</v>
      </c>
    </row>
    <row r="7588" spans="1:4">
      <c r="A7588" t="s">
        <v>6</v>
      </c>
      <c r="B7588">
        <v>22</v>
      </c>
      <c r="C7588" t="str">
        <f>CHOOSE(MATCH(B7588, {20,25,30,35,40,45,50,55,60,65,70,75,80,85}, 1), "20-24", "25-29", "30-34", "35-39", "40-44", "45-49", "50-54", "55-59", "60-64", "65-69", "70-74", "75-79", "80-84", "85+")</f>
        <v>20-24</v>
      </c>
      <c r="D7588" t="s">
        <v>7</v>
      </c>
    </row>
    <row r="7589" spans="1:4">
      <c r="A7589" t="s">
        <v>6</v>
      </c>
      <c r="B7589">
        <v>44</v>
      </c>
      <c r="C7589" t="str">
        <f>CHOOSE(MATCH(B7589, {20,25,30,35,40,45,50,55,60,65,70,75,80,85}, 1), "20-24", "25-29", "30-34", "35-39", "40-44", "45-49", "50-54", "55-59", "60-64", "65-69", "70-74", "75-79", "80-84", "85+")</f>
        <v>40-44</v>
      </c>
      <c r="D7589" t="s">
        <v>7</v>
      </c>
    </row>
    <row r="7590" spans="1:4">
      <c r="A7590" t="s">
        <v>6</v>
      </c>
      <c r="B7590">
        <v>29</v>
      </c>
      <c r="C7590" t="str">
        <f>CHOOSE(MATCH(B7590, {20,25,30,35,40,45,50,55,60,65,70,75,80,85}, 1), "20-24", "25-29", "30-34", "35-39", "40-44", "45-49", "50-54", "55-59", "60-64", "65-69", "70-74", "75-79", "80-84", "85+")</f>
        <v>25-29</v>
      </c>
      <c r="D7590" t="s">
        <v>7</v>
      </c>
    </row>
    <row r="7591" spans="1:4">
      <c r="A7591" t="s">
        <v>6</v>
      </c>
      <c r="B7591">
        <v>25</v>
      </c>
      <c r="C7591" t="str">
        <f>CHOOSE(MATCH(B7591, {20,25,30,35,40,45,50,55,60,65,70,75,80,85}, 1), "20-24", "25-29", "30-34", "35-39", "40-44", "45-49", "50-54", "55-59", "60-64", "65-69", "70-74", "75-79", "80-84", "85+")</f>
        <v>25-29</v>
      </c>
      <c r="D7591" t="s">
        <v>7</v>
      </c>
    </row>
    <row r="7592" spans="1:4">
      <c r="A7592" t="s">
        <v>6</v>
      </c>
      <c r="B7592">
        <v>58</v>
      </c>
      <c r="C7592" t="str">
        <f>CHOOSE(MATCH(B7592, {20,25,30,35,40,45,50,55,60,65,70,75,80,85}, 1), "20-24", "25-29", "30-34", "35-39", "40-44", "45-49", "50-54", "55-59", "60-64", "65-69", "70-74", "75-79", "80-84", "85+")</f>
        <v>55-59</v>
      </c>
      <c r="D7592" t="s">
        <v>7</v>
      </c>
    </row>
    <row r="7593" spans="1:4">
      <c r="A7593" t="s">
        <v>6</v>
      </c>
      <c r="B7593">
        <v>68</v>
      </c>
      <c r="C7593" t="str">
        <f>CHOOSE(MATCH(B7593, {20,25,30,35,40,45,50,55,60,65,70,75,80,85}, 1), "20-24", "25-29", "30-34", "35-39", "40-44", "45-49", "50-54", "55-59", "60-64", "65-69", "70-74", "75-79", "80-84", "85+")</f>
        <v>65-69</v>
      </c>
      <c r="D7593" t="s">
        <v>7</v>
      </c>
    </row>
    <row r="7594" spans="1:4">
      <c r="A7594" t="s">
        <v>6</v>
      </c>
      <c r="B7594">
        <v>52</v>
      </c>
      <c r="C7594" t="str">
        <f>CHOOSE(MATCH(B7594, {20,25,30,35,40,45,50,55,60,65,70,75,80,85}, 1), "20-24", "25-29", "30-34", "35-39", "40-44", "45-49", "50-54", "55-59", "60-64", "65-69", "70-74", "75-79", "80-84", "85+")</f>
        <v>50-54</v>
      </c>
      <c r="D7594" t="s">
        <v>8</v>
      </c>
    </row>
    <row r="7595" spans="1:4">
      <c r="A7595" t="s">
        <v>6</v>
      </c>
      <c r="B7595">
        <v>69</v>
      </c>
      <c r="C7595" t="str">
        <f>CHOOSE(MATCH(B7595, {20,25,30,35,40,45,50,55,60,65,70,75,80,85}, 1), "20-24", "25-29", "30-34", "35-39", "40-44", "45-49", "50-54", "55-59", "60-64", "65-69", "70-74", "75-79", "80-84", "85+")</f>
        <v>65-69</v>
      </c>
      <c r="D7595" t="s">
        <v>7</v>
      </c>
    </row>
    <row r="7596" spans="1:4">
      <c r="A7596" t="s">
        <v>6</v>
      </c>
      <c r="B7596">
        <v>60</v>
      </c>
      <c r="C7596" t="str">
        <f>CHOOSE(MATCH(B7596, {20,25,30,35,40,45,50,55,60,65,70,75,80,85}, 1), "20-24", "25-29", "30-34", "35-39", "40-44", "45-49", "50-54", "55-59", "60-64", "65-69", "70-74", "75-79", "80-84", "85+")</f>
        <v>60-64</v>
      </c>
      <c r="D7596" t="s">
        <v>8</v>
      </c>
    </row>
    <row r="7597" spans="1:4">
      <c r="A7597" t="s">
        <v>6</v>
      </c>
      <c r="B7597">
        <v>41</v>
      </c>
      <c r="C7597" t="str">
        <f>CHOOSE(MATCH(B7597, {20,25,30,35,40,45,50,55,60,65,70,75,80,85}, 1), "20-24", "25-29", "30-34", "35-39", "40-44", "45-49", "50-54", "55-59", "60-64", "65-69", "70-74", "75-79", "80-84", "85+")</f>
        <v>40-44</v>
      </c>
      <c r="D7597" t="s">
        <v>7</v>
      </c>
    </row>
    <row r="7598" spans="1:4">
      <c r="A7598" t="s">
        <v>6</v>
      </c>
      <c r="B7598">
        <v>36</v>
      </c>
      <c r="C7598" t="str">
        <f>CHOOSE(MATCH(B7598, {20,25,30,35,40,45,50,55,60,65,70,75,80,85}, 1), "20-24", "25-29", "30-34", "35-39", "40-44", "45-49", "50-54", "55-59", "60-64", "65-69", "70-74", "75-79", "80-84", "85+")</f>
        <v>35-39</v>
      </c>
      <c r="D7598" t="s">
        <v>8</v>
      </c>
    </row>
    <row r="7599" spans="1:4">
      <c r="A7599" t="s">
        <v>6</v>
      </c>
      <c r="B7599">
        <v>31</v>
      </c>
      <c r="C7599" t="str">
        <f>CHOOSE(MATCH(B7599, {20,25,30,35,40,45,50,55,60,65,70,75,80,85}, 1), "20-24", "25-29", "30-34", "35-39", "40-44", "45-49", "50-54", "55-59", "60-64", "65-69", "70-74", "75-79", "80-84", "85+")</f>
        <v>30-34</v>
      </c>
      <c r="D7599" t="s">
        <v>8</v>
      </c>
    </row>
    <row r="7600" spans="1:4">
      <c r="A7600" t="s">
        <v>6</v>
      </c>
      <c r="B7600">
        <v>46</v>
      </c>
      <c r="C7600" t="str">
        <f>CHOOSE(MATCH(B7600, {20,25,30,35,40,45,50,55,60,65,70,75,80,85}, 1), "20-24", "25-29", "30-34", "35-39", "40-44", "45-49", "50-54", "55-59", "60-64", "65-69", "70-74", "75-79", "80-84", "85+")</f>
        <v>45-49</v>
      </c>
      <c r="D7600" t="s">
        <v>7</v>
      </c>
    </row>
    <row r="7601" spans="1:4">
      <c r="A7601" t="s">
        <v>6</v>
      </c>
      <c r="B7601">
        <v>33</v>
      </c>
      <c r="C7601" t="str">
        <f>CHOOSE(MATCH(B7601, {20,25,30,35,40,45,50,55,60,65,70,75,80,85}, 1), "20-24", "25-29", "30-34", "35-39", "40-44", "45-49", "50-54", "55-59", "60-64", "65-69", "70-74", "75-79", "80-84", "85+")</f>
        <v>30-34</v>
      </c>
      <c r="D7601" t="s">
        <v>8</v>
      </c>
    </row>
    <row r="7602" spans="1:4">
      <c r="A7602" t="s">
        <v>6</v>
      </c>
      <c r="B7602">
        <v>26</v>
      </c>
      <c r="C7602" t="str">
        <f>CHOOSE(MATCH(B7602, {20,25,30,35,40,45,50,55,60,65,70,75,80,85}, 1), "20-24", "25-29", "30-34", "35-39", "40-44", "45-49", "50-54", "55-59", "60-64", "65-69", "70-74", "75-79", "80-84", "85+")</f>
        <v>25-29</v>
      </c>
      <c r="D7602" t="s">
        <v>8</v>
      </c>
    </row>
    <row r="7603" spans="1:4">
      <c r="A7603" t="s">
        <v>6</v>
      </c>
      <c r="B7603">
        <v>30</v>
      </c>
      <c r="C7603" t="str">
        <f>CHOOSE(MATCH(B7603, {20,25,30,35,40,45,50,55,60,65,70,75,80,85}, 1), "20-24", "25-29", "30-34", "35-39", "40-44", "45-49", "50-54", "55-59", "60-64", "65-69", "70-74", "75-79", "80-84", "85+")</f>
        <v>30-34</v>
      </c>
      <c r="D7603" t="s">
        <v>7</v>
      </c>
    </row>
    <row r="7604" spans="1:4">
      <c r="A7604" t="s">
        <v>6</v>
      </c>
      <c r="B7604">
        <v>28</v>
      </c>
      <c r="C7604" t="str">
        <f>CHOOSE(MATCH(B7604, {20,25,30,35,40,45,50,55,60,65,70,75,80,85}, 1), "20-24", "25-29", "30-34", "35-39", "40-44", "45-49", "50-54", "55-59", "60-64", "65-69", "70-74", "75-79", "80-84", "85+")</f>
        <v>25-29</v>
      </c>
      <c r="D7604" t="s">
        <v>7</v>
      </c>
    </row>
    <row r="7605" spans="1:4">
      <c r="A7605" t="s">
        <v>6</v>
      </c>
      <c r="B7605">
        <v>42</v>
      </c>
      <c r="C7605" t="str">
        <f>CHOOSE(MATCH(B7605, {20,25,30,35,40,45,50,55,60,65,70,75,80,85}, 1), "20-24", "25-29", "30-34", "35-39", "40-44", "45-49", "50-54", "55-59", "60-64", "65-69", "70-74", "75-79", "80-84", "85+")</f>
        <v>40-44</v>
      </c>
      <c r="D7605" t="s">
        <v>7</v>
      </c>
    </row>
    <row r="7606" spans="1:4">
      <c r="A7606" t="s">
        <v>6</v>
      </c>
      <c r="B7606">
        <v>36</v>
      </c>
      <c r="C7606" t="str">
        <f>CHOOSE(MATCH(B7606, {20,25,30,35,40,45,50,55,60,65,70,75,80,85}, 1), "20-24", "25-29", "30-34", "35-39", "40-44", "45-49", "50-54", "55-59", "60-64", "65-69", "70-74", "75-79", "80-84", "85+")</f>
        <v>35-39</v>
      </c>
      <c r="D7606" t="s">
        <v>8</v>
      </c>
    </row>
    <row r="7607" spans="1:4">
      <c r="A7607" t="s">
        <v>6</v>
      </c>
      <c r="B7607">
        <v>53</v>
      </c>
      <c r="C7607" t="str">
        <f>CHOOSE(MATCH(B7607, {20,25,30,35,40,45,50,55,60,65,70,75,80,85}, 1), "20-24", "25-29", "30-34", "35-39", "40-44", "45-49", "50-54", "55-59", "60-64", "65-69", "70-74", "75-79", "80-84", "85+")</f>
        <v>50-54</v>
      </c>
      <c r="D7607" t="s">
        <v>7</v>
      </c>
    </row>
    <row r="7608" spans="1:4">
      <c r="A7608" t="s">
        <v>6</v>
      </c>
      <c r="B7608">
        <v>57</v>
      </c>
      <c r="C7608" t="str">
        <f>CHOOSE(MATCH(B7608, {20,25,30,35,40,45,50,55,60,65,70,75,80,85}, 1), "20-24", "25-29", "30-34", "35-39", "40-44", "45-49", "50-54", "55-59", "60-64", "65-69", "70-74", "75-79", "80-84", "85+")</f>
        <v>55-59</v>
      </c>
      <c r="D7608" t="s">
        <v>8</v>
      </c>
    </row>
    <row r="7609" spans="1:4">
      <c r="A7609" t="s">
        <v>6</v>
      </c>
      <c r="B7609">
        <v>54</v>
      </c>
      <c r="C7609" t="str">
        <f>CHOOSE(MATCH(B7609, {20,25,30,35,40,45,50,55,60,65,70,75,80,85}, 1), "20-24", "25-29", "30-34", "35-39", "40-44", "45-49", "50-54", "55-59", "60-64", "65-69", "70-74", "75-79", "80-84", "85+")</f>
        <v>50-54</v>
      </c>
      <c r="D7609" t="s">
        <v>7</v>
      </c>
    </row>
    <row r="7610" spans="1:4">
      <c r="A7610" t="s">
        <v>6</v>
      </c>
      <c r="B7610">
        <v>33</v>
      </c>
      <c r="C7610" t="str">
        <f>CHOOSE(MATCH(B7610, {20,25,30,35,40,45,50,55,60,65,70,75,80,85}, 1), "20-24", "25-29", "30-34", "35-39", "40-44", "45-49", "50-54", "55-59", "60-64", "65-69", "70-74", "75-79", "80-84", "85+")</f>
        <v>30-34</v>
      </c>
      <c r="D7610" t="s">
        <v>7</v>
      </c>
    </row>
    <row r="7611" spans="1:4">
      <c r="A7611" t="s">
        <v>6</v>
      </c>
      <c r="B7611">
        <v>42</v>
      </c>
      <c r="C7611" t="str">
        <f>CHOOSE(MATCH(B7611, {20,25,30,35,40,45,50,55,60,65,70,75,80,85}, 1), "20-24", "25-29", "30-34", "35-39", "40-44", "45-49", "50-54", "55-59", "60-64", "65-69", "70-74", "75-79", "80-84", "85+")</f>
        <v>40-44</v>
      </c>
      <c r="D7611" t="s">
        <v>7</v>
      </c>
    </row>
    <row r="7612" spans="1:4">
      <c r="A7612" t="s">
        <v>6</v>
      </c>
      <c r="B7612">
        <v>56</v>
      </c>
      <c r="C7612" t="str">
        <f>CHOOSE(MATCH(B7612, {20,25,30,35,40,45,50,55,60,65,70,75,80,85}, 1), "20-24", "25-29", "30-34", "35-39", "40-44", "45-49", "50-54", "55-59", "60-64", "65-69", "70-74", "75-79", "80-84", "85+")</f>
        <v>55-59</v>
      </c>
      <c r="D7612" t="s">
        <v>7</v>
      </c>
    </row>
    <row r="7613" spans="1:4">
      <c r="A7613" t="s">
        <v>6</v>
      </c>
      <c r="B7613">
        <v>30</v>
      </c>
      <c r="C7613" t="str">
        <f>CHOOSE(MATCH(B7613, {20,25,30,35,40,45,50,55,60,65,70,75,80,85}, 1), "20-24", "25-29", "30-34", "35-39", "40-44", "45-49", "50-54", "55-59", "60-64", "65-69", "70-74", "75-79", "80-84", "85+")</f>
        <v>30-34</v>
      </c>
      <c r="D7613" t="s">
        <v>7</v>
      </c>
    </row>
    <row r="7614" spans="1:4">
      <c r="A7614" t="s">
        <v>6</v>
      </c>
      <c r="B7614">
        <v>62</v>
      </c>
      <c r="C7614" t="str">
        <f>CHOOSE(MATCH(B7614, {20,25,30,35,40,45,50,55,60,65,70,75,80,85}, 1), "20-24", "25-29", "30-34", "35-39", "40-44", "45-49", "50-54", "55-59", "60-64", "65-69", "70-74", "75-79", "80-84", "85+")</f>
        <v>60-64</v>
      </c>
      <c r="D7614" t="s">
        <v>8</v>
      </c>
    </row>
    <row r="7615" spans="1:4">
      <c r="A7615" t="s">
        <v>6</v>
      </c>
      <c r="B7615">
        <v>44</v>
      </c>
      <c r="C7615" t="str">
        <f>CHOOSE(MATCH(B7615, {20,25,30,35,40,45,50,55,60,65,70,75,80,85}, 1), "20-24", "25-29", "30-34", "35-39", "40-44", "45-49", "50-54", "55-59", "60-64", "65-69", "70-74", "75-79", "80-84", "85+")</f>
        <v>40-44</v>
      </c>
      <c r="D7615" t="s">
        <v>7</v>
      </c>
    </row>
    <row r="7616" spans="1:4">
      <c r="A7616" t="s">
        <v>6</v>
      </c>
      <c r="B7616">
        <v>20</v>
      </c>
      <c r="C7616" t="str">
        <f>CHOOSE(MATCH(B7616, {20,25,30,35,40,45,50,55,60,65,70,75,80,85}, 1), "20-24", "25-29", "30-34", "35-39", "40-44", "45-49", "50-54", "55-59", "60-64", "65-69", "70-74", "75-79", "80-84", "85+")</f>
        <v>20-24</v>
      </c>
      <c r="D7616" t="s">
        <v>7</v>
      </c>
    </row>
    <row r="7617" spans="1:4">
      <c r="A7617" t="s">
        <v>6</v>
      </c>
      <c r="B7617">
        <v>25</v>
      </c>
      <c r="C7617" t="str">
        <f>CHOOSE(MATCH(B7617, {20,25,30,35,40,45,50,55,60,65,70,75,80,85}, 1), "20-24", "25-29", "30-34", "35-39", "40-44", "45-49", "50-54", "55-59", "60-64", "65-69", "70-74", "75-79", "80-84", "85+")</f>
        <v>25-29</v>
      </c>
      <c r="D7617" t="s">
        <v>8</v>
      </c>
    </row>
    <row r="7618" spans="1:4">
      <c r="A7618" t="s">
        <v>6</v>
      </c>
      <c r="B7618">
        <v>39</v>
      </c>
      <c r="C7618" t="str">
        <f>CHOOSE(MATCH(B7618, {20,25,30,35,40,45,50,55,60,65,70,75,80,85}, 1), "20-24", "25-29", "30-34", "35-39", "40-44", "45-49", "50-54", "55-59", "60-64", "65-69", "70-74", "75-79", "80-84", "85+")</f>
        <v>35-39</v>
      </c>
      <c r="D7618" t="s">
        <v>8</v>
      </c>
    </row>
    <row r="7619" spans="1:4">
      <c r="A7619" t="s">
        <v>6</v>
      </c>
      <c r="B7619">
        <v>29</v>
      </c>
      <c r="C7619" t="str">
        <f>CHOOSE(MATCH(B7619, {20,25,30,35,40,45,50,55,60,65,70,75,80,85}, 1), "20-24", "25-29", "30-34", "35-39", "40-44", "45-49", "50-54", "55-59", "60-64", "65-69", "70-74", "75-79", "80-84", "85+")</f>
        <v>25-29</v>
      </c>
      <c r="D7619" t="s">
        <v>8</v>
      </c>
    </row>
    <row r="7620" spans="1:4">
      <c r="A7620" t="s">
        <v>6</v>
      </c>
      <c r="B7620">
        <v>57</v>
      </c>
      <c r="C7620" t="str">
        <f>CHOOSE(MATCH(B7620, {20,25,30,35,40,45,50,55,60,65,70,75,80,85}, 1), "20-24", "25-29", "30-34", "35-39", "40-44", "45-49", "50-54", "55-59", "60-64", "65-69", "70-74", "75-79", "80-84", "85+")</f>
        <v>55-59</v>
      </c>
      <c r="D7620" t="s">
        <v>7</v>
      </c>
    </row>
    <row r="7621" spans="1:4">
      <c r="A7621" t="s">
        <v>6</v>
      </c>
      <c r="B7621">
        <v>33</v>
      </c>
      <c r="C7621" t="str">
        <f>CHOOSE(MATCH(B7621, {20,25,30,35,40,45,50,55,60,65,70,75,80,85}, 1), "20-24", "25-29", "30-34", "35-39", "40-44", "45-49", "50-54", "55-59", "60-64", "65-69", "70-74", "75-79", "80-84", "85+")</f>
        <v>30-34</v>
      </c>
      <c r="D7621" t="s">
        <v>8</v>
      </c>
    </row>
    <row r="7622" spans="1:4">
      <c r="A7622" t="s">
        <v>6</v>
      </c>
      <c r="B7622">
        <v>26</v>
      </c>
      <c r="C7622" t="str">
        <f>CHOOSE(MATCH(B7622, {20,25,30,35,40,45,50,55,60,65,70,75,80,85}, 1), "20-24", "25-29", "30-34", "35-39", "40-44", "45-49", "50-54", "55-59", "60-64", "65-69", "70-74", "75-79", "80-84", "85+")</f>
        <v>25-29</v>
      </c>
      <c r="D7622" t="s">
        <v>8</v>
      </c>
    </row>
    <row r="7623" spans="1:4">
      <c r="A7623" t="s">
        <v>6</v>
      </c>
      <c r="B7623">
        <v>47</v>
      </c>
      <c r="C7623" t="str">
        <f>CHOOSE(MATCH(B7623, {20,25,30,35,40,45,50,55,60,65,70,75,80,85}, 1), "20-24", "25-29", "30-34", "35-39", "40-44", "45-49", "50-54", "55-59", "60-64", "65-69", "70-74", "75-79", "80-84", "85+")</f>
        <v>45-49</v>
      </c>
      <c r="D7623" t="s">
        <v>7</v>
      </c>
    </row>
    <row r="7624" spans="1:4">
      <c r="A7624" t="s">
        <v>6</v>
      </c>
      <c r="B7624">
        <v>29</v>
      </c>
      <c r="C7624" t="str">
        <f>CHOOSE(MATCH(B7624, {20,25,30,35,40,45,50,55,60,65,70,75,80,85}, 1), "20-24", "25-29", "30-34", "35-39", "40-44", "45-49", "50-54", "55-59", "60-64", "65-69", "70-74", "75-79", "80-84", "85+")</f>
        <v>25-29</v>
      </c>
      <c r="D7624" t="s">
        <v>7</v>
      </c>
    </row>
    <row r="7625" spans="1:4">
      <c r="A7625" t="s">
        <v>6</v>
      </c>
      <c r="B7625">
        <v>39</v>
      </c>
      <c r="C7625" t="str">
        <f>CHOOSE(MATCH(B7625, {20,25,30,35,40,45,50,55,60,65,70,75,80,85}, 1), "20-24", "25-29", "30-34", "35-39", "40-44", "45-49", "50-54", "55-59", "60-64", "65-69", "70-74", "75-79", "80-84", "85+")</f>
        <v>35-39</v>
      </c>
      <c r="D7625" t="s">
        <v>7</v>
      </c>
    </row>
    <row r="7626" spans="1:4">
      <c r="A7626" t="s">
        <v>6</v>
      </c>
      <c r="B7626">
        <v>21</v>
      </c>
      <c r="C7626" t="str">
        <f>CHOOSE(MATCH(B7626, {20,25,30,35,40,45,50,55,60,65,70,75,80,85}, 1), "20-24", "25-29", "30-34", "35-39", "40-44", "45-49", "50-54", "55-59", "60-64", "65-69", "70-74", "75-79", "80-84", "85+")</f>
        <v>20-24</v>
      </c>
      <c r="D7626" t="s">
        <v>7</v>
      </c>
    </row>
    <row r="7627" spans="1:4">
      <c r="A7627" t="s">
        <v>6</v>
      </c>
      <c r="B7627">
        <v>36</v>
      </c>
      <c r="C7627" t="str">
        <f>CHOOSE(MATCH(B7627, {20,25,30,35,40,45,50,55,60,65,70,75,80,85}, 1), "20-24", "25-29", "30-34", "35-39", "40-44", "45-49", "50-54", "55-59", "60-64", "65-69", "70-74", "75-79", "80-84", "85+")</f>
        <v>35-39</v>
      </c>
      <c r="D7627" t="s">
        <v>7</v>
      </c>
    </row>
    <row r="7628" spans="1:4">
      <c r="A7628" t="s">
        <v>6</v>
      </c>
      <c r="B7628">
        <v>49</v>
      </c>
      <c r="C7628" t="str">
        <f>CHOOSE(MATCH(B7628, {20,25,30,35,40,45,50,55,60,65,70,75,80,85}, 1), "20-24", "25-29", "30-34", "35-39", "40-44", "45-49", "50-54", "55-59", "60-64", "65-69", "70-74", "75-79", "80-84", "85+")</f>
        <v>45-49</v>
      </c>
      <c r="D7628" t="s">
        <v>7</v>
      </c>
    </row>
    <row r="7629" spans="1:4">
      <c r="A7629" t="s">
        <v>6</v>
      </c>
      <c r="B7629">
        <v>96</v>
      </c>
      <c r="C7629" t="str">
        <f>CHOOSE(MATCH(B7629, {20,25,30,35,40,45,50,55,60,65,70,75,80,85}, 1), "20-24", "25-29", "30-34", "35-39", "40-44", "45-49", "50-54", "55-59", "60-64", "65-69", "70-74", "75-79", "80-84", "85+")</f>
        <v>85+</v>
      </c>
      <c r="D7629" t="s">
        <v>8</v>
      </c>
    </row>
    <row r="7630" spans="1:4">
      <c r="A7630" t="s">
        <v>6</v>
      </c>
      <c r="B7630">
        <v>55</v>
      </c>
      <c r="C7630" t="str">
        <f>CHOOSE(MATCH(B7630, {20,25,30,35,40,45,50,55,60,65,70,75,80,85}, 1), "20-24", "25-29", "30-34", "35-39", "40-44", "45-49", "50-54", "55-59", "60-64", "65-69", "70-74", "75-79", "80-84", "85+")</f>
        <v>55-59</v>
      </c>
      <c r="D7630" t="s">
        <v>8</v>
      </c>
    </row>
    <row r="7631" spans="1:4">
      <c r="A7631" t="s">
        <v>6</v>
      </c>
      <c r="B7631">
        <v>56</v>
      </c>
      <c r="C7631" t="str">
        <f>CHOOSE(MATCH(B7631, {20,25,30,35,40,45,50,55,60,65,70,75,80,85}, 1), "20-24", "25-29", "30-34", "35-39", "40-44", "45-49", "50-54", "55-59", "60-64", "65-69", "70-74", "75-79", "80-84", "85+")</f>
        <v>55-59</v>
      </c>
      <c r="D7631" t="s">
        <v>7</v>
      </c>
    </row>
    <row r="7632" spans="1:4">
      <c r="A7632" t="s">
        <v>6</v>
      </c>
      <c r="B7632">
        <v>36</v>
      </c>
      <c r="C7632" t="str">
        <f>CHOOSE(MATCH(B7632, {20,25,30,35,40,45,50,55,60,65,70,75,80,85}, 1), "20-24", "25-29", "30-34", "35-39", "40-44", "45-49", "50-54", "55-59", "60-64", "65-69", "70-74", "75-79", "80-84", "85+")</f>
        <v>35-39</v>
      </c>
      <c r="D7632" t="s">
        <v>8</v>
      </c>
    </row>
    <row r="7633" spans="1:4">
      <c r="A7633" t="s">
        <v>6</v>
      </c>
      <c r="B7633">
        <v>42</v>
      </c>
      <c r="C7633" t="str">
        <f>CHOOSE(MATCH(B7633, {20,25,30,35,40,45,50,55,60,65,70,75,80,85}, 1), "20-24", "25-29", "30-34", "35-39", "40-44", "45-49", "50-54", "55-59", "60-64", "65-69", "70-74", "75-79", "80-84", "85+")</f>
        <v>40-44</v>
      </c>
      <c r="D7633" t="s">
        <v>7</v>
      </c>
    </row>
    <row r="7634" spans="1:4">
      <c r="A7634" t="s">
        <v>6</v>
      </c>
      <c r="B7634">
        <v>35</v>
      </c>
      <c r="C7634" t="str">
        <f>CHOOSE(MATCH(B7634, {20,25,30,35,40,45,50,55,60,65,70,75,80,85}, 1), "20-24", "25-29", "30-34", "35-39", "40-44", "45-49", "50-54", "55-59", "60-64", "65-69", "70-74", "75-79", "80-84", "85+")</f>
        <v>35-39</v>
      </c>
      <c r="D7634" t="s">
        <v>7</v>
      </c>
    </row>
    <row r="7635" spans="1:4">
      <c r="A7635" t="s">
        <v>6</v>
      </c>
      <c r="B7635">
        <v>60</v>
      </c>
      <c r="C7635" t="str">
        <f>CHOOSE(MATCH(B7635, {20,25,30,35,40,45,50,55,60,65,70,75,80,85}, 1), "20-24", "25-29", "30-34", "35-39", "40-44", "45-49", "50-54", "55-59", "60-64", "65-69", "70-74", "75-79", "80-84", "85+")</f>
        <v>60-64</v>
      </c>
      <c r="D7635" t="s">
        <v>7</v>
      </c>
    </row>
    <row r="7636" spans="1:4">
      <c r="A7636" t="s">
        <v>6</v>
      </c>
      <c r="B7636">
        <v>31</v>
      </c>
      <c r="C7636" t="str">
        <f>CHOOSE(MATCH(B7636, {20,25,30,35,40,45,50,55,60,65,70,75,80,85}, 1), "20-24", "25-29", "30-34", "35-39", "40-44", "45-49", "50-54", "55-59", "60-64", "65-69", "70-74", "75-79", "80-84", "85+")</f>
        <v>30-34</v>
      </c>
      <c r="D7636" t="s">
        <v>7</v>
      </c>
    </row>
    <row r="7637" spans="1:4">
      <c r="A7637" t="s">
        <v>6</v>
      </c>
      <c r="B7637">
        <v>55</v>
      </c>
      <c r="C7637" t="str">
        <f>CHOOSE(MATCH(B7637, {20,25,30,35,40,45,50,55,60,65,70,75,80,85}, 1), "20-24", "25-29", "30-34", "35-39", "40-44", "45-49", "50-54", "55-59", "60-64", "65-69", "70-74", "75-79", "80-84", "85+")</f>
        <v>55-59</v>
      </c>
      <c r="D7637" t="s">
        <v>8</v>
      </c>
    </row>
    <row r="7638" spans="1:4">
      <c r="A7638" t="s">
        <v>6</v>
      </c>
      <c r="B7638">
        <v>33</v>
      </c>
      <c r="C7638" t="str">
        <f>CHOOSE(MATCH(B7638, {20,25,30,35,40,45,50,55,60,65,70,75,80,85}, 1), "20-24", "25-29", "30-34", "35-39", "40-44", "45-49", "50-54", "55-59", "60-64", "65-69", "70-74", "75-79", "80-84", "85+")</f>
        <v>30-34</v>
      </c>
      <c r="D7638" t="s">
        <v>7</v>
      </c>
    </row>
    <row r="7639" spans="1:4">
      <c r="A7639" t="s">
        <v>6</v>
      </c>
      <c r="B7639">
        <v>56</v>
      </c>
      <c r="C7639" t="str">
        <f>CHOOSE(MATCH(B7639, {20,25,30,35,40,45,50,55,60,65,70,75,80,85}, 1), "20-24", "25-29", "30-34", "35-39", "40-44", "45-49", "50-54", "55-59", "60-64", "65-69", "70-74", "75-79", "80-84", "85+")</f>
        <v>55-59</v>
      </c>
      <c r="D7639" t="s">
        <v>8</v>
      </c>
    </row>
    <row r="7640" spans="1:4">
      <c r="A7640" t="s">
        <v>6</v>
      </c>
      <c r="B7640">
        <v>31</v>
      </c>
      <c r="C7640" t="str">
        <f>CHOOSE(MATCH(B7640, {20,25,30,35,40,45,50,55,60,65,70,75,80,85}, 1), "20-24", "25-29", "30-34", "35-39", "40-44", "45-49", "50-54", "55-59", "60-64", "65-69", "70-74", "75-79", "80-84", "85+")</f>
        <v>30-34</v>
      </c>
      <c r="D7640" t="s">
        <v>7</v>
      </c>
    </row>
    <row r="7641" spans="1:4">
      <c r="A7641" t="s">
        <v>6</v>
      </c>
      <c r="B7641">
        <v>63</v>
      </c>
      <c r="C7641" t="str">
        <f>CHOOSE(MATCH(B7641, {20,25,30,35,40,45,50,55,60,65,70,75,80,85}, 1), "20-24", "25-29", "30-34", "35-39", "40-44", "45-49", "50-54", "55-59", "60-64", "65-69", "70-74", "75-79", "80-84", "85+")</f>
        <v>60-64</v>
      </c>
      <c r="D7641" t="s">
        <v>7</v>
      </c>
    </row>
    <row r="7642" spans="1:4">
      <c r="A7642" t="s">
        <v>6</v>
      </c>
      <c r="B7642">
        <v>34</v>
      </c>
      <c r="C7642" t="str">
        <f>CHOOSE(MATCH(B7642, {20,25,30,35,40,45,50,55,60,65,70,75,80,85}, 1), "20-24", "25-29", "30-34", "35-39", "40-44", "45-49", "50-54", "55-59", "60-64", "65-69", "70-74", "75-79", "80-84", "85+")</f>
        <v>30-34</v>
      </c>
      <c r="D7642" t="s">
        <v>7</v>
      </c>
    </row>
    <row r="7643" spans="1:4">
      <c r="A7643" t="s">
        <v>6</v>
      </c>
      <c r="B7643">
        <v>35</v>
      </c>
      <c r="C7643" t="str">
        <f>CHOOSE(MATCH(B7643, {20,25,30,35,40,45,50,55,60,65,70,75,80,85}, 1), "20-24", "25-29", "30-34", "35-39", "40-44", "45-49", "50-54", "55-59", "60-64", "65-69", "70-74", "75-79", "80-84", "85+")</f>
        <v>35-39</v>
      </c>
      <c r="D7643" t="s">
        <v>8</v>
      </c>
    </row>
    <row r="7644" spans="1:4">
      <c r="A7644" t="s">
        <v>6</v>
      </c>
      <c r="B7644">
        <v>76</v>
      </c>
      <c r="C7644" t="str">
        <f>CHOOSE(MATCH(B7644, {20,25,30,35,40,45,50,55,60,65,70,75,80,85}, 1), "20-24", "25-29", "30-34", "35-39", "40-44", "45-49", "50-54", "55-59", "60-64", "65-69", "70-74", "75-79", "80-84", "85+")</f>
        <v>75-79</v>
      </c>
      <c r="D7644" t="s">
        <v>8</v>
      </c>
    </row>
    <row r="7645" spans="1:4">
      <c r="A7645" t="s">
        <v>6</v>
      </c>
      <c r="B7645">
        <v>55</v>
      </c>
      <c r="C7645" t="str">
        <f>CHOOSE(MATCH(B7645, {20,25,30,35,40,45,50,55,60,65,70,75,80,85}, 1), "20-24", "25-29", "30-34", "35-39", "40-44", "45-49", "50-54", "55-59", "60-64", "65-69", "70-74", "75-79", "80-84", "85+")</f>
        <v>55-59</v>
      </c>
      <c r="D7645" t="s">
        <v>7</v>
      </c>
    </row>
    <row r="7646" spans="1:4">
      <c r="A7646" t="s">
        <v>6</v>
      </c>
      <c r="B7646">
        <v>23</v>
      </c>
      <c r="C7646" t="str">
        <f>CHOOSE(MATCH(B7646, {20,25,30,35,40,45,50,55,60,65,70,75,80,85}, 1), "20-24", "25-29", "30-34", "35-39", "40-44", "45-49", "50-54", "55-59", "60-64", "65-69", "70-74", "75-79", "80-84", "85+")</f>
        <v>20-24</v>
      </c>
      <c r="D7646" t="s">
        <v>7</v>
      </c>
    </row>
    <row r="7647" spans="1:4">
      <c r="A7647" t="s">
        <v>6</v>
      </c>
      <c r="B7647">
        <v>55</v>
      </c>
      <c r="C7647" t="str">
        <f>CHOOSE(MATCH(B7647, {20,25,30,35,40,45,50,55,60,65,70,75,80,85}, 1), "20-24", "25-29", "30-34", "35-39", "40-44", "45-49", "50-54", "55-59", "60-64", "65-69", "70-74", "75-79", "80-84", "85+")</f>
        <v>55-59</v>
      </c>
      <c r="D7647" t="s">
        <v>8</v>
      </c>
    </row>
    <row r="7648" spans="1:4">
      <c r="A7648" t="s">
        <v>6</v>
      </c>
      <c r="B7648">
        <v>51</v>
      </c>
      <c r="C7648" t="str">
        <f>CHOOSE(MATCH(B7648, {20,25,30,35,40,45,50,55,60,65,70,75,80,85}, 1), "20-24", "25-29", "30-34", "35-39", "40-44", "45-49", "50-54", "55-59", "60-64", "65-69", "70-74", "75-79", "80-84", "85+")</f>
        <v>50-54</v>
      </c>
      <c r="D7648" t="s">
        <v>7</v>
      </c>
    </row>
    <row r="7649" spans="1:4">
      <c r="A7649" t="s">
        <v>6</v>
      </c>
      <c r="B7649">
        <v>24</v>
      </c>
      <c r="C7649" t="str">
        <f>CHOOSE(MATCH(B7649, {20,25,30,35,40,45,50,55,60,65,70,75,80,85}, 1), "20-24", "25-29", "30-34", "35-39", "40-44", "45-49", "50-54", "55-59", "60-64", "65-69", "70-74", "75-79", "80-84", "85+")</f>
        <v>20-24</v>
      </c>
      <c r="D7649" t="s">
        <v>7</v>
      </c>
    </row>
    <row r="7650" spans="1:4">
      <c r="A7650" t="s">
        <v>6</v>
      </c>
      <c r="B7650">
        <v>29</v>
      </c>
      <c r="C7650" t="str">
        <f>CHOOSE(MATCH(B7650, {20,25,30,35,40,45,50,55,60,65,70,75,80,85}, 1), "20-24", "25-29", "30-34", "35-39", "40-44", "45-49", "50-54", "55-59", "60-64", "65-69", "70-74", "75-79", "80-84", "85+")</f>
        <v>25-29</v>
      </c>
      <c r="D7650" t="s">
        <v>7</v>
      </c>
    </row>
    <row r="7651" spans="1:4">
      <c r="A7651" t="s">
        <v>6</v>
      </c>
      <c r="B7651">
        <v>39</v>
      </c>
      <c r="C7651" t="str">
        <f>CHOOSE(MATCH(B7651, {20,25,30,35,40,45,50,55,60,65,70,75,80,85}, 1), "20-24", "25-29", "30-34", "35-39", "40-44", "45-49", "50-54", "55-59", "60-64", "65-69", "70-74", "75-79", "80-84", "85+")</f>
        <v>35-39</v>
      </c>
      <c r="D7651" t="s">
        <v>7</v>
      </c>
    </row>
    <row r="7652" spans="1:4">
      <c r="A7652" t="s">
        <v>6</v>
      </c>
      <c r="B7652">
        <v>60</v>
      </c>
      <c r="C7652" t="str">
        <f>CHOOSE(MATCH(B7652, {20,25,30,35,40,45,50,55,60,65,70,75,80,85}, 1), "20-24", "25-29", "30-34", "35-39", "40-44", "45-49", "50-54", "55-59", "60-64", "65-69", "70-74", "75-79", "80-84", "85+")</f>
        <v>60-64</v>
      </c>
      <c r="D7652" t="s">
        <v>7</v>
      </c>
    </row>
    <row r="7653" spans="1:4">
      <c r="A7653" t="s">
        <v>6</v>
      </c>
      <c r="B7653">
        <v>89</v>
      </c>
      <c r="C7653" t="str">
        <f>CHOOSE(MATCH(B7653, {20,25,30,35,40,45,50,55,60,65,70,75,80,85}, 1), "20-24", "25-29", "30-34", "35-39", "40-44", "45-49", "50-54", "55-59", "60-64", "65-69", "70-74", "75-79", "80-84", "85+")</f>
        <v>85+</v>
      </c>
      <c r="D7653" t="s">
        <v>7</v>
      </c>
    </row>
    <row r="7654" spans="1:4">
      <c r="A7654" t="s">
        <v>6</v>
      </c>
      <c r="B7654">
        <v>38</v>
      </c>
      <c r="C7654" t="str">
        <f>CHOOSE(MATCH(B7654, {20,25,30,35,40,45,50,55,60,65,70,75,80,85}, 1), "20-24", "25-29", "30-34", "35-39", "40-44", "45-49", "50-54", "55-59", "60-64", "65-69", "70-74", "75-79", "80-84", "85+")</f>
        <v>35-39</v>
      </c>
      <c r="D7654" t="s">
        <v>7</v>
      </c>
    </row>
    <row r="7655" spans="1:4">
      <c r="A7655" t="s">
        <v>6</v>
      </c>
      <c r="B7655">
        <v>25</v>
      </c>
      <c r="C7655" t="str">
        <f>CHOOSE(MATCH(B7655, {20,25,30,35,40,45,50,55,60,65,70,75,80,85}, 1), "20-24", "25-29", "30-34", "35-39", "40-44", "45-49", "50-54", "55-59", "60-64", "65-69", "70-74", "75-79", "80-84", "85+")</f>
        <v>25-29</v>
      </c>
      <c r="D7655" t="s">
        <v>7</v>
      </c>
    </row>
    <row r="7656" spans="1:4">
      <c r="A7656" t="s">
        <v>6</v>
      </c>
      <c r="B7656">
        <v>27</v>
      </c>
      <c r="C7656" t="str">
        <f>CHOOSE(MATCH(B7656, {20,25,30,35,40,45,50,55,60,65,70,75,80,85}, 1), "20-24", "25-29", "30-34", "35-39", "40-44", "45-49", "50-54", "55-59", "60-64", "65-69", "70-74", "75-79", "80-84", "85+")</f>
        <v>25-29</v>
      </c>
      <c r="D7656" t="s">
        <v>7</v>
      </c>
    </row>
    <row r="7657" spans="1:4">
      <c r="A7657" t="s">
        <v>6</v>
      </c>
      <c r="B7657">
        <v>50</v>
      </c>
      <c r="C7657" t="str">
        <f>CHOOSE(MATCH(B7657, {20,25,30,35,40,45,50,55,60,65,70,75,80,85}, 1), "20-24", "25-29", "30-34", "35-39", "40-44", "45-49", "50-54", "55-59", "60-64", "65-69", "70-74", "75-79", "80-84", "85+")</f>
        <v>50-54</v>
      </c>
      <c r="D7657" t="s">
        <v>8</v>
      </c>
    </row>
    <row r="7658" spans="1:4">
      <c r="A7658" t="s">
        <v>6</v>
      </c>
      <c r="B7658">
        <v>36</v>
      </c>
      <c r="C7658" t="str">
        <f>CHOOSE(MATCH(B7658, {20,25,30,35,40,45,50,55,60,65,70,75,80,85}, 1), "20-24", "25-29", "30-34", "35-39", "40-44", "45-49", "50-54", "55-59", "60-64", "65-69", "70-74", "75-79", "80-84", "85+")</f>
        <v>35-39</v>
      </c>
      <c r="D7658" t="s">
        <v>8</v>
      </c>
    </row>
    <row r="7659" spans="1:4">
      <c r="A7659" t="s">
        <v>6</v>
      </c>
      <c r="B7659">
        <v>34</v>
      </c>
      <c r="C7659" t="str">
        <f>CHOOSE(MATCH(B7659, {20,25,30,35,40,45,50,55,60,65,70,75,80,85}, 1), "20-24", "25-29", "30-34", "35-39", "40-44", "45-49", "50-54", "55-59", "60-64", "65-69", "70-74", "75-79", "80-84", "85+")</f>
        <v>30-34</v>
      </c>
      <c r="D7659" t="s">
        <v>8</v>
      </c>
    </row>
    <row r="7660" spans="1:4">
      <c r="A7660" t="s">
        <v>6</v>
      </c>
      <c r="B7660">
        <v>61</v>
      </c>
      <c r="C7660" t="str">
        <f>CHOOSE(MATCH(B7660, {20,25,30,35,40,45,50,55,60,65,70,75,80,85}, 1), "20-24", "25-29", "30-34", "35-39", "40-44", "45-49", "50-54", "55-59", "60-64", "65-69", "70-74", "75-79", "80-84", "85+")</f>
        <v>60-64</v>
      </c>
      <c r="D7660" t="s">
        <v>8</v>
      </c>
    </row>
    <row r="7661" spans="1:4">
      <c r="A7661" t="s">
        <v>6</v>
      </c>
      <c r="B7661">
        <v>34</v>
      </c>
      <c r="C7661" t="str">
        <f>CHOOSE(MATCH(B7661, {20,25,30,35,40,45,50,55,60,65,70,75,80,85}, 1), "20-24", "25-29", "30-34", "35-39", "40-44", "45-49", "50-54", "55-59", "60-64", "65-69", "70-74", "75-79", "80-84", "85+")</f>
        <v>30-34</v>
      </c>
      <c r="D7661" t="s">
        <v>7</v>
      </c>
    </row>
    <row r="7662" spans="1:4">
      <c r="A7662" t="s">
        <v>6</v>
      </c>
      <c r="B7662">
        <v>55</v>
      </c>
      <c r="C7662" t="str">
        <f>CHOOSE(MATCH(B7662, {20,25,30,35,40,45,50,55,60,65,70,75,80,85}, 1), "20-24", "25-29", "30-34", "35-39", "40-44", "45-49", "50-54", "55-59", "60-64", "65-69", "70-74", "75-79", "80-84", "85+")</f>
        <v>55-59</v>
      </c>
      <c r="D7662" t="s">
        <v>8</v>
      </c>
    </row>
    <row r="7663" spans="1:4">
      <c r="A7663" t="s">
        <v>6</v>
      </c>
      <c r="B7663">
        <v>32</v>
      </c>
      <c r="C7663" t="str">
        <f>CHOOSE(MATCH(B7663, {20,25,30,35,40,45,50,55,60,65,70,75,80,85}, 1), "20-24", "25-29", "30-34", "35-39", "40-44", "45-49", "50-54", "55-59", "60-64", "65-69", "70-74", "75-79", "80-84", "85+")</f>
        <v>30-34</v>
      </c>
      <c r="D7663" t="s">
        <v>7</v>
      </c>
    </row>
    <row r="7664" spans="1:4">
      <c r="A7664" t="s">
        <v>6</v>
      </c>
      <c r="B7664">
        <v>54</v>
      </c>
      <c r="C7664" t="str">
        <f>CHOOSE(MATCH(B7664, {20,25,30,35,40,45,50,55,60,65,70,75,80,85}, 1), "20-24", "25-29", "30-34", "35-39", "40-44", "45-49", "50-54", "55-59", "60-64", "65-69", "70-74", "75-79", "80-84", "85+")</f>
        <v>50-54</v>
      </c>
      <c r="D7664" t="s">
        <v>8</v>
      </c>
    </row>
    <row r="7665" spans="1:4">
      <c r="A7665" t="s">
        <v>6</v>
      </c>
      <c r="B7665">
        <v>53</v>
      </c>
      <c r="C7665" t="str">
        <f>CHOOSE(MATCH(B7665, {20,25,30,35,40,45,50,55,60,65,70,75,80,85}, 1), "20-24", "25-29", "30-34", "35-39", "40-44", "45-49", "50-54", "55-59", "60-64", "65-69", "70-74", "75-79", "80-84", "85+")</f>
        <v>50-54</v>
      </c>
      <c r="D7665" t="s">
        <v>7</v>
      </c>
    </row>
    <row r="7666" spans="1:4">
      <c r="A7666" t="s">
        <v>6</v>
      </c>
      <c r="B7666">
        <v>71</v>
      </c>
      <c r="C7666" t="str">
        <f>CHOOSE(MATCH(B7666, {20,25,30,35,40,45,50,55,60,65,70,75,80,85}, 1), "20-24", "25-29", "30-34", "35-39", "40-44", "45-49", "50-54", "55-59", "60-64", "65-69", "70-74", "75-79", "80-84", "85+")</f>
        <v>70-74</v>
      </c>
      <c r="D7666" t="s">
        <v>8</v>
      </c>
    </row>
    <row r="7667" spans="1:4">
      <c r="A7667" t="s">
        <v>6</v>
      </c>
      <c r="B7667">
        <v>32</v>
      </c>
      <c r="C7667" t="str">
        <f>CHOOSE(MATCH(B7667, {20,25,30,35,40,45,50,55,60,65,70,75,80,85}, 1), "20-24", "25-29", "30-34", "35-39", "40-44", "45-49", "50-54", "55-59", "60-64", "65-69", "70-74", "75-79", "80-84", "85+")</f>
        <v>30-34</v>
      </c>
      <c r="D7667" t="s">
        <v>8</v>
      </c>
    </row>
    <row r="7668" spans="1:4">
      <c r="A7668" t="s">
        <v>6</v>
      </c>
      <c r="B7668">
        <v>38</v>
      </c>
      <c r="C7668" t="str">
        <f>CHOOSE(MATCH(B7668, {20,25,30,35,40,45,50,55,60,65,70,75,80,85}, 1), "20-24", "25-29", "30-34", "35-39", "40-44", "45-49", "50-54", "55-59", "60-64", "65-69", "70-74", "75-79", "80-84", "85+")</f>
        <v>35-39</v>
      </c>
      <c r="D7668" t="s">
        <v>7</v>
      </c>
    </row>
    <row r="7669" spans="1:4">
      <c r="A7669" t="s">
        <v>6</v>
      </c>
      <c r="B7669">
        <v>37</v>
      </c>
      <c r="C7669" t="str">
        <f>CHOOSE(MATCH(B7669, {20,25,30,35,40,45,50,55,60,65,70,75,80,85}, 1), "20-24", "25-29", "30-34", "35-39", "40-44", "45-49", "50-54", "55-59", "60-64", "65-69", "70-74", "75-79", "80-84", "85+")</f>
        <v>35-39</v>
      </c>
      <c r="D7669" t="s">
        <v>7</v>
      </c>
    </row>
    <row r="7670" spans="1:4">
      <c r="A7670" t="s">
        <v>6</v>
      </c>
      <c r="B7670">
        <v>35</v>
      </c>
      <c r="C7670" t="str">
        <f>CHOOSE(MATCH(B7670, {20,25,30,35,40,45,50,55,60,65,70,75,80,85}, 1), "20-24", "25-29", "30-34", "35-39", "40-44", "45-49", "50-54", "55-59", "60-64", "65-69", "70-74", "75-79", "80-84", "85+")</f>
        <v>35-39</v>
      </c>
      <c r="D7670" t="s">
        <v>8</v>
      </c>
    </row>
    <row r="7671" spans="1:4">
      <c r="A7671" t="s">
        <v>6</v>
      </c>
      <c r="B7671">
        <v>39</v>
      </c>
      <c r="C7671" t="str">
        <f>CHOOSE(MATCH(B7671, {20,25,30,35,40,45,50,55,60,65,70,75,80,85}, 1), "20-24", "25-29", "30-34", "35-39", "40-44", "45-49", "50-54", "55-59", "60-64", "65-69", "70-74", "75-79", "80-84", "85+")</f>
        <v>35-39</v>
      </c>
      <c r="D7671" t="s">
        <v>8</v>
      </c>
    </row>
    <row r="7672" spans="1:4">
      <c r="A7672" t="s">
        <v>6</v>
      </c>
      <c r="B7672">
        <v>50</v>
      </c>
      <c r="C7672" t="str">
        <f>CHOOSE(MATCH(B7672, {20,25,30,35,40,45,50,55,60,65,70,75,80,85}, 1), "20-24", "25-29", "30-34", "35-39", "40-44", "45-49", "50-54", "55-59", "60-64", "65-69", "70-74", "75-79", "80-84", "85+")</f>
        <v>50-54</v>
      </c>
      <c r="D7672" t="s">
        <v>7</v>
      </c>
    </row>
    <row r="7673" spans="1:4">
      <c r="A7673" t="s">
        <v>6</v>
      </c>
      <c r="B7673">
        <v>69</v>
      </c>
      <c r="C7673" t="str">
        <f>CHOOSE(MATCH(B7673, {20,25,30,35,40,45,50,55,60,65,70,75,80,85}, 1), "20-24", "25-29", "30-34", "35-39", "40-44", "45-49", "50-54", "55-59", "60-64", "65-69", "70-74", "75-79", "80-84", "85+")</f>
        <v>65-69</v>
      </c>
      <c r="D7673" t="s">
        <v>7</v>
      </c>
    </row>
    <row r="7674" spans="1:4">
      <c r="A7674" t="s">
        <v>6</v>
      </c>
      <c r="B7674">
        <v>81</v>
      </c>
      <c r="C7674" t="str">
        <f>CHOOSE(MATCH(B7674, {20,25,30,35,40,45,50,55,60,65,70,75,80,85}, 1), "20-24", "25-29", "30-34", "35-39", "40-44", "45-49", "50-54", "55-59", "60-64", "65-69", "70-74", "75-79", "80-84", "85+")</f>
        <v>80-84</v>
      </c>
      <c r="D7674" t="s">
        <v>8</v>
      </c>
    </row>
    <row r="7675" spans="1:4">
      <c r="A7675" t="s">
        <v>6</v>
      </c>
      <c r="B7675">
        <v>30</v>
      </c>
      <c r="C7675" t="str">
        <f>CHOOSE(MATCH(B7675, {20,25,30,35,40,45,50,55,60,65,70,75,80,85}, 1), "20-24", "25-29", "30-34", "35-39", "40-44", "45-49", "50-54", "55-59", "60-64", "65-69", "70-74", "75-79", "80-84", "85+")</f>
        <v>30-34</v>
      </c>
      <c r="D7675" t="s">
        <v>7</v>
      </c>
    </row>
    <row r="7676" spans="1:4">
      <c r="A7676" t="s">
        <v>6</v>
      </c>
      <c r="B7676">
        <v>58</v>
      </c>
      <c r="C7676" t="str">
        <f>CHOOSE(MATCH(B7676, {20,25,30,35,40,45,50,55,60,65,70,75,80,85}, 1), "20-24", "25-29", "30-34", "35-39", "40-44", "45-49", "50-54", "55-59", "60-64", "65-69", "70-74", "75-79", "80-84", "85+")</f>
        <v>55-59</v>
      </c>
      <c r="D7676" t="s">
        <v>7</v>
      </c>
    </row>
    <row r="7677" spans="1:4">
      <c r="A7677" t="s">
        <v>6</v>
      </c>
      <c r="B7677">
        <v>42</v>
      </c>
      <c r="C7677" t="str">
        <f>CHOOSE(MATCH(B7677, {20,25,30,35,40,45,50,55,60,65,70,75,80,85}, 1), "20-24", "25-29", "30-34", "35-39", "40-44", "45-49", "50-54", "55-59", "60-64", "65-69", "70-74", "75-79", "80-84", "85+")</f>
        <v>40-44</v>
      </c>
      <c r="D7677" t="s">
        <v>7</v>
      </c>
    </row>
    <row r="7678" spans="1:4">
      <c r="A7678" t="s">
        <v>6</v>
      </c>
      <c r="B7678">
        <v>29</v>
      </c>
      <c r="C7678" t="str">
        <f>CHOOSE(MATCH(B7678, {20,25,30,35,40,45,50,55,60,65,70,75,80,85}, 1), "20-24", "25-29", "30-34", "35-39", "40-44", "45-49", "50-54", "55-59", "60-64", "65-69", "70-74", "75-79", "80-84", "85+")</f>
        <v>25-29</v>
      </c>
      <c r="D7678" t="s">
        <v>8</v>
      </c>
    </row>
    <row r="7679" spans="1:4">
      <c r="A7679" t="s">
        <v>6</v>
      </c>
      <c r="B7679">
        <v>36</v>
      </c>
      <c r="C7679" t="str">
        <f>CHOOSE(MATCH(B7679, {20,25,30,35,40,45,50,55,60,65,70,75,80,85}, 1), "20-24", "25-29", "30-34", "35-39", "40-44", "45-49", "50-54", "55-59", "60-64", "65-69", "70-74", "75-79", "80-84", "85+")</f>
        <v>35-39</v>
      </c>
      <c r="D7679" t="s">
        <v>7</v>
      </c>
    </row>
    <row r="7680" spans="1:4">
      <c r="A7680" t="s">
        <v>6</v>
      </c>
      <c r="B7680">
        <v>27</v>
      </c>
      <c r="C7680" t="str">
        <f>CHOOSE(MATCH(B7680, {20,25,30,35,40,45,50,55,60,65,70,75,80,85}, 1), "20-24", "25-29", "30-34", "35-39", "40-44", "45-49", "50-54", "55-59", "60-64", "65-69", "70-74", "75-79", "80-84", "85+")</f>
        <v>25-29</v>
      </c>
      <c r="D7680" t="s">
        <v>7</v>
      </c>
    </row>
    <row r="7681" spans="1:4">
      <c r="A7681" t="s">
        <v>6</v>
      </c>
      <c r="B7681">
        <v>32</v>
      </c>
      <c r="C7681" t="str">
        <f>CHOOSE(MATCH(B7681, {20,25,30,35,40,45,50,55,60,65,70,75,80,85}, 1), "20-24", "25-29", "30-34", "35-39", "40-44", "45-49", "50-54", "55-59", "60-64", "65-69", "70-74", "75-79", "80-84", "85+")</f>
        <v>30-34</v>
      </c>
      <c r="D7681" t="s">
        <v>7</v>
      </c>
    </row>
    <row r="7682" spans="1:4">
      <c r="A7682" t="s">
        <v>6</v>
      </c>
      <c r="B7682">
        <v>27</v>
      </c>
      <c r="C7682" t="str">
        <f>CHOOSE(MATCH(B7682, {20,25,30,35,40,45,50,55,60,65,70,75,80,85}, 1), "20-24", "25-29", "30-34", "35-39", "40-44", "45-49", "50-54", "55-59", "60-64", "65-69", "70-74", "75-79", "80-84", "85+")</f>
        <v>25-29</v>
      </c>
      <c r="D7682" t="s">
        <v>8</v>
      </c>
    </row>
    <row r="7683" spans="1:4">
      <c r="A7683" t="s">
        <v>6</v>
      </c>
      <c r="B7683">
        <v>34</v>
      </c>
      <c r="C7683" t="str">
        <f>CHOOSE(MATCH(B7683, {20,25,30,35,40,45,50,55,60,65,70,75,80,85}, 1), "20-24", "25-29", "30-34", "35-39", "40-44", "45-49", "50-54", "55-59", "60-64", "65-69", "70-74", "75-79", "80-84", "85+")</f>
        <v>30-34</v>
      </c>
      <c r="D7683" t="s">
        <v>8</v>
      </c>
    </row>
    <row r="7684" spans="1:4">
      <c r="A7684" t="s">
        <v>6</v>
      </c>
      <c r="B7684">
        <v>40</v>
      </c>
      <c r="C7684" t="str">
        <f>CHOOSE(MATCH(B7684, {20,25,30,35,40,45,50,55,60,65,70,75,80,85}, 1), "20-24", "25-29", "30-34", "35-39", "40-44", "45-49", "50-54", "55-59", "60-64", "65-69", "70-74", "75-79", "80-84", "85+")</f>
        <v>40-44</v>
      </c>
      <c r="D7684" t="s">
        <v>8</v>
      </c>
    </row>
    <row r="7685" spans="1:4">
      <c r="A7685" t="s">
        <v>6</v>
      </c>
      <c r="B7685">
        <v>71</v>
      </c>
      <c r="C7685" t="str">
        <f>CHOOSE(MATCH(B7685, {20,25,30,35,40,45,50,55,60,65,70,75,80,85}, 1), "20-24", "25-29", "30-34", "35-39", "40-44", "45-49", "50-54", "55-59", "60-64", "65-69", "70-74", "75-79", "80-84", "85+")</f>
        <v>70-74</v>
      </c>
      <c r="D7685" t="s">
        <v>8</v>
      </c>
    </row>
    <row r="7686" spans="1:4">
      <c r="A7686" t="s">
        <v>6</v>
      </c>
      <c r="B7686">
        <v>36</v>
      </c>
      <c r="C7686" t="str">
        <f>CHOOSE(MATCH(B7686, {20,25,30,35,40,45,50,55,60,65,70,75,80,85}, 1), "20-24", "25-29", "30-34", "35-39", "40-44", "45-49", "50-54", "55-59", "60-64", "65-69", "70-74", "75-79", "80-84", "85+")</f>
        <v>35-39</v>
      </c>
      <c r="D7686" t="s">
        <v>8</v>
      </c>
    </row>
    <row r="7687" spans="1:4">
      <c r="A7687" t="s">
        <v>6</v>
      </c>
      <c r="B7687">
        <v>35</v>
      </c>
      <c r="C7687" t="str">
        <f>CHOOSE(MATCH(B7687, {20,25,30,35,40,45,50,55,60,65,70,75,80,85}, 1), "20-24", "25-29", "30-34", "35-39", "40-44", "45-49", "50-54", "55-59", "60-64", "65-69", "70-74", "75-79", "80-84", "85+")</f>
        <v>35-39</v>
      </c>
      <c r="D7687" t="s">
        <v>7</v>
      </c>
    </row>
    <row r="7688" spans="1:4">
      <c r="A7688" t="s">
        <v>6</v>
      </c>
      <c r="B7688">
        <v>58</v>
      </c>
      <c r="C7688" t="str">
        <f>CHOOSE(MATCH(B7688, {20,25,30,35,40,45,50,55,60,65,70,75,80,85}, 1), "20-24", "25-29", "30-34", "35-39", "40-44", "45-49", "50-54", "55-59", "60-64", "65-69", "70-74", "75-79", "80-84", "85+")</f>
        <v>55-59</v>
      </c>
      <c r="D7688" t="s">
        <v>8</v>
      </c>
    </row>
    <row r="7689" spans="1:4">
      <c r="A7689" t="s">
        <v>6</v>
      </c>
      <c r="B7689">
        <v>67</v>
      </c>
      <c r="C7689" t="str">
        <f>CHOOSE(MATCH(B7689, {20,25,30,35,40,45,50,55,60,65,70,75,80,85}, 1), "20-24", "25-29", "30-34", "35-39", "40-44", "45-49", "50-54", "55-59", "60-64", "65-69", "70-74", "75-79", "80-84", "85+")</f>
        <v>65-69</v>
      </c>
      <c r="D7689" t="s">
        <v>7</v>
      </c>
    </row>
    <row r="7690" spans="1:4">
      <c r="A7690" t="s">
        <v>6</v>
      </c>
      <c r="B7690">
        <v>33</v>
      </c>
      <c r="C7690" t="str">
        <f>CHOOSE(MATCH(B7690, {20,25,30,35,40,45,50,55,60,65,70,75,80,85}, 1), "20-24", "25-29", "30-34", "35-39", "40-44", "45-49", "50-54", "55-59", "60-64", "65-69", "70-74", "75-79", "80-84", "85+")</f>
        <v>30-34</v>
      </c>
      <c r="D7690" t="s">
        <v>7</v>
      </c>
    </row>
    <row r="7691" spans="1:4">
      <c r="A7691" t="s">
        <v>6</v>
      </c>
      <c r="B7691">
        <v>27</v>
      </c>
      <c r="C7691" t="str">
        <f>CHOOSE(MATCH(B7691, {20,25,30,35,40,45,50,55,60,65,70,75,80,85}, 1), "20-24", "25-29", "30-34", "35-39", "40-44", "45-49", "50-54", "55-59", "60-64", "65-69", "70-74", "75-79", "80-84", "85+")</f>
        <v>25-29</v>
      </c>
      <c r="D7691" t="s">
        <v>7</v>
      </c>
    </row>
    <row r="7692" spans="1:4">
      <c r="A7692" t="s">
        <v>6</v>
      </c>
      <c r="B7692">
        <v>67</v>
      </c>
      <c r="C7692" t="str">
        <f>CHOOSE(MATCH(B7692, {20,25,30,35,40,45,50,55,60,65,70,75,80,85}, 1), "20-24", "25-29", "30-34", "35-39", "40-44", "45-49", "50-54", "55-59", "60-64", "65-69", "70-74", "75-79", "80-84", "85+")</f>
        <v>65-69</v>
      </c>
      <c r="D7692" t="s">
        <v>8</v>
      </c>
    </row>
    <row r="7693" spans="1:4">
      <c r="A7693" t="s">
        <v>6</v>
      </c>
      <c r="B7693">
        <v>87</v>
      </c>
      <c r="C7693" t="str">
        <f>CHOOSE(MATCH(B7693, {20,25,30,35,40,45,50,55,60,65,70,75,80,85}, 1), "20-24", "25-29", "30-34", "35-39", "40-44", "45-49", "50-54", "55-59", "60-64", "65-69", "70-74", "75-79", "80-84", "85+")</f>
        <v>85+</v>
      </c>
      <c r="D7693" t="s">
        <v>8</v>
      </c>
    </row>
    <row r="7694" spans="1:4">
      <c r="A7694" t="s">
        <v>6</v>
      </c>
      <c r="B7694">
        <v>30</v>
      </c>
      <c r="C7694" t="str">
        <f>CHOOSE(MATCH(B7694, {20,25,30,35,40,45,50,55,60,65,70,75,80,85}, 1), "20-24", "25-29", "30-34", "35-39", "40-44", "45-49", "50-54", "55-59", "60-64", "65-69", "70-74", "75-79", "80-84", "85+")</f>
        <v>30-34</v>
      </c>
      <c r="D7694" t="s">
        <v>8</v>
      </c>
    </row>
    <row r="7695" spans="1:4">
      <c r="A7695" t="s">
        <v>6</v>
      </c>
      <c r="B7695">
        <v>41</v>
      </c>
      <c r="C7695" t="str">
        <f>CHOOSE(MATCH(B7695, {20,25,30,35,40,45,50,55,60,65,70,75,80,85}, 1), "20-24", "25-29", "30-34", "35-39", "40-44", "45-49", "50-54", "55-59", "60-64", "65-69", "70-74", "75-79", "80-84", "85+")</f>
        <v>40-44</v>
      </c>
      <c r="D7695" t="s">
        <v>7</v>
      </c>
    </row>
    <row r="7696" spans="1:4">
      <c r="A7696" t="s">
        <v>6</v>
      </c>
      <c r="B7696">
        <v>28</v>
      </c>
      <c r="C7696" t="str">
        <f>CHOOSE(MATCH(B7696, {20,25,30,35,40,45,50,55,60,65,70,75,80,85}, 1), "20-24", "25-29", "30-34", "35-39", "40-44", "45-49", "50-54", "55-59", "60-64", "65-69", "70-74", "75-79", "80-84", "85+")</f>
        <v>25-29</v>
      </c>
      <c r="D7696" t="s">
        <v>8</v>
      </c>
    </row>
    <row r="7697" spans="1:4">
      <c r="A7697" t="s">
        <v>6</v>
      </c>
      <c r="B7697">
        <v>59</v>
      </c>
      <c r="C7697" t="str">
        <f>CHOOSE(MATCH(B7697, {20,25,30,35,40,45,50,55,60,65,70,75,80,85}, 1), "20-24", "25-29", "30-34", "35-39", "40-44", "45-49", "50-54", "55-59", "60-64", "65-69", "70-74", "75-79", "80-84", "85+")</f>
        <v>55-59</v>
      </c>
      <c r="D7697" t="s">
        <v>8</v>
      </c>
    </row>
    <row r="7698" spans="1:4">
      <c r="A7698" t="s">
        <v>6</v>
      </c>
      <c r="B7698">
        <v>33</v>
      </c>
      <c r="C7698" t="str">
        <f>CHOOSE(MATCH(B7698, {20,25,30,35,40,45,50,55,60,65,70,75,80,85}, 1), "20-24", "25-29", "30-34", "35-39", "40-44", "45-49", "50-54", "55-59", "60-64", "65-69", "70-74", "75-79", "80-84", "85+")</f>
        <v>30-34</v>
      </c>
      <c r="D7698" t="s">
        <v>7</v>
      </c>
    </row>
    <row r="7699" spans="1:4">
      <c r="A7699" t="s">
        <v>6</v>
      </c>
      <c r="B7699">
        <v>38</v>
      </c>
      <c r="C7699" t="str">
        <f>CHOOSE(MATCH(B7699, {20,25,30,35,40,45,50,55,60,65,70,75,80,85}, 1), "20-24", "25-29", "30-34", "35-39", "40-44", "45-49", "50-54", "55-59", "60-64", "65-69", "70-74", "75-79", "80-84", "85+")</f>
        <v>35-39</v>
      </c>
      <c r="D7699" t="s">
        <v>8</v>
      </c>
    </row>
    <row r="7700" spans="1:4">
      <c r="A7700" t="s">
        <v>6</v>
      </c>
      <c r="B7700">
        <v>55</v>
      </c>
      <c r="C7700" t="str">
        <f>CHOOSE(MATCH(B7700, {20,25,30,35,40,45,50,55,60,65,70,75,80,85}, 1), "20-24", "25-29", "30-34", "35-39", "40-44", "45-49", "50-54", "55-59", "60-64", "65-69", "70-74", "75-79", "80-84", "85+")</f>
        <v>55-59</v>
      </c>
      <c r="D7700" t="s">
        <v>8</v>
      </c>
    </row>
    <row r="7701" spans="1:4">
      <c r="A7701" t="s">
        <v>6</v>
      </c>
      <c r="B7701">
        <v>34</v>
      </c>
      <c r="C7701" t="str">
        <f>CHOOSE(MATCH(B7701, {20,25,30,35,40,45,50,55,60,65,70,75,80,85}, 1), "20-24", "25-29", "30-34", "35-39", "40-44", "45-49", "50-54", "55-59", "60-64", "65-69", "70-74", "75-79", "80-84", "85+")</f>
        <v>30-34</v>
      </c>
      <c r="D7701" t="s">
        <v>8</v>
      </c>
    </row>
    <row r="7702" spans="1:4">
      <c r="A7702" t="s">
        <v>6</v>
      </c>
      <c r="B7702">
        <v>23</v>
      </c>
      <c r="C7702" t="str">
        <f>CHOOSE(MATCH(B7702, {20,25,30,35,40,45,50,55,60,65,70,75,80,85}, 1), "20-24", "25-29", "30-34", "35-39", "40-44", "45-49", "50-54", "55-59", "60-64", "65-69", "70-74", "75-79", "80-84", "85+")</f>
        <v>20-24</v>
      </c>
      <c r="D7702" t="s">
        <v>7</v>
      </c>
    </row>
    <row r="7703" spans="1:4">
      <c r="A7703" t="s">
        <v>6</v>
      </c>
      <c r="B7703">
        <v>23</v>
      </c>
      <c r="C7703" t="str">
        <f>CHOOSE(MATCH(B7703, {20,25,30,35,40,45,50,55,60,65,70,75,80,85}, 1), "20-24", "25-29", "30-34", "35-39", "40-44", "45-49", "50-54", "55-59", "60-64", "65-69", "70-74", "75-79", "80-84", "85+")</f>
        <v>20-24</v>
      </c>
      <c r="D7703" t="s">
        <v>7</v>
      </c>
    </row>
    <row r="7704" spans="1:4">
      <c r="A7704" t="s">
        <v>6</v>
      </c>
      <c r="B7704">
        <v>32</v>
      </c>
      <c r="C7704" t="str">
        <f>CHOOSE(MATCH(B7704, {20,25,30,35,40,45,50,55,60,65,70,75,80,85}, 1), "20-24", "25-29", "30-34", "35-39", "40-44", "45-49", "50-54", "55-59", "60-64", "65-69", "70-74", "75-79", "80-84", "85+")</f>
        <v>30-34</v>
      </c>
      <c r="D7704" t="s">
        <v>7</v>
      </c>
    </row>
    <row r="7705" spans="1:4">
      <c r="A7705" t="s">
        <v>6</v>
      </c>
      <c r="B7705">
        <v>66</v>
      </c>
      <c r="C7705" t="str">
        <f>CHOOSE(MATCH(B7705, {20,25,30,35,40,45,50,55,60,65,70,75,80,85}, 1), "20-24", "25-29", "30-34", "35-39", "40-44", "45-49", "50-54", "55-59", "60-64", "65-69", "70-74", "75-79", "80-84", "85+")</f>
        <v>65-69</v>
      </c>
      <c r="D7705" t="s">
        <v>8</v>
      </c>
    </row>
    <row r="7706" spans="1:4">
      <c r="A7706" t="s">
        <v>6</v>
      </c>
      <c r="B7706">
        <v>49</v>
      </c>
      <c r="C7706" t="str">
        <f>CHOOSE(MATCH(B7706, {20,25,30,35,40,45,50,55,60,65,70,75,80,85}, 1), "20-24", "25-29", "30-34", "35-39", "40-44", "45-49", "50-54", "55-59", "60-64", "65-69", "70-74", "75-79", "80-84", "85+")</f>
        <v>45-49</v>
      </c>
      <c r="D7706" t="s">
        <v>8</v>
      </c>
    </row>
    <row r="7707" spans="1:4">
      <c r="A7707" t="s">
        <v>6</v>
      </c>
      <c r="B7707">
        <v>25</v>
      </c>
      <c r="C7707" t="str">
        <f>CHOOSE(MATCH(B7707, {20,25,30,35,40,45,50,55,60,65,70,75,80,85}, 1), "20-24", "25-29", "30-34", "35-39", "40-44", "45-49", "50-54", "55-59", "60-64", "65-69", "70-74", "75-79", "80-84", "85+")</f>
        <v>25-29</v>
      </c>
      <c r="D7707" t="s">
        <v>8</v>
      </c>
    </row>
    <row r="7708" spans="1:4">
      <c r="A7708" t="s">
        <v>6</v>
      </c>
      <c r="B7708">
        <v>36</v>
      </c>
      <c r="C7708" t="str">
        <f>CHOOSE(MATCH(B7708, {20,25,30,35,40,45,50,55,60,65,70,75,80,85}, 1), "20-24", "25-29", "30-34", "35-39", "40-44", "45-49", "50-54", "55-59", "60-64", "65-69", "70-74", "75-79", "80-84", "85+")</f>
        <v>35-39</v>
      </c>
      <c r="D7708" t="s">
        <v>8</v>
      </c>
    </row>
    <row r="7709" spans="1:4">
      <c r="A7709" t="s">
        <v>6</v>
      </c>
      <c r="B7709">
        <v>46</v>
      </c>
      <c r="C7709" t="str">
        <f>CHOOSE(MATCH(B7709, {20,25,30,35,40,45,50,55,60,65,70,75,80,85}, 1), "20-24", "25-29", "30-34", "35-39", "40-44", "45-49", "50-54", "55-59", "60-64", "65-69", "70-74", "75-79", "80-84", "85+")</f>
        <v>45-49</v>
      </c>
      <c r="D7709" t="s">
        <v>8</v>
      </c>
    </row>
    <row r="7710" spans="1:4">
      <c r="A7710" t="s">
        <v>6</v>
      </c>
      <c r="B7710">
        <v>38</v>
      </c>
      <c r="C7710" t="str">
        <f>CHOOSE(MATCH(B7710, {20,25,30,35,40,45,50,55,60,65,70,75,80,85}, 1), "20-24", "25-29", "30-34", "35-39", "40-44", "45-49", "50-54", "55-59", "60-64", "65-69", "70-74", "75-79", "80-84", "85+")</f>
        <v>35-39</v>
      </c>
      <c r="D7710" t="s">
        <v>8</v>
      </c>
    </row>
    <row r="7711" spans="1:4">
      <c r="A7711" t="s">
        <v>6</v>
      </c>
      <c r="B7711">
        <v>40</v>
      </c>
      <c r="C7711" t="str">
        <f>CHOOSE(MATCH(B7711, {20,25,30,35,40,45,50,55,60,65,70,75,80,85}, 1), "20-24", "25-29", "30-34", "35-39", "40-44", "45-49", "50-54", "55-59", "60-64", "65-69", "70-74", "75-79", "80-84", "85+")</f>
        <v>40-44</v>
      </c>
      <c r="D7711" t="s">
        <v>7</v>
      </c>
    </row>
    <row r="7712" spans="1:4">
      <c r="A7712" t="s">
        <v>6</v>
      </c>
      <c r="B7712">
        <v>52</v>
      </c>
      <c r="C7712" t="str">
        <f>CHOOSE(MATCH(B7712, {20,25,30,35,40,45,50,55,60,65,70,75,80,85}, 1), "20-24", "25-29", "30-34", "35-39", "40-44", "45-49", "50-54", "55-59", "60-64", "65-69", "70-74", "75-79", "80-84", "85+")</f>
        <v>50-54</v>
      </c>
      <c r="D7712" t="s">
        <v>7</v>
      </c>
    </row>
    <row r="7713" spans="1:4">
      <c r="A7713" t="s">
        <v>6</v>
      </c>
      <c r="B7713">
        <v>26</v>
      </c>
      <c r="C7713" t="str">
        <f>CHOOSE(MATCH(B7713, {20,25,30,35,40,45,50,55,60,65,70,75,80,85}, 1), "20-24", "25-29", "30-34", "35-39", "40-44", "45-49", "50-54", "55-59", "60-64", "65-69", "70-74", "75-79", "80-84", "85+")</f>
        <v>25-29</v>
      </c>
      <c r="D7713" t="s">
        <v>7</v>
      </c>
    </row>
    <row r="7714" spans="1:4">
      <c r="A7714" t="s">
        <v>6</v>
      </c>
      <c r="B7714">
        <v>29</v>
      </c>
      <c r="C7714" t="str">
        <f>CHOOSE(MATCH(B7714, {20,25,30,35,40,45,50,55,60,65,70,75,80,85}, 1), "20-24", "25-29", "30-34", "35-39", "40-44", "45-49", "50-54", "55-59", "60-64", "65-69", "70-74", "75-79", "80-84", "85+")</f>
        <v>25-29</v>
      </c>
      <c r="D7714" t="s">
        <v>8</v>
      </c>
    </row>
    <row r="7715" spans="1:4">
      <c r="A7715" t="s">
        <v>6</v>
      </c>
      <c r="B7715">
        <v>31</v>
      </c>
      <c r="C7715" t="str">
        <f>CHOOSE(MATCH(B7715, {20,25,30,35,40,45,50,55,60,65,70,75,80,85}, 1), "20-24", "25-29", "30-34", "35-39", "40-44", "45-49", "50-54", "55-59", "60-64", "65-69", "70-74", "75-79", "80-84", "85+")</f>
        <v>30-34</v>
      </c>
      <c r="D7715" t="s">
        <v>7</v>
      </c>
    </row>
    <row r="7716" spans="1:4">
      <c r="A7716" t="s">
        <v>6</v>
      </c>
      <c r="B7716">
        <v>49</v>
      </c>
      <c r="C7716" t="str">
        <f>CHOOSE(MATCH(B7716, {20,25,30,35,40,45,50,55,60,65,70,75,80,85}, 1), "20-24", "25-29", "30-34", "35-39", "40-44", "45-49", "50-54", "55-59", "60-64", "65-69", "70-74", "75-79", "80-84", "85+")</f>
        <v>45-49</v>
      </c>
      <c r="D7716" t="s">
        <v>8</v>
      </c>
    </row>
    <row r="7717" spans="1:4">
      <c r="A7717" t="s">
        <v>6</v>
      </c>
      <c r="B7717">
        <v>45</v>
      </c>
      <c r="C7717" t="str">
        <f>CHOOSE(MATCH(B7717, {20,25,30,35,40,45,50,55,60,65,70,75,80,85}, 1), "20-24", "25-29", "30-34", "35-39", "40-44", "45-49", "50-54", "55-59", "60-64", "65-69", "70-74", "75-79", "80-84", "85+")</f>
        <v>45-49</v>
      </c>
      <c r="D7717" t="s">
        <v>7</v>
      </c>
    </row>
    <row r="7718" spans="1:4">
      <c r="A7718" t="s">
        <v>6</v>
      </c>
      <c r="B7718">
        <v>73</v>
      </c>
      <c r="C7718" t="str">
        <f>CHOOSE(MATCH(B7718, {20,25,30,35,40,45,50,55,60,65,70,75,80,85}, 1), "20-24", "25-29", "30-34", "35-39", "40-44", "45-49", "50-54", "55-59", "60-64", "65-69", "70-74", "75-79", "80-84", "85+")</f>
        <v>70-74</v>
      </c>
      <c r="D7718" t="s">
        <v>7</v>
      </c>
    </row>
    <row r="7719" spans="1:4">
      <c r="A7719" t="s">
        <v>6</v>
      </c>
      <c r="B7719">
        <v>42</v>
      </c>
      <c r="C7719" t="str">
        <f>CHOOSE(MATCH(B7719, {20,25,30,35,40,45,50,55,60,65,70,75,80,85}, 1), "20-24", "25-29", "30-34", "35-39", "40-44", "45-49", "50-54", "55-59", "60-64", "65-69", "70-74", "75-79", "80-84", "85+")</f>
        <v>40-44</v>
      </c>
      <c r="D7719" t="s">
        <v>8</v>
      </c>
    </row>
    <row r="7720" spans="1:4">
      <c r="A7720" t="s">
        <v>6</v>
      </c>
      <c r="B7720">
        <v>37</v>
      </c>
      <c r="C7720" t="str">
        <f>CHOOSE(MATCH(B7720, {20,25,30,35,40,45,50,55,60,65,70,75,80,85}, 1), "20-24", "25-29", "30-34", "35-39", "40-44", "45-49", "50-54", "55-59", "60-64", "65-69", "70-74", "75-79", "80-84", "85+")</f>
        <v>35-39</v>
      </c>
      <c r="D7720" t="s">
        <v>7</v>
      </c>
    </row>
    <row r="7721" spans="1:4">
      <c r="A7721" t="s">
        <v>6</v>
      </c>
      <c r="B7721">
        <v>25</v>
      </c>
      <c r="C7721" t="str">
        <f>CHOOSE(MATCH(B7721, {20,25,30,35,40,45,50,55,60,65,70,75,80,85}, 1), "20-24", "25-29", "30-34", "35-39", "40-44", "45-49", "50-54", "55-59", "60-64", "65-69", "70-74", "75-79", "80-84", "85+")</f>
        <v>25-29</v>
      </c>
      <c r="D7721" t="s">
        <v>7</v>
      </c>
    </row>
    <row r="7722" spans="1:4">
      <c r="A7722" t="s">
        <v>6</v>
      </c>
      <c r="B7722">
        <v>52</v>
      </c>
      <c r="C7722" t="str">
        <f>CHOOSE(MATCH(B7722, {20,25,30,35,40,45,50,55,60,65,70,75,80,85}, 1), "20-24", "25-29", "30-34", "35-39", "40-44", "45-49", "50-54", "55-59", "60-64", "65-69", "70-74", "75-79", "80-84", "85+")</f>
        <v>50-54</v>
      </c>
      <c r="D7722" t="s">
        <v>7</v>
      </c>
    </row>
    <row r="7723" spans="1:4">
      <c r="A7723" t="s">
        <v>6</v>
      </c>
      <c r="B7723">
        <v>54</v>
      </c>
      <c r="C7723" t="str">
        <f>CHOOSE(MATCH(B7723, {20,25,30,35,40,45,50,55,60,65,70,75,80,85}, 1), "20-24", "25-29", "30-34", "35-39", "40-44", "45-49", "50-54", "55-59", "60-64", "65-69", "70-74", "75-79", "80-84", "85+")</f>
        <v>50-54</v>
      </c>
      <c r="D7723" t="s">
        <v>7</v>
      </c>
    </row>
    <row r="7724" spans="1:4">
      <c r="A7724" t="s">
        <v>6</v>
      </c>
      <c r="B7724">
        <v>38</v>
      </c>
      <c r="C7724" t="str">
        <f>CHOOSE(MATCH(B7724, {20,25,30,35,40,45,50,55,60,65,70,75,80,85}, 1), "20-24", "25-29", "30-34", "35-39", "40-44", "45-49", "50-54", "55-59", "60-64", "65-69", "70-74", "75-79", "80-84", "85+")</f>
        <v>35-39</v>
      </c>
      <c r="D7724" t="s">
        <v>7</v>
      </c>
    </row>
    <row r="7725" spans="1:4">
      <c r="A7725" t="s">
        <v>6</v>
      </c>
      <c r="B7725">
        <v>46</v>
      </c>
      <c r="C7725" t="str">
        <f>CHOOSE(MATCH(B7725, {20,25,30,35,40,45,50,55,60,65,70,75,80,85}, 1), "20-24", "25-29", "30-34", "35-39", "40-44", "45-49", "50-54", "55-59", "60-64", "65-69", "70-74", "75-79", "80-84", "85+")</f>
        <v>45-49</v>
      </c>
      <c r="D7725" t="s">
        <v>7</v>
      </c>
    </row>
    <row r="7726" spans="1:4">
      <c r="A7726" t="s">
        <v>6</v>
      </c>
      <c r="B7726">
        <v>34</v>
      </c>
      <c r="C7726" t="str">
        <f>CHOOSE(MATCH(B7726, {20,25,30,35,40,45,50,55,60,65,70,75,80,85}, 1), "20-24", "25-29", "30-34", "35-39", "40-44", "45-49", "50-54", "55-59", "60-64", "65-69", "70-74", "75-79", "80-84", "85+")</f>
        <v>30-34</v>
      </c>
      <c r="D7726" t="s">
        <v>7</v>
      </c>
    </row>
    <row r="7727" spans="1:4">
      <c r="A7727" t="s">
        <v>6</v>
      </c>
      <c r="B7727">
        <v>79</v>
      </c>
      <c r="C7727" t="str">
        <f>CHOOSE(MATCH(B7727, {20,25,30,35,40,45,50,55,60,65,70,75,80,85}, 1), "20-24", "25-29", "30-34", "35-39", "40-44", "45-49", "50-54", "55-59", "60-64", "65-69", "70-74", "75-79", "80-84", "85+")</f>
        <v>75-79</v>
      </c>
      <c r="D7727" t="s">
        <v>7</v>
      </c>
    </row>
    <row r="7728" spans="1:4">
      <c r="A7728" t="s">
        <v>6</v>
      </c>
      <c r="B7728">
        <v>67</v>
      </c>
      <c r="C7728" t="str">
        <f>CHOOSE(MATCH(B7728, {20,25,30,35,40,45,50,55,60,65,70,75,80,85}, 1), "20-24", "25-29", "30-34", "35-39", "40-44", "45-49", "50-54", "55-59", "60-64", "65-69", "70-74", "75-79", "80-84", "85+")</f>
        <v>65-69</v>
      </c>
      <c r="D7728" t="s">
        <v>7</v>
      </c>
    </row>
    <row r="7729" spans="1:4">
      <c r="A7729" t="s">
        <v>6</v>
      </c>
      <c r="B7729">
        <v>44</v>
      </c>
      <c r="C7729" t="str">
        <f>CHOOSE(MATCH(B7729, {20,25,30,35,40,45,50,55,60,65,70,75,80,85}, 1), "20-24", "25-29", "30-34", "35-39", "40-44", "45-49", "50-54", "55-59", "60-64", "65-69", "70-74", "75-79", "80-84", "85+")</f>
        <v>40-44</v>
      </c>
      <c r="D7729" t="s">
        <v>7</v>
      </c>
    </row>
    <row r="7730" spans="1:4">
      <c r="A7730" t="s">
        <v>6</v>
      </c>
      <c r="B7730">
        <v>21</v>
      </c>
      <c r="C7730" t="str">
        <f>CHOOSE(MATCH(B7730, {20,25,30,35,40,45,50,55,60,65,70,75,80,85}, 1), "20-24", "25-29", "30-34", "35-39", "40-44", "45-49", "50-54", "55-59", "60-64", "65-69", "70-74", "75-79", "80-84", "85+")</f>
        <v>20-24</v>
      </c>
      <c r="D7730" t="s">
        <v>7</v>
      </c>
    </row>
    <row r="7731" spans="1:4">
      <c r="A7731" t="s">
        <v>6</v>
      </c>
      <c r="B7731">
        <v>39</v>
      </c>
      <c r="C7731" t="str">
        <f>CHOOSE(MATCH(B7731, {20,25,30,35,40,45,50,55,60,65,70,75,80,85}, 1), "20-24", "25-29", "30-34", "35-39", "40-44", "45-49", "50-54", "55-59", "60-64", "65-69", "70-74", "75-79", "80-84", "85+")</f>
        <v>35-39</v>
      </c>
      <c r="D7731" t="s">
        <v>7</v>
      </c>
    </row>
    <row r="7732" spans="1:4">
      <c r="A7732" t="s">
        <v>6</v>
      </c>
      <c r="B7732">
        <v>34</v>
      </c>
      <c r="C7732" t="str">
        <f>CHOOSE(MATCH(B7732, {20,25,30,35,40,45,50,55,60,65,70,75,80,85}, 1), "20-24", "25-29", "30-34", "35-39", "40-44", "45-49", "50-54", "55-59", "60-64", "65-69", "70-74", "75-79", "80-84", "85+")</f>
        <v>30-34</v>
      </c>
      <c r="D7732" t="s">
        <v>8</v>
      </c>
    </row>
    <row r="7733" spans="1:4">
      <c r="A7733" t="s">
        <v>6</v>
      </c>
      <c r="B7733">
        <v>45</v>
      </c>
      <c r="C7733" t="str">
        <f>CHOOSE(MATCH(B7733, {20,25,30,35,40,45,50,55,60,65,70,75,80,85}, 1), "20-24", "25-29", "30-34", "35-39", "40-44", "45-49", "50-54", "55-59", "60-64", "65-69", "70-74", "75-79", "80-84", "85+")</f>
        <v>45-49</v>
      </c>
      <c r="D7733" t="s">
        <v>8</v>
      </c>
    </row>
    <row r="7734" spans="1:4">
      <c r="A7734" t="s">
        <v>6</v>
      </c>
      <c r="B7734">
        <v>31</v>
      </c>
      <c r="C7734" t="str">
        <f>CHOOSE(MATCH(B7734, {20,25,30,35,40,45,50,55,60,65,70,75,80,85}, 1), "20-24", "25-29", "30-34", "35-39", "40-44", "45-49", "50-54", "55-59", "60-64", "65-69", "70-74", "75-79", "80-84", "85+")</f>
        <v>30-34</v>
      </c>
      <c r="D7734" t="s">
        <v>7</v>
      </c>
    </row>
    <row r="7735" spans="1:4">
      <c r="A7735" t="s">
        <v>6</v>
      </c>
      <c r="B7735">
        <v>43</v>
      </c>
      <c r="C7735" t="str">
        <f>CHOOSE(MATCH(B7735, {20,25,30,35,40,45,50,55,60,65,70,75,80,85}, 1), "20-24", "25-29", "30-34", "35-39", "40-44", "45-49", "50-54", "55-59", "60-64", "65-69", "70-74", "75-79", "80-84", "85+")</f>
        <v>40-44</v>
      </c>
      <c r="D7735" t="s">
        <v>7</v>
      </c>
    </row>
    <row r="7736" spans="1:4">
      <c r="A7736" t="s">
        <v>6</v>
      </c>
      <c r="B7736">
        <v>56</v>
      </c>
      <c r="C7736" t="str">
        <f>CHOOSE(MATCH(B7736, {20,25,30,35,40,45,50,55,60,65,70,75,80,85}, 1), "20-24", "25-29", "30-34", "35-39", "40-44", "45-49", "50-54", "55-59", "60-64", "65-69", "70-74", "75-79", "80-84", "85+")</f>
        <v>55-59</v>
      </c>
      <c r="D7736" t="s">
        <v>8</v>
      </c>
    </row>
    <row r="7737" spans="1:4">
      <c r="A7737" t="s">
        <v>6</v>
      </c>
      <c r="B7737">
        <v>40</v>
      </c>
      <c r="C7737" t="str">
        <f>CHOOSE(MATCH(B7737, {20,25,30,35,40,45,50,55,60,65,70,75,80,85}, 1), "20-24", "25-29", "30-34", "35-39", "40-44", "45-49", "50-54", "55-59", "60-64", "65-69", "70-74", "75-79", "80-84", "85+")</f>
        <v>40-44</v>
      </c>
      <c r="D7737" t="s">
        <v>7</v>
      </c>
    </row>
    <row r="7738" spans="1:4">
      <c r="A7738" t="s">
        <v>6</v>
      </c>
      <c r="B7738">
        <v>92</v>
      </c>
      <c r="C7738" t="str">
        <f>CHOOSE(MATCH(B7738, {20,25,30,35,40,45,50,55,60,65,70,75,80,85}, 1), "20-24", "25-29", "30-34", "35-39", "40-44", "45-49", "50-54", "55-59", "60-64", "65-69", "70-74", "75-79", "80-84", "85+")</f>
        <v>85+</v>
      </c>
      <c r="D7738" t="s">
        <v>7</v>
      </c>
    </row>
    <row r="7739" spans="1:4">
      <c r="A7739" t="s">
        <v>6</v>
      </c>
      <c r="B7739">
        <v>37</v>
      </c>
      <c r="C7739" t="str">
        <f>CHOOSE(MATCH(B7739, {20,25,30,35,40,45,50,55,60,65,70,75,80,85}, 1), "20-24", "25-29", "30-34", "35-39", "40-44", "45-49", "50-54", "55-59", "60-64", "65-69", "70-74", "75-79", "80-84", "85+")</f>
        <v>35-39</v>
      </c>
      <c r="D7739" t="s">
        <v>7</v>
      </c>
    </row>
    <row r="7740" spans="1:4">
      <c r="A7740" t="s">
        <v>6</v>
      </c>
      <c r="B7740">
        <v>28</v>
      </c>
      <c r="C7740" t="str">
        <f>CHOOSE(MATCH(B7740, {20,25,30,35,40,45,50,55,60,65,70,75,80,85}, 1), "20-24", "25-29", "30-34", "35-39", "40-44", "45-49", "50-54", "55-59", "60-64", "65-69", "70-74", "75-79", "80-84", "85+")</f>
        <v>25-29</v>
      </c>
      <c r="D7740" t="s">
        <v>7</v>
      </c>
    </row>
    <row r="7741" spans="1:4">
      <c r="A7741" t="s">
        <v>6</v>
      </c>
      <c r="B7741">
        <v>22</v>
      </c>
      <c r="C7741" t="str">
        <f>CHOOSE(MATCH(B7741, {20,25,30,35,40,45,50,55,60,65,70,75,80,85}, 1), "20-24", "25-29", "30-34", "35-39", "40-44", "45-49", "50-54", "55-59", "60-64", "65-69", "70-74", "75-79", "80-84", "85+")</f>
        <v>20-24</v>
      </c>
      <c r="D7741" t="s">
        <v>7</v>
      </c>
    </row>
    <row r="7742" spans="1:4">
      <c r="A7742" t="s">
        <v>6</v>
      </c>
      <c r="B7742">
        <v>25</v>
      </c>
      <c r="C7742" t="str">
        <f>CHOOSE(MATCH(B7742, {20,25,30,35,40,45,50,55,60,65,70,75,80,85}, 1), "20-24", "25-29", "30-34", "35-39", "40-44", "45-49", "50-54", "55-59", "60-64", "65-69", "70-74", "75-79", "80-84", "85+")</f>
        <v>25-29</v>
      </c>
      <c r="D7742" t="s">
        <v>7</v>
      </c>
    </row>
    <row r="7743" spans="1:4">
      <c r="A7743" t="s">
        <v>6</v>
      </c>
      <c r="B7743">
        <v>59</v>
      </c>
      <c r="C7743" t="str">
        <f>CHOOSE(MATCH(B7743, {20,25,30,35,40,45,50,55,60,65,70,75,80,85}, 1), "20-24", "25-29", "30-34", "35-39", "40-44", "45-49", "50-54", "55-59", "60-64", "65-69", "70-74", "75-79", "80-84", "85+")</f>
        <v>55-59</v>
      </c>
      <c r="D7743" t="s">
        <v>8</v>
      </c>
    </row>
    <row r="7744" spans="1:4">
      <c r="A7744" t="s">
        <v>6</v>
      </c>
      <c r="B7744">
        <v>33</v>
      </c>
      <c r="C7744" t="str">
        <f>CHOOSE(MATCH(B7744, {20,25,30,35,40,45,50,55,60,65,70,75,80,85}, 1), "20-24", "25-29", "30-34", "35-39", "40-44", "45-49", "50-54", "55-59", "60-64", "65-69", "70-74", "75-79", "80-84", "85+")</f>
        <v>30-34</v>
      </c>
      <c r="D7744" t="s">
        <v>7</v>
      </c>
    </row>
    <row r="7745" spans="1:4">
      <c r="A7745" t="s">
        <v>6</v>
      </c>
      <c r="B7745">
        <v>65</v>
      </c>
      <c r="C7745" t="str">
        <f>CHOOSE(MATCH(B7745, {20,25,30,35,40,45,50,55,60,65,70,75,80,85}, 1), "20-24", "25-29", "30-34", "35-39", "40-44", "45-49", "50-54", "55-59", "60-64", "65-69", "70-74", "75-79", "80-84", "85+")</f>
        <v>65-69</v>
      </c>
      <c r="D7745" t="s">
        <v>7</v>
      </c>
    </row>
    <row r="7746" spans="1:4">
      <c r="A7746" t="s">
        <v>6</v>
      </c>
      <c r="B7746">
        <v>22</v>
      </c>
      <c r="C7746" t="str">
        <f>CHOOSE(MATCH(B7746, {20,25,30,35,40,45,50,55,60,65,70,75,80,85}, 1), "20-24", "25-29", "30-34", "35-39", "40-44", "45-49", "50-54", "55-59", "60-64", "65-69", "70-74", "75-79", "80-84", "85+")</f>
        <v>20-24</v>
      </c>
      <c r="D7746" t="s">
        <v>8</v>
      </c>
    </row>
    <row r="7747" spans="1:4">
      <c r="A7747" t="s">
        <v>6</v>
      </c>
      <c r="B7747">
        <v>33</v>
      </c>
      <c r="C7747" t="str">
        <f>CHOOSE(MATCH(B7747, {20,25,30,35,40,45,50,55,60,65,70,75,80,85}, 1), "20-24", "25-29", "30-34", "35-39", "40-44", "45-49", "50-54", "55-59", "60-64", "65-69", "70-74", "75-79", "80-84", "85+")</f>
        <v>30-34</v>
      </c>
      <c r="D7747" t="s">
        <v>7</v>
      </c>
    </row>
    <row r="7748" spans="1:4">
      <c r="A7748" t="s">
        <v>6</v>
      </c>
      <c r="B7748">
        <v>35</v>
      </c>
      <c r="C7748" t="str">
        <f>CHOOSE(MATCH(B7748, {20,25,30,35,40,45,50,55,60,65,70,75,80,85}, 1), "20-24", "25-29", "30-34", "35-39", "40-44", "45-49", "50-54", "55-59", "60-64", "65-69", "70-74", "75-79", "80-84", "85+")</f>
        <v>35-39</v>
      </c>
      <c r="D7748" t="s">
        <v>7</v>
      </c>
    </row>
    <row r="7749" spans="1:4">
      <c r="A7749" t="s">
        <v>6</v>
      </c>
      <c r="B7749">
        <v>25</v>
      </c>
      <c r="C7749" t="str">
        <f>CHOOSE(MATCH(B7749, {20,25,30,35,40,45,50,55,60,65,70,75,80,85}, 1), "20-24", "25-29", "30-34", "35-39", "40-44", "45-49", "50-54", "55-59", "60-64", "65-69", "70-74", "75-79", "80-84", "85+")</f>
        <v>25-29</v>
      </c>
      <c r="D7749" t="s">
        <v>7</v>
      </c>
    </row>
    <row r="7750" spans="1:4">
      <c r="A7750" t="s">
        <v>6</v>
      </c>
      <c r="B7750">
        <v>44</v>
      </c>
      <c r="C7750" t="str">
        <f>CHOOSE(MATCH(B7750, {20,25,30,35,40,45,50,55,60,65,70,75,80,85}, 1), "20-24", "25-29", "30-34", "35-39", "40-44", "45-49", "50-54", "55-59", "60-64", "65-69", "70-74", "75-79", "80-84", "85+")</f>
        <v>40-44</v>
      </c>
      <c r="D7750" t="s">
        <v>8</v>
      </c>
    </row>
    <row r="7751" spans="1:4">
      <c r="A7751" t="s">
        <v>6</v>
      </c>
      <c r="B7751">
        <v>39</v>
      </c>
      <c r="C7751" t="str">
        <f>CHOOSE(MATCH(B7751, {20,25,30,35,40,45,50,55,60,65,70,75,80,85}, 1), "20-24", "25-29", "30-34", "35-39", "40-44", "45-49", "50-54", "55-59", "60-64", "65-69", "70-74", "75-79", "80-84", "85+")</f>
        <v>35-39</v>
      </c>
      <c r="D7751" t="s">
        <v>7</v>
      </c>
    </row>
    <row r="7752" spans="1:4">
      <c r="A7752" t="s">
        <v>6</v>
      </c>
      <c r="B7752">
        <v>41</v>
      </c>
      <c r="C7752" t="str">
        <f>CHOOSE(MATCH(B7752, {20,25,30,35,40,45,50,55,60,65,70,75,80,85}, 1), "20-24", "25-29", "30-34", "35-39", "40-44", "45-49", "50-54", "55-59", "60-64", "65-69", "70-74", "75-79", "80-84", "85+")</f>
        <v>40-44</v>
      </c>
      <c r="D7752" t="s">
        <v>8</v>
      </c>
    </row>
    <row r="7753" spans="1:4">
      <c r="A7753" t="s">
        <v>6</v>
      </c>
      <c r="B7753">
        <v>23</v>
      </c>
      <c r="C7753" t="str">
        <f>CHOOSE(MATCH(B7753, {20,25,30,35,40,45,50,55,60,65,70,75,80,85}, 1), "20-24", "25-29", "30-34", "35-39", "40-44", "45-49", "50-54", "55-59", "60-64", "65-69", "70-74", "75-79", "80-84", "85+")</f>
        <v>20-24</v>
      </c>
      <c r="D7753" t="s">
        <v>7</v>
      </c>
    </row>
    <row r="7754" spans="1:4">
      <c r="A7754" t="s">
        <v>6</v>
      </c>
      <c r="B7754">
        <v>77</v>
      </c>
      <c r="C7754" t="str">
        <f>CHOOSE(MATCH(B7754, {20,25,30,35,40,45,50,55,60,65,70,75,80,85}, 1), "20-24", "25-29", "30-34", "35-39", "40-44", "45-49", "50-54", "55-59", "60-64", "65-69", "70-74", "75-79", "80-84", "85+")</f>
        <v>75-79</v>
      </c>
      <c r="D7754" t="s">
        <v>8</v>
      </c>
    </row>
    <row r="7755" spans="1:4">
      <c r="A7755" t="s">
        <v>6</v>
      </c>
      <c r="B7755">
        <v>30</v>
      </c>
      <c r="C7755" t="str">
        <f>CHOOSE(MATCH(B7755, {20,25,30,35,40,45,50,55,60,65,70,75,80,85}, 1), "20-24", "25-29", "30-34", "35-39", "40-44", "45-49", "50-54", "55-59", "60-64", "65-69", "70-74", "75-79", "80-84", "85+")</f>
        <v>30-34</v>
      </c>
      <c r="D7755" t="s">
        <v>7</v>
      </c>
    </row>
    <row r="7756" spans="1:4">
      <c r="A7756" t="s">
        <v>6</v>
      </c>
      <c r="B7756">
        <v>26</v>
      </c>
      <c r="C7756" t="str">
        <f>CHOOSE(MATCH(B7756, {20,25,30,35,40,45,50,55,60,65,70,75,80,85}, 1), "20-24", "25-29", "30-34", "35-39", "40-44", "45-49", "50-54", "55-59", "60-64", "65-69", "70-74", "75-79", "80-84", "85+")</f>
        <v>25-29</v>
      </c>
      <c r="D7756" t="s">
        <v>7</v>
      </c>
    </row>
    <row r="7757" spans="1:4">
      <c r="A7757" t="s">
        <v>6</v>
      </c>
      <c r="B7757">
        <v>44</v>
      </c>
      <c r="C7757" t="str">
        <f>CHOOSE(MATCH(B7757, {20,25,30,35,40,45,50,55,60,65,70,75,80,85}, 1), "20-24", "25-29", "30-34", "35-39", "40-44", "45-49", "50-54", "55-59", "60-64", "65-69", "70-74", "75-79", "80-84", "85+")</f>
        <v>40-44</v>
      </c>
      <c r="D7757" t="s">
        <v>7</v>
      </c>
    </row>
    <row r="7758" spans="1:4">
      <c r="A7758" t="s">
        <v>6</v>
      </c>
      <c r="B7758">
        <v>48</v>
      </c>
      <c r="C7758" t="str">
        <f>CHOOSE(MATCH(B7758, {20,25,30,35,40,45,50,55,60,65,70,75,80,85}, 1), "20-24", "25-29", "30-34", "35-39", "40-44", "45-49", "50-54", "55-59", "60-64", "65-69", "70-74", "75-79", "80-84", "85+")</f>
        <v>45-49</v>
      </c>
      <c r="D7758" t="s">
        <v>7</v>
      </c>
    </row>
    <row r="7759" spans="1:4">
      <c r="A7759" t="s">
        <v>6</v>
      </c>
      <c r="B7759">
        <v>26</v>
      </c>
      <c r="C7759" t="str">
        <f>CHOOSE(MATCH(B7759, {20,25,30,35,40,45,50,55,60,65,70,75,80,85}, 1), "20-24", "25-29", "30-34", "35-39", "40-44", "45-49", "50-54", "55-59", "60-64", "65-69", "70-74", "75-79", "80-84", "85+")</f>
        <v>25-29</v>
      </c>
      <c r="D7759" t="s">
        <v>7</v>
      </c>
    </row>
    <row r="7760" spans="1:4">
      <c r="A7760" t="s">
        <v>6</v>
      </c>
      <c r="B7760">
        <v>31</v>
      </c>
      <c r="C7760" t="str">
        <f>CHOOSE(MATCH(B7760, {20,25,30,35,40,45,50,55,60,65,70,75,80,85}, 1), "20-24", "25-29", "30-34", "35-39", "40-44", "45-49", "50-54", "55-59", "60-64", "65-69", "70-74", "75-79", "80-84", "85+")</f>
        <v>30-34</v>
      </c>
      <c r="D7760" t="s">
        <v>8</v>
      </c>
    </row>
    <row r="7761" spans="1:4">
      <c r="A7761" t="s">
        <v>6</v>
      </c>
      <c r="B7761">
        <v>26</v>
      </c>
      <c r="C7761" t="str">
        <f>CHOOSE(MATCH(B7761, {20,25,30,35,40,45,50,55,60,65,70,75,80,85}, 1), "20-24", "25-29", "30-34", "35-39", "40-44", "45-49", "50-54", "55-59", "60-64", "65-69", "70-74", "75-79", "80-84", "85+")</f>
        <v>25-29</v>
      </c>
      <c r="D7761" t="s">
        <v>7</v>
      </c>
    </row>
    <row r="7762" spans="1:4">
      <c r="A7762" t="s">
        <v>6</v>
      </c>
      <c r="B7762">
        <v>38</v>
      </c>
      <c r="C7762" t="str">
        <f>CHOOSE(MATCH(B7762, {20,25,30,35,40,45,50,55,60,65,70,75,80,85}, 1), "20-24", "25-29", "30-34", "35-39", "40-44", "45-49", "50-54", "55-59", "60-64", "65-69", "70-74", "75-79", "80-84", "85+")</f>
        <v>35-39</v>
      </c>
      <c r="D7762" t="s">
        <v>7</v>
      </c>
    </row>
    <row r="7763" spans="1:4">
      <c r="A7763" t="s">
        <v>6</v>
      </c>
      <c r="B7763">
        <v>24</v>
      </c>
      <c r="C7763" t="str">
        <f>CHOOSE(MATCH(B7763, {20,25,30,35,40,45,50,55,60,65,70,75,80,85}, 1), "20-24", "25-29", "30-34", "35-39", "40-44", "45-49", "50-54", "55-59", "60-64", "65-69", "70-74", "75-79", "80-84", "85+")</f>
        <v>20-24</v>
      </c>
      <c r="D7763" t="s">
        <v>7</v>
      </c>
    </row>
    <row r="7764" spans="1:4">
      <c r="A7764" t="s">
        <v>6</v>
      </c>
      <c r="B7764">
        <v>27</v>
      </c>
      <c r="C7764" t="str">
        <f>CHOOSE(MATCH(B7764, {20,25,30,35,40,45,50,55,60,65,70,75,80,85}, 1), "20-24", "25-29", "30-34", "35-39", "40-44", "45-49", "50-54", "55-59", "60-64", "65-69", "70-74", "75-79", "80-84", "85+")</f>
        <v>25-29</v>
      </c>
      <c r="D7764" t="s">
        <v>7</v>
      </c>
    </row>
    <row r="7765" spans="1:4">
      <c r="A7765" t="s">
        <v>6</v>
      </c>
      <c r="B7765">
        <v>87</v>
      </c>
      <c r="C7765" t="str">
        <f>CHOOSE(MATCH(B7765, {20,25,30,35,40,45,50,55,60,65,70,75,80,85}, 1), "20-24", "25-29", "30-34", "35-39", "40-44", "45-49", "50-54", "55-59", "60-64", "65-69", "70-74", "75-79", "80-84", "85+")</f>
        <v>85+</v>
      </c>
      <c r="D7765" t="s">
        <v>8</v>
      </c>
    </row>
    <row r="7766" spans="1:4">
      <c r="A7766" t="s">
        <v>6</v>
      </c>
      <c r="B7766">
        <v>28</v>
      </c>
      <c r="C7766" t="str">
        <f>CHOOSE(MATCH(B7766, {20,25,30,35,40,45,50,55,60,65,70,75,80,85}, 1), "20-24", "25-29", "30-34", "35-39", "40-44", "45-49", "50-54", "55-59", "60-64", "65-69", "70-74", "75-79", "80-84", "85+")</f>
        <v>25-29</v>
      </c>
      <c r="D7766" t="s">
        <v>7</v>
      </c>
    </row>
    <row r="7767" spans="1:4">
      <c r="A7767" t="s">
        <v>6</v>
      </c>
      <c r="B7767">
        <v>51</v>
      </c>
      <c r="C7767" t="str">
        <f>CHOOSE(MATCH(B7767, {20,25,30,35,40,45,50,55,60,65,70,75,80,85}, 1), "20-24", "25-29", "30-34", "35-39", "40-44", "45-49", "50-54", "55-59", "60-64", "65-69", "70-74", "75-79", "80-84", "85+")</f>
        <v>50-54</v>
      </c>
      <c r="D7767" t="s">
        <v>8</v>
      </c>
    </row>
    <row r="7768" spans="1:4">
      <c r="A7768" t="s">
        <v>6</v>
      </c>
      <c r="B7768">
        <v>49</v>
      </c>
      <c r="C7768" t="str">
        <f>CHOOSE(MATCH(B7768, {20,25,30,35,40,45,50,55,60,65,70,75,80,85}, 1), "20-24", "25-29", "30-34", "35-39", "40-44", "45-49", "50-54", "55-59", "60-64", "65-69", "70-74", "75-79", "80-84", "85+")</f>
        <v>45-49</v>
      </c>
      <c r="D7768" t="s">
        <v>7</v>
      </c>
    </row>
    <row r="7769" spans="1:4">
      <c r="A7769" t="s">
        <v>6</v>
      </c>
      <c r="B7769">
        <v>28</v>
      </c>
      <c r="C7769" t="str">
        <f>CHOOSE(MATCH(B7769, {20,25,30,35,40,45,50,55,60,65,70,75,80,85}, 1), "20-24", "25-29", "30-34", "35-39", "40-44", "45-49", "50-54", "55-59", "60-64", "65-69", "70-74", "75-79", "80-84", "85+")</f>
        <v>25-29</v>
      </c>
      <c r="D7769" t="s">
        <v>7</v>
      </c>
    </row>
    <row r="7770" spans="1:4">
      <c r="A7770" t="s">
        <v>6</v>
      </c>
      <c r="B7770">
        <v>28</v>
      </c>
      <c r="C7770" t="str">
        <f>CHOOSE(MATCH(B7770, {20,25,30,35,40,45,50,55,60,65,70,75,80,85}, 1), "20-24", "25-29", "30-34", "35-39", "40-44", "45-49", "50-54", "55-59", "60-64", "65-69", "70-74", "75-79", "80-84", "85+")</f>
        <v>25-29</v>
      </c>
      <c r="D7770" t="s">
        <v>7</v>
      </c>
    </row>
    <row r="7771" spans="1:4">
      <c r="A7771" t="s">
        <v>6</v>
      </c>
      <c r="B7771">
        <v>33</v>
      </c>
      <c r="C7771" t="str">
        <f>CHOOSE(MATCH(B7771, {20,25,30,35,40,45,50,55,60,65,70,75,80,85}, 1), "20-24", "25-29", "30-34", "35-39", "40-44", "45-49", "50-54", "55-59", "60-64", "65-69", "70-74", "75-79", "80-84", "85+")</f>
        <v>30-34</v>
      </c>
      <c r="D7771" t="s">
        <v>7</v>
      </c>
    </row>
    <row r="7772" spans="1:4">
      <c r="A7772" t="s">
        <v>6</v>
      </c>
      <c r="B7772">
        <v>60</v>
      </c>
      <c r="C7772" t="str">
        <f>CHOOSE(MATCH(B7772, {20,25,30,35,40,45,50,55,60,65,70,75,80,85}, 1), "20-24", "25-29", "30-34", "35-39", "40-44", "45-49", "50-54", "55-59", "60-64", "65-69", "70-74", "75-79", "80-84", "85+")</f>
        <v>60-64</v>
      </c>
      <c r="D7772" t="s">
        <v>8</v>
      </c>
    </row>
    <row r="7773" spans="1:4">
      <c r="A7773" t="s">
        <v>6</v>
      </c>
      <c r="B7773">
        <v>43</v>
      </c>
      <c r="C7773" t="str">
        <f>CHOOSE(MATCH(B7773, {20,25,30,35,40,45,50,55,60,65,70,75,80,85}, 1), "20-24", "25-29", "30-34", "35-39", "40-44", "45-49", "50-54", "55-59", "60-64", "65-69", "70-74", "75-79", "80-84", "85+")</f>
        <v>40-44</v>
      </c>
      <c r="D7773" t="s">
        <v>8</v>
      </c>
    </row>
    <row r="7774" spans="1:4">
      <c r="A7774" t="s">
        <v>6</v>
      </c>
      <c r="B7774">
        <v>49</v>
      </c>
      <c r="C7774" t="str">
        <f>CHOOSE(MATCH(B7774, {20,25,30,35,40,45,50,55,60,65,70,75,80,85}, 1), "20-24", "25-29", "30-34", "35-39", "40-44", "45-49", "50-54", "55-59", "60-64", "65-69", "70-74", "75-79", "80-84", "85+")</f>
        <v>45-49</v>
      </c>
      <c r="D7774" t="s">
        <v>8</v>
      </c>
    </row>
    <row r="7775" spans="1:4">
      <c r="A7775" t="s">
        <v>6</v>
      </c>
      <c r="B7775">
        <v>81</v>
      </c>
      <c r="C7775" t="str">
        <f>CHOOSE(MATCH(B7775, {20,25,30,35,40,45,50,55,60,65,70,75,80,85}, 1), "20-24", "25-29", "30-34", "35-39", "40-44", "45-49", "50-54", "55-59", "60-64", "65-69", "70-74", "75-79", "80-84", "85+")</f>
        <v>80-84</v>
      </c>
      <c r="D7775" t="s">
        <v>7</v>
      </c>
    </row>
    <row r="7776" spans="1:4">
      <c r="A7776" t="s">
        <v>6</v>
      </c>
      <c r="B7776">
        <v>29</v>
      </c>
      <c r="C7776" t="str">
        <f>CHOOSE(MATCH(B7776, {20,25,30,35,40,45,50,55,60,65,70,75,80,85}, 1), "20-24", "25-29", "30-34", "35-39", "40-44", "45-49", "50-54", "55-59", "60-64", "65-69", "70-74", "75-79", "80-84", "85+")</f>
        <v>25-29</v>
      </c>
      <c r="D7776" t="s">
        <v>7</v>
      </c>
    </row>
    <row r="7777" spans="1:4">
      <c r="A7777" t="s">
        <v>6</v>
      </c>
      <c r="B7777">
        <v>30</v>
      </c>
      <c r="C7777" t="str">
        <f>CHOOSE(MATCH(B7777, {20,25,30,35,40,45,50,55,60,65,70,75,80,85}, 1), "20-24", "25-29", "30-34", "35-39", "40-44", "45-49", "50-54", "55-59", "60-64", "65-69", "70-74", "75-79", "80-84", "85+")</f>
        <v>30-34</v>
      </c>
      <c r="D7777" t="s">
        <v>7</v>
      </c>
    </row>
    <row r="7778" spans="1:4">
      <c r="A7778" t="s">
        <v>6</v>
      </c>
      <c r="B7778">
        <v>69</v>
      </c>
      <c r="C7778" t="str">
        <f>CHOOSE(MATCH(B7778, {20,25,30,35,40,45,50,55,60,65,70,75,80,85}, 1), "20-24", "25-29", "30-34", "35-39", "40-44", "45-49", "50-54", "55-59", "60-64", "65-69", "70-74", "75-79", "80-84", "85+")</f>
        <v>65-69</v>
      </c>
      <c r="D7778" t="s">
        <v>7</v>
      </c>
    </row>
    <row r="7779" spans="1:4">
      <c r="A7779" t="s">
        <v>6</v>
      </c>
      <c r="B7779">
        <v>80</v>
      </c>
      <c r="C7779" t="str">
        <f>CHOOSE(MATCH(B7779, {20,25,30,35,40,45,50,55,60,65,70,75,80,85}, 1), "20-24", "25-29", "30-34", "35-39", "40-44", "45-49", "50-54", "55-59", "60-64", "65-69", "70-74", "75-79", "80-84", "85+")</f>
        <v>80-84</v>
      </c>
      <c r="D7779" t="s">
        <v>8</v>
      </c>
    </row>
    <row r="7780" spans="1:4">
      <c r="A7780" t="s">
        <v>6</v>
      </c>
      <c r="B7780">
        <v>22</v>
      </c>
      <c r="C7780" t="str">
        <f>CHOOSE(MATCH(B7780, {20,25,30,35,40,45,50,55,60,65,70,75,80,85}, 1), "20-24", "25-29", "30-34", "35-39", "40-44", "45-49", "50-54", "55-59", "60-64", "65-69", "70-74", "75-79", "80-84", "85+")</f>
        <v>20-24</v>
      </c>
      <c r="D7780" t="s">
        <v>7</v>
      </c>
    </row>
    <row r="7781" spans="1:4">
      <c r="A7781" t="s">
        <v>6</v>
      </c>
      <c r="B7781">
        <v>24</v>
      </c>
      <c r="C7781" t="str">
        <f>CHOOSE(MATCH(B7781, {20,25,30,35,40,45,50,55,60,65,70,75,80,85}, 1), "20-24", "25-29", "30-34", "35-39", "40-44", "45-49", "50-54", "55-59", "60-64", "65-69", "70-74", "75-79", "80-84", "85+")</f>
        <v>20-24</v>
      </c>
      <c r="D7781" t="s">
        <v>7</v>
      </c>
    </row>
    <row r="7782" spans="1:4">
      <c r="A7782" t="s">
        <v>6</v>
      </c>
      <c r="B7782">
        <v>47</v>
      </c>
      <c r="C7782" t="str">
        <f>CHOOSE(MATCH(B7782, {20,25,30,35,40,45,50,55,60,65,70,75,80,85}, 1), "20-24", "25-29", "30-34", "35-39", "40-44", "45-49", "50-54", "55-59", "60-64", "65-69", "70-74", "75-79", "80-84", "85+")</f>
        <v>45-49</v>
      </c>
      <c r="D7782" t="s">
        <v>8</v>
      </c>
    </row>
    <row r="7783" spans="1:4">
      <c r="A7783" t="s">
        <v>6</v>
      </c>
      <c r="B7783">
        <v>37</v>
      </c>
      <c r="C7783" t="str">
        <f>CHOOSE(MATCH(B7783, {20,25,30,35,40,45,50,55,60,65,70,75,80,85}, 1), "20-24", "25-29", "30-34", "35-39", "40-44", "45-49", "50-54", "55-59", "60-64", "65-69", "70-74", "75-79", "80-84", "85+")</f>
        <v>35-39</v>
      </c>
      <c r="D7783" t="s">
        <v>7</v>
      </c>
    </row>
    <row r="7784" spans="1:4">
      <c r="A7784" t="s">
        <v>6</v>
      </c>
      <c r="B7784">
        <v>39</v>
      </c>
      <c r="C7784" t="str">
        <f>CHOOSE(MATCH(B7784, {20,25,30,35,40,45,50,55,60,65,70,75,80,85}, 1), "20-24", "25-29", "30-34", "35-39", "40-44", "45-49", "50-54", "55-59", "60-64", "65-69", "70-74", "75-79", "80-84", "85+")</f>
        <v>35-39</v>
      </c>
      <c r="D7784" t="s">
        <v>8</v>
      </c>
    </row>
    <row r="7785" spans="1:4">
      <c r="A7785" t="s">
        <v>6</v>
      </c>
      <c r="B7785">
        <v>38</v>
      </c>
      <c r="C7785" t="str">
        <f>CHOOSE(MATCH(B7785, {20,25,30,35,40,45,50,55,60,65,70,75,80,85}, 1), "20-24", "25-29", "30-34", "35-39", "40-44", "45-49", "50-54", "55-59", "60-64", "65-69", "70-74", "75-79", "80-84", "85+")</f>
        <v>35-39</v>
      </c>
      <c r="D7785" t="s">
        <v>8</v>
      </c>
    </row>
    <row r="7786" spans="1:4">
      <c r="A7786" t="s">
        <v>6</v>
      </c>
      <c r="B7786">
        <v>32</v>
      </c>
      <c r="C7786" t="str">
        <f>CHOOSE(MATCH(B7786, {20,25,30,35,40,45,50,55,60,65,70,75,80,85}, 1), "20-24", "25-29", "30-34", "35-39", "40-44", "45-49", "50-54", "55-59", "60-64", "65-69", "70-74", "75-79", "80-84", "85+")</f>
        <v>30-34</v>
      </c>
      <c r="D7786" t="s">
        <v>7</v>
      </c>
    </row>
    <row r="7787" spans="1:4">
      <c r="A7787" t="s">
        <v>6</v>
      </c>
      <c r="B7787">
        <v>38</v>
      </c>
      <c r="C7787" t="str">
        <f>CHOOSE(MATCH(B7787, {20,25,30,35,40,45,50,55,60,65,70,75,80,85}, 1), "20-24", "25-29", "30-34", "35-39", "40-44", "45-49", "50-54", "55-59", "60-64", "65-69", "70-74", "75-79", "80-84", "85+")</f>
        <v>35-39</v>
      </c>
      <c r="D7787" t="s">
        <v>8</v>
      </c>
    </row>
    <row r="7788" spans="1:4">
      <c r="A7788" t="s">
        <v>6</v>
      </c>
      <c r="B7788">
        <v>29</v>
      </c>
      <c r="C7788" t="str">
        <f>CHOOSE(MATCH(B7788, {20,25,30,35,40,45,50,55,60,65,70,75,80,85}, 1), "20-24", "25-29", "30-34", "35-39", "40-44", "45-49", "50-54", "55-59", "60-64", "65-69", "70-74", "75-79", "80-84", "85+")</f>
        <v>25-29</v>
      </c>
      <c r="D7788" t="s">
        <v>7</v>
      </c>
    </row>
    <row r="7789" spans="1:4">
      <c r="A7789" t="s">
        <v>6</v>
      </c>
      <c r="B7789">
        <v>28</v>
      </c>
      <c r="C7789" t="str">
        <f>CHOOSE(MATCH(B7789, {20,25,30,35,40,45,50,55,60,65,70,75,80,85}, 1), "20-24", "25-29", "30-34", "35-39", "40-44", "45-49", "50-54", "55-59", "60-64", "65-69", "70-74", "75-79", "80-84", "85+")</f>
        <v>25-29</v>
      </c>
      <c r="D7789" t="s">
        <v>8</v>
      </c>
    </row>
    <row r="7790" spans="1:4">
      <c r="A7790" t="s">
        <v>6</v>
      </c>
      <c r="B7790">
        <v>35</v>
      </c>
      <c r="C7790" t="str">
        <f>CHOOSE(MATCH(B7790, {20,25,30,35,40,45,50,55,60,65,70,75,80,85}, 1), "20-24", "25-29", "30-34", "35-39", "40-44", "45-49", "50-54", "55-59", "60-64", "65-69", "70-74", "75-79", "80-84", "85+")</f>
        <v>35-39</v>
      </c>
      <c r="D7790" t="s">
        <v>7</v>
      </c>
    </row>
    <row r="7791" spans="1:4">
      <c r="A7791" t="s">
        <v>6</v>
      </c>
      <c r="B7791">
        <v>49</v>
      </c>
      <c r="C7791" t="str">
        <f>CHOOSE(MATCH(B7791, {20,25,30,35,40,45,50,55,60,65,70,75,80,85}, 1), "20-24", "25-29", "30-34", "35-39", "40-44", "45-49", "50-54", "55-59", "60-64", "65-69", "70-74", "75-79", "80-84", "85+")</f>
        <v>45-49</v>
      </c>
      <c r="D7791" t="s">
        <v>8</v>
      </c>
    </row>
    <row r="7792" spans="1:4">
      <c r="A7792" t="s">
        <v>6</v>
      </c>
      <c r="B7792">
        <v>40</v>
      </c>
      <c r="C7792" t="str">
        <f>CHOOSE(MATCH(B7792, {20,25,30,35,40,45,50,55,60,65,70,75,80,85}, 1), "20-24", "25-29", "30-34", "35-39", "40-44", "45-49", "50-54", "55-59", "60-64", "65-69", "70-74", "75-79", "80-84", "85+")</f>
        <v>40-44</v>
      </c>
      <c r="D7792" t="s">
        <v>7</v>
      </c>
    </row>
    <row r="7793" spans="1:4">
      <c r="A7793" t="s">
        <v>6</v>
      </c>
      <c r="B7793">
        <v>74</v>
      </c>
      <c r="C7793" t="str">
        <f>CHOOSE(MATCH(B7793, {20,25,30,35,40,45,50,55,60,65,70,75,80,85}, 1), "20-24", "25-29", "30-34", "35-39", "40-44", "45-49", "50-54", "55-59", "60-64", "65-69", "70-74", "75-79", "80-84", "85+")</f>
        <v>70-74</v>
      </c>
      <c r="D7793" t="s">
        <v>8</v>
      </c>
    </row>
    <row r="7794" spans="1:4">
      <c r="A7794" t="s">
        <v>6</v>
      </c>
      <c r="B7794">
        <v>30</v>
      </c>
      <c r="C7794" t="str">
        <f>CHOOSE(MATCH(B7794, {20,25,30,35,40,45,50,55,60,65,70,75,80,85}, 1), "20-24", "25-29", "30-34", "35-39", "40-44", "45-49", "50-54", "55-59", "60-64", "65-69", "70-74", "75-79", "80-84", "85+")</f>
        <v>30-34</v>
      </c>
      <c r="D7794" t="s">
        <v>7</v>
      </c>
    </row>
    <row r="7795" spans="1:4">
      <c r="A7795" t="s">
        <v>6</v>
      </c>
      <c r="B7795">
        <v>78</v>
      </c>
      <c r="C7795" t="str">
        <f>CHOOSE(MATCH(B7795, {20,25,30,35,40,45,50,55,60,65,70,75,80,85}, 1), "20-24", "25-29", "30-34", "35-39", "40-44", "45-49", "50-54", "55-59", "60-64", "65-69", "70-74", "75-79", "80-84", "85+")</f>
        <v>75-79</v>
      </c>
      <c r="D7795" t="s">
        <v>7</v>
      </c>
    </row>
    <row r="7796" spans="1:4">
      <c r="A7796" t="s">
        <v>6</v>
      </c>
      <c r="B7796">
        <v>28</v>
      </c>
      <c r="C7796" t="str">
        <f>CHOOSE(MATCH(B7796, {20,25,30,35,40,45,50,55,60,65,70,75,80,85}, 1), "20-24", "25-29", "30-34", "35-39", "40-44", "45-49", "50-54", "55-59", "60-64", "65-69", "70-74", "75-79", "80-84", "85+")</f>
        <v>25-29</v>
      </c>
      <c r="D7796" t="s">
        <v>7</v>
      </c>
    </row>
    <row r="7797" spans="1:4">
      <c r="A7797" t="s">
        <v>6</v>
      </c>
      <c r="B7797">
        <v>30</v>
      </c>
      <c r="C7797" t="str">
        <f>CHOOSE(MATCH(B7797, {20,25,30,35,40,45,50,55,60,65,70,75,80,85}, 1), "20-24", "25-29", "30-34", "35-39", "40-44", "45-49", "50-54", "55-59", "60-64", "65-69", "70-74", "75-79", "80-84", "85+")</f>
        <v>30-34</v>
      </c>
      <c r="D7797" t="s">
        <v>7</v>
      </c>
    </row>
    <row r="7798" spans="1:4">
      <c r="A7798" t="s">
        <v>6</v>
      </c>
      <c r="B7798">
        <v>28</v>
      </c>
      <c r="C7798" t="str">
        <f>CHOOSE(MATCH(B7798, {20,25,30,35,40,45,50,55,60,65,70,75,80,85}, 1), "20-24", "25-29", "30-34", "35-39", "40-44", "45-49", "50-54", "55-59", "60-64", "65-69", "70-74", "75-79", "80-84", "85+")</f>
        <v>25-29</v>
      </c>
      <c r="D7798" t="s">
        <v>7</v>
      </c>
    </row>
    <row r="7799" spans="1:4">
      <c r="A7799" t="s">
        <v>6</v>
      </c>
      <c r="B7799">
        <v>35</v>
      </c>
      <c r="C7799" t="str">
        <f>CHOOSE(MATCH(B7799, {20,25,30,35,40,45,50,55,60,65,70,75,80,85}, 1), "20-24", "25-29", "30-34", "35-39", "40-44", "45-49", "50-54", "55-59", "60-64", "65-69", "70-74", "75-79", "80-84", "85+")</f>
        <v>35-39</v>
      </c>
      <c r="D7799" t="s">
        <v>7</v>
      </c>
    </row>
    <row r="7800" spans="1:4">
      <c r="A7800" t="s">
        <v>6</v>
      </c>
      <c r="B7800">
        <v>40</v>
      </c>
      <c r="C7800" t="str">
        <f>CHOOSE(MATCH(B7800, {20,25,30,35,40,45,50,55,60,65,70,75,80,85}, 1), "20-24", "25-29", "30-34", "35-39", "40-44", "45-49", "50-54", "55-59", "60-64", "65-69", "70-74", "75-79", "80-84", "85+")</f>
        <v>40-44</v>
      </c>
      <c r="D7800" t="s">
        <v>7</v>
      </c>
    </row>
    <row r="7801" spans="1:4">
      <c r="A7801" t="s">
        <v>6</v>
      </c>
      <c r="B7801">
        <v>46</v>
      </c>
      <c r="C7801" t="str">
        <f>CHOOSE(MATCH(B7801, {20,25,30,35,40,45,50,55,60,65,70,75,80,85}, 1), "20-24", "25-29", "30-34", "35-39", "40-44", "45-49", "50-54", "55-59", "60-64", "65-69", "70-74", "75-79", "80-84", "85+")</f>
        <v>45-49</v>
      </c>
      <c r="D7801" t="s">
        <v>7</v>
      </c>
    </row>
    <row r="7802" spans="1:4">
      <c r="A7802" t="s">
        <v>6</v>
      </c>
      <c r="B7802">
        <v>35</v>
      </c>
      <c r="C7802" t="str">
        <f>CHOOSE(MATCH(B7802, {20,25,30,35,40,45,50,55,60,65,70,75,80,85}, 1), "20-24", "25-29", "30-34", "35-39", "40-44", "45-49", "50-54", "55-59", "60-64", "65-69", "70-74", "75-79", "80-84", "85+")</f>
        <v>35-39</v>
      </c>
      <c r="D7802" t="s">
        <v>7</v>
      </c>
    </row>
    <row r="7803" spans="1:4">
      <c r="A7803" t="s">
        <v>6</v>
      </c>
      <c r="B7803">
        <v>66</v>
      </c>
      <c r="C7803" t="str">
        <f>CHOOSE(MATCH(B7803, {20,25,30,35,40,45,50,55,60,65,70,75,80,85}, 1), "20-24", "25-29", "30-34", "35-39", "40-44", "45-49", "50-54", "55-59", "60-64", "65-69", "70-74", "75-79", "80-84", "85+")</f>
        <v>65-69</v>
      </c>
      <c r="D7803" t="s">
        <v>8</v>
      </c>
    </row>
    <row r="7804" spans="1:4">
      <c r="A7804" t="s">
        <v>6</v>
      </c>
      <c r="B7804">
        <v>31</v>
      </c>
      <c r="C7804" t="str">
        <f>CHOOSE(MATCH(B7804, {20,25,30,35,40,45,50,55,60,65,70,75,80,85}, 1), "20-24", "25-29", "30-34", "35-39", "40-44", "45-49", "50-54", "55-59", "60-64", "65-69", "70-74", "75-79", "80-84", "85+")</f>
        <v>30-34</v>
      </c>
      <c r="D7804" t="s">
        <v>7</v>
      </c>
    </row>
    <row r="7805" spans="1:4">
      <c r="A7805" t="s">
        <v>6</v>
      </c>
      <c r="B7805">
        <v>46</v>
      </c>
      <c r="C7805" t="str">
        <f>CHOOSE(MATCH(B7805, {20,25,30,35,40,45,50,55,60,65,70,75,80,85}, 1), "20-24", "25-29", "30-34", "35-39", "40-44", "45-49", "50-54", "55-59", "60-64", "65-69", "70-74", "75-79", "80-84", "85+")</f>
        <v>45-49</v>
      </c>
      <c r="D7805" t="s">
        <v>7</v>
      </c>
    </row>
    <row r="7806" spans="1:4">
      <c r="A7806" t="s">
        <v>6</v>
      </c>
      <c r="B7806">
        <v>32</v>
      </c>
      <c r="C7806" t="str">
        <f>CHOOSE(MATCH(B7806, {20,25,30,35,40,45,50,55,60,65,70,75,80,85}, 1), "20-24", "25-29", "30-34", "35-39", "40-44", "45-49", "50-54", "55-59", "60-64", "65-69", "70-74", "75-79", "80-84", "85+")</f>
        <v>30-34</v>
      </c>
      <c r="D7806" t="s">
        <v>8</v>
      </c>
    </row>
    <row r="7807" spans="1:4">
      <c r="A7807" t="s">
        <v>6</v>
      </c>
      <c r="B7807">
        <v>64</v>
      </c>
      <c r="C7807" t="str">
        <f>CHOOSE(MATCH(B7807, {20,25,30,35,40,45,50,55,60,65,70,75,80,85}, 1), "20-24", "25-29", "30-34", "35-39", "40-44", "45-49", "50-54", "55-59", "60-64", "65-69", "70-74", "75-79", "80-84", "85+")</f>
        <v>60-64</v>
      </c>
      <c r="D7807" t="s">
        <v>8</v>
      </c>
    </row>
    <row r="7808" spans="1:4">
      <c r="A7808" t="s">
        <v>6</v>
      </c>
      <c r="B7808">
        <v>27</v>
      </c>
      <c r="C7808" t="str">
        <f>CHOOSE(MATCH(B7808, {20,25,30,35,40,45,50,55,60,65,70,75,80,85}, 1), "20-24", "25-29", "30-34", "35-39", "40-44", "45-49", "50-54", "55-59", "60-64", "65-69", "70-74", "75-79", "80-84", "85+")</f>
        <v>25-29</v>
      </c>
      <c r="D7808" t="s">
        <v>7</v>
      </c>
    </row>
    <row r="7809" spans="1:4">
      <c r="A7809" t="s">
        <v>6</v>
      </c>
      <c r="B7809">
        <v>53</v>
      </c>
      <c r="C7809" t="str">
        <f>CHOOSE(MATCH(B7809, {20,25,30,35,40,45,50,55,60,65,70,75,80,85}, 1), "20-24", "25-29", "30-34", "35-39", "40-44", "45-49", "50-54", "55-59", "60-64", "65-69", "70-74", "75-79", "80-84", "85+")</f>
        <v>50-54</v>
      </c>
      <c r="D7809" t="s">
        <v>7</v>
      </c>
    </row>
    <row r="7810" spans="1:4">
      <c r="A7810" t="s">
        <v>6</v>
      </c>
      <c r="B7810">
        <v>23</v>
      </c>
      <c r="C7810" t="str">
        <f>CHOOSE(MATCH(B7810, {20,25,30,35,40,45,50,55,60,65,70,75,80,85}, 1), "20-24", "25-29", "30-34", "35-39", "40-44", "45-49", "50-54", "55-59", "60-64", "65-69", "70-74", "75-79", "80-84", "85+")</f>
        <v>20-24</v>
      </c>
      <c r="D7810" t="s">
        <v>8</v>
      </c>
    </row>
    <row r="7811" spans="1:4">
      <c r="A7811" t="s">
        <v>6</v>
      </c>
      <c r="B7811">
        <v>31</v>
      </c>
      <c r="C7811" t="str">
        <f>CHOOSE(MATCH(B7811, {20,25,30,35,40,45,50,55,60,65,70,75,80,85}, 1), "20-24", "25-29", "30-34", "35-39", "40-44", "45-49", "50-54", "55-59", "60-64", "65-69", "70-74", "75-79", "80-84", "85+")</f>
        <v>30-34</v>
      </c>
      <c r="D7811" t="s">
        <v>7</v>
      </c>
    </row>
    <row r="7812" spans="1:4">
      <c r="A7812" t="s">
        <v>6</v>
      </c>
      <c r="B7812">
        <v>41</v>
      </c>
      <c r="C7812" t="str">
        <f>CHOOSE(MATCH(B7812, {20,25,30,35,40,45,50,55,60,65,70,75,80,85}, 1), "20-24", "25-29", "30-34", "35-39", "40-44", "45-49", "50-54", "55-59", "60-64", "65-69", "70-74", "75-79", "80-84", "85+")</f>
        <v>40-44</v>
      </c>
      <c r="D7812" t="s">
        <v>7</v>
      </c>
    </row>
    <row r="7813" spans="1:4">
      <c r="A7813" t="s">
        <v>6</v>
      </c>
      <c r="B7813">
        <v>33</v>
      </c>
      <c r="C7813" t="str">
        <f>CHOOSE(MATCH(B7813, {20,25,30,35,40,45,50,55,60,65,70,75,80,85}, 1), "20-24", "25-29", "30-34", "35-39", "40-44", "45-49", "50-54", "55-59", "60-64", "65-69", "70-74", "75-79", "80-84", "85+")</f>
        <v>30-34</v>
      </c>
      <c r="D7813" t="s">
        <v>7</v>
      </c>
    </row>
    <row r="7814" spans="1:4">
      <c r="A7814" t="s">
        <v>6</v>
      </c>
      <c r="B7814">
        <v>31</v>
      </c>
      <c r="C7814" t="str">
        <f>CHOOSE(MATCH(B7814, {20,25,30,35,40,45,50,55,60,65,70,75,80,85}, 1), "20-24", "25-29", "30-34", "35-39", "40-44", "45-49", "50-54", "55-59", "60-64", "65-69", "70-74", "75-79", "80-84", "85+")</f>
        <v>30-34</v>
      </c>
      <c r="D7814" t="s">
        <v>7</v>
      </c>
    </row>
    <row r="7815" spans="1:4">
      <c r="A7815" t="s">
        <v>6</v>
      </c>
      <c r="B7815">
        <v>47</v>
      </c>
      <c r="C7815" t="str">
        <f>CHOOSE(MATCH(B7815, {20,25,30,35,40,45,50,55,60,65,70,75,80,85}, 1), "20-24", "25-29", "30-34", "35-39", "40-44", "45-49", "50-54", "55-59", "60-64", "65-69", "70-74", "75-79", "80-84", "85+")</f>
        <v>45-49</v>
      </c>
      <c r="D7815" t="s">
        <v>7</v>
      </c>
    </row>
    <row r="7816" spans="1:4">
      <c r="A7816" t="s">
        <v>6</v>
      </c>
      <c r="B7816">
        <v>40</v>
      </c>
      <c r="C7816" t="str">
        <f>CHOOSE(MATCH(B7816, {20,25,30,35,40,45,50,55,60,65,70,75,80,85}, 1), "20-24", "25-29", "30-34", "35-39", "40-44", "45-49", "50-54", "55-59", "60-64", "65-69", "70-74", "75-79", "80-84", "85+")</f>
        <v>40-44</v>
      </c>
      <c r="D7816" t="s">
        <v>7</v>
      </c>
    </row>
    <row r="7817" spans="1:4">
      <c r="A7817" t="s">
        <v>6</v>
      </c>
      <c r="B7817">
        <v>43</v>
      </c>
      <c r="C7817" t="str">
        <f>CHOOSE(MATCH(B7817, {20,25,30,35,40,45,50,55,60,65,70,75,80,85}, 1), "20-24", "25-29", "30-34", "35-39", "40-44", "45-49", "50-54", "55-59", "60-64", "65-69", "70-74", "75-79", "80-84", "85+")</f>
        <v>40-44</v>
      </c>
      <c r="D7817" t="s">
        <v>8</v>
      </c>
    </row>
    <row r="7818" spans="1:4">
      <c r="A7818" t="s">
        <v>6</v>
      </c>
      <c r="B7818">
        <v>26</v>
      </c>
      <c r="C7818" t="str">
        <f>CHOOSE(MATCH(B7818, {20,25,30,35,40,45,50,55,60,65,70,75,80,85}, 1), "20-24", "25-29", "30-34", "35-39", "40-44", "45-49", "50-54", "55-59", "60-64", "65-69", "70-74", "75-79", "80-84", "85+")</f>
        <v>25-29</v>
      </c>
      <c r="D7818" t="s">
        <v>8</v>
      </c>
    </row>
    <row r="7819" spans="1:4">
      <c r="A7819" t="s">
        <v>6</v>
      </c>
      <c r="B7819">
        <v>45</v>
      </c>
      <c r="C7819" t="str">
        <f>CHOOSE(MATCH(B7819, {20,25,30,35,40,45,50,55,60,65,70,75,80,85}, 1), "20-24", "25-29", "30-34", "35-39", "40-44", "45-49", "50-54", "55-59", "60-64", "65-69", "70-74", "75-79", "80-84", "85+")</f>
        <v>45-49</v>
      </c>
      <c r="D7819" t="s">
        <v>7</v>
      </c>
    </row>
    <row r="7820" spans="1:4">
      <c r="A7820" t="s">
        <v>6</v>
      </c>
      <c r="B7820">
        <v>68</v>
      </c>
      <c r="C7820" t="str">
        <f>CHOOSE(MATCH(B7820, {20,25,30,35,40,45,50,55,60,65,70,75,80,85}, 1), "20-24", "25-29", "30-34", "35-39", "40-44", "45-49", "50-54", "55-59", "60-64", "65-69", "70-74", "75-79", "80-84", "85+")</f>
        <v>65-69</v>
      </c>
      <c r="D7820" t="s">
        <v>7</v>
      </c>
    </row>
    <row r="7821" spans="1:4">
      <c r="A7821" t="s">
        <v>6</v>
      </c>
      <c r="B7821">
        <v>62</v>
      </c>
      <c r="C7821" t="str">
        <f>CHOOSE(MATCH(B7821, {20,25,30,35,40,45,50,55,60,65,70,75,80,85}, 1), "20-24", "25-29", "30-34", "35-39", "40-44", "45-49", "50-54", "55-59", "60-64", "65-69", "70-74", "75-79", "80-84", "85+")</f>
        <v>60-64</v>
      </c>
      <c r="D7821" t="s">
        <v>8</v>
      </c>
    </row>
    <row r="7822" spans="1:4">
      <c r="A7822" t="s">
        <v>6</v>
      </c>
      <c r="B7822">
        <v>47</v>
      </c>
      <c r="C7822" t="str">
        <f>CHOOSE(MATCH(B7822, {20,25,30,35,40,45,50,55,60,65,70,75,80,85}, 1), "20-24", "25-29", "30-34", "35-39", "40-44", "45-49", "50-54", "55-59", "60-64", "65-69", "70-74", "75-79", "80-84", "85+")</f>
        <v>45-49</v>
      </c>
      <c r="D7822" t="s">
        <v>7</v>
      </c>
    </row>
    <row r="7823" spans="1:4">
      <c r="A7823" t="s">
        <v>6</v>
      </c>
      <c r="B7823">
        <v>64</v>
      </c>
      <c r="C7823" t="str">
        <f>CHOOSE(MATCH(B7823, {20,25,30,35,40,45,50,55,60,65,70,75,80,85}, 1), "20-24", "25-29", "30-34", "35-39", "40-44", "45-49", "50-54", "55-59", "60-64", "65-69", "70-74", "75-79", "80-84", "85+")</f>
        <v>60-64</v>
      </c>
      <c r="D7823" t="s">
        <v>7</v>
      </c>
    </row>
    <row r="7824" spans="1:4">
      <c r="A7824" t="s">
        <v>6</v>
      </c>
      <c r="B7824">
        <v>43</v>
      </c>
      <c r="C7824" t="str">
        <f>CHOOSE(MATCH(B7824, {20,25,30,35,40,45,50,55,60,65,70,75,80,85}, 1), "20-24", "25-29", "30-34", "35-39", "40-44", "45-49", "50-54", "55-59", "60-64", "65-69", "70-74", "75-79", "80-84", "85+")</f>
        <v>40-44</v>
      </c>
      <c r="D7824" t="s">
        <v>7</v>
      </c>
    </row>
    <row r="7825" spans="1:4">
      <c r="A7825" t="s">
        <v>6</v>
      </c>
      <c r="B7825">
        <v>80</v>
      </c>
      <c r="C7825" t="str">
        <f>CHOOSE(MATCH(B7825, {20,25,30,35,40,45,50,55,60,65,70,75,80,85}, 1), "20-24", "25-29", "30-34", "35-39", "40-44", "45-49", "50-54", "55-59", "60-64", "65-69", "70-74", "75-79", "80-84", "85+")</f>
        <v>80-84</v>
      </c>
      <c r="D7825" t="s">
        <v>8</v>
      </c>
    </row>
    <row r="7826" spans="1:4">
      <c r="A7826" t="s">
        <v>6</v>
      </c>
      <c r="B7826">
        <v>77</v>
      </c>
      <c r="C7826" t="str">
        <f>CHOOSE(MATCH(B7826, {20,25,30,35,40,45,50,55,60,65,70,75,80,85}, 1), "20-24", "25-29", "30-34", "35-39", "40-44", "45-49", "50-54", "55-59", "60-64", "65-69", "70-74", "75-79", "80-84", "85+")</f>
        <v>75-79</v>
      </c>
      <c r="D7826" t="s">
        <v>7</v>
      </c>
    </row>
    <row r="7827" spans="1:4">
      <c r="A7827" t="s">
        <v>6</v>
      </c>
      <c r="B7827">
        <v>54</v>
      </c>
      <c r="C7827" t="str">
        <f>CHOOSE(MATCH(B7827, {20,25,30,35,40,45,50,55,60,65,70,75,80,85}, 1), "20-24", "25-29", "30-34", "35-39", "40-44", "45-49", "50-54", "55-59", "60-64", "65-69", "70-74", "75-79", "80-84", "85+")</f>
        <v>50-54</v>
      </c>
      <c r="D7827" t="s">
        <v>8</v>
      </c>
    </row>
    <row r="7828" spans="1:4">
      <c r="A7828" t="s">
        <v>6</v>
      </c>
      <c r="B7828">
        <v>48</v>
      </c>
      <c r="C7828" t="str">
        <f>CHOOSE(MATCH(B7828, {20,25,30,35,40,45,50,55,60,65,70,75,80,85}, 1), "20-24", "25-29", "30-34", "35-39", "40-44", "45-49", "50-54", "55-59", "60-64", "65-69", "70-74", "75-79", "80-84", "85+")</f>
        <v>45-49</v>
      </c>
      <c r="D7828" t="s">
        <v>7</v>
      </c>
    </row>
    <row r="7829" spans="1:4">
      <c r="A7829" t="s">
        <v>6</v>
      </c>
      <c r="B7829">
        <v>32</v>
      </c>
      <c r="C7829" t="str">
        <f>CHOOSE(MATCH(B7829, {20,25,30,35,40,45,50,55,60,65,70,75,80,85}, 1), "20-24", "25-29", "30-34", "35-39", "40-44", "45-49", "50-54", "55-59", "60-64", "65-69", "70-74", "75-79", "80-84", "85+")</f>
        <v>30-34</v>
      </c>
      <c r="D7829" t="s">
        <v>8</v>
      </c>
    </row>
    <row r="7830" spans="1:4">
      <c r="A7830" t="s">
        <v>6</v>
      </c>
      <c r="B7830">
        <v>40</v>
      </c>
      <c r="C7830" t="str">
        <f>CHOOSE(MATCH(B7830, {20,25,30,35,40,45,50,55,60,65,70,75,80,85}, 1), "20-24", "25-29", "30-34", "35-39", "40-44", "45-49", "50-54", "55-59", "60-64", "65-69", "70-74", "75-79", "80-84", "85+")</f>
        <v>40-44</v>
      </c>
      <c r="D7830" t="s">
        <v>7</v>
      </c>
    </row>
    <row r="7831" spans="1:4">
      <c r="A7831" t="s">
        <v>6</v>
      </c>
      <c r="B7831">
        <v>51</v>
      </c>
      <c r="C7831" t="str">
        <f>CHOOSE(MATCH(B7831, {20,25,30,35,40,45,50,55,60,65,70,75,80,85}, 1), "20-24", "25-29", "30-34", "35-39", "40-44", "45-49", "50-54", "55-59", "60-64", "65-69", "70-74", "75-79", "80-84", "85+")</f>
        <v>50-54</v>
      </c>
      <c r="D7831" t="s">
        <v>8</v>
      </c>
    </row>
    <row r="7832" spans="1:4">
      <c r="A7832" t="s">
        <v>6</v>
      </c>
      <c r="B7832">
        <v>37</v>
      </c>
      <c r="C7832" t="str">
        <f>CHOOSE(MATCH(B7832, {20,25,30,35,40,45,50,55,60,65,70,75,80,85}, 1), "20-24", "25-29", "30-34", "35-39", "40-44", "45-49", "50-54", "55-59", "60-64", "65-69", "70-74", "75-79", "80-84", "85+")</f>
        <v>35-39</v>
      </c>
      <c r="D7832" t="s">
        <v>7</v>
      </c>
    </row>
    <row r="7833" spans="1:4">
      <c r="A7833" t="s">
        <v>6</v>
      </c>
      <c r="B7833">
        <v>63</v>
      </c>
      <c r="C7833" t="str">
        <f>CHOOSE(MATCH(B7833, {20,25,30,35,40,45,50,55,60,65,70,75,80,85}, 1), "20-24", "25-29", "30-34", "35-39", "40-44", "45-49", "50-54", "55-59", "60-64", "65-69", "70-74", "75-79", "80-84", "85+")</f>
        <v>60-64</v>
      </c>
      <c r="D7833" t="s">
        <v>8</v>
      </c>
    </row>
    <row r="7834" spans="1:4">
      <c r="A7834" t="s">
        <v>6</v>
      </c>
      <c r="B7834">
        <v>28</v>
      </c>
      <c r="C7834" t="str">
        <f>CHOOSE(MATCH(B7834, {20,25,30,35,40,45,50,55,60,65,70,75,80,85}, 1), "20-24", "25-29", "30-34", "35-39", "40-44", "45-49", "50-54", "55-59", "60-64", "65-69", "70-74", "75-79", "80-84", "85+")</f>
        <v>25-29</v>
      </c>
      <c r="D7834" t="s">
        <v>8</v>
      </c>
    </row>
    <row r="7835" spans="1:4">
      <c r="A7835" t="s">
        <v>6</v>
      </c>
      <c r="B7835">
        <v>20</v>
      </c>
      <c r="C7835" t="str">
        <f>CHOOSE(MATCH(B7835, {20,25,30,35,40,45,50,55,60,65,70,75,80,85}, 1), "20-24", "25-29", "30-34", "35-39", "40-44", "45-49", "50-54", "55-59", "60-64", "65-69", "70-74", "75-79", "80-84", "85+")</f>
        <v>20-24</v>
      </c>
      <c r="D7835" t="s">
        <v>8</v>
      </c>
    </row>
    <row r="7836" spans="1:4">
      <c r="A7836" t="s">
        <v>6</v>
      </c>
      <c r="B7836">
        <v>48</v>
      </c>
      <c r="C7836" t="str">
        <f>CHOOSE(MATCH(B7836, {20,25,30,35,40,45,50,55,60,65,70,75,80,85}, 1), "20-24", "25-29", "30-34", "35-39", "40-44", "45-49", "50-54", "55-59", "60-64", "65-69", "70-74", "75-79", "80-84", "85+")</f>
        <v>45-49</v>
      </c>
      <c r="D7836" t="s">
        <v>8</v>
      </c>
    </row>
    <row r="7837" spans="1:4">
      <c r="A7837" t="s">
        <v>6</v>
      </c>
      <c r="B7837">
        <v>34</v>
      </c>
      <c r="C7837" t="str">
        <f>CHOOSE(MATCH(B7837, {20,25,30,35,40,45,50,55,60,65,70,75,80,85}, 1), "20-24", "25-29", "30-34", "35-39", "40-44", "45-49", "50-54", "55-59", "60-64", "65-69", "70-74", "75-79", "80-84", "85+")</f>
        <v>30-34</v>
      </c>
      <c r="D7837" t="s">
        <v>7</v>
      </c>
    </row>
    <row r="7838" spans="1:4">
      <c r="A7838" t="s">
        <v>6</v>
      </c>
      <c r="B7838">
        <v>49</v>
      </c>
      <c r="C7838" t="str">
        <f>CHOOSE(MATCH(B7838, {20,25,30,35,40,45,50,55,60,65,70,75,80,85}, 1), "20-24", "25-29", "30-34", "35-39", "40-44", "45-49", "50-54", "55-59", "60-64", "65-69", "70-74", "75-79", "80-84", "85+")</f>
        <v>45-49</v>
      </c>
      <c r="D7838" t="s">
        <v>8</v>
      </c>
    </row>
    <row r="7839" spans="1:4">
      <c r="A7839" t="s">
        <v>6</v>
      </c>
      <c r="B7839">
        <v>76</v>
      </c>
      <c r="C7839" t="str">
        <f>CHOOSE(MATCH(B7839, {20,25,30,35,40,45,50,55,60,65,70,75,80,85}, 1), "20-24", "25-29", "30-34", "35-39", "40-44", "45-49", "50-54", "55-59", "60-64", "65-69", "70-74", "75-79", "80-84", "85+")</f>
        <v>75-79</v>
      </c>
      <c r="D7839" t="s">
        <v>8</v>
      </c>
    </row>
    <row r="7840" spans="1:4">
      <c r="A7840" t="s">
        <v>6</v>
      </c>
      <c r="B7840">
        <v>65</v>
      </c>
      <c r="C7840" t="str">
        <f>CHOOSE(MATCH(B7840, {20,25,30,35,40,45,50,55,60,65,70,75,80,85}, 1), "20-24", "25-29", "30-34", "35-39", "40-44", "45-49", "50-54", "55-59", "60-64", "65-69", "70-74", "75-79", "80-84", "85+")</f>
        <v>65-69</v>
      </c>
      <c r="D7840" t="s">
        <v>8</v>
      </c>
    </row>
    <row r="7841" spans="1:4">
      <c r="A7841" t="s">
        <v>6</v>
      </c>
      <c r="B7841">
        <v>40</v>
      </c>
      <c r="C7841" t="str">
        <f>CHOOSE(MATCH(B7841, {20,25,30,35,40,45,50,55,60,65,70,75,80,85}, 1), "20-24", "25-29", "30-34", "35-39", "40-44", "45-49", "50-54", "55-59", "60-64", "65-69", "70-74", "75-79", "80-84", "85+")</f>
        <v>40-44</v>
      </c>
      <c r="D7841" t="s">
        <v>8</v>
      </c>
    </row>
    <row r="7842" spans="1:4">
      <c r="A7842" t="s">
        <v>6</v>
      </c>
      <c r="B7842">
        <v>39</v>
      </c>
      <c r="C7842" t="str">
        <f>CHOOSE(MATCH(B7842, {20,25,30,35,40,45,50,55,60,65,70,75,80,85}, 1), "20-24", "25-29", "30-34", "35-39", "40-44", "45-49", "50-54", "55-59", "60-64", "65-69", "70-74", "75-79", "80-84", "85+")</f>
        <v>35-39</v>
      </c>
      <c r="D7842" t="s">
        <v>7</v>
      </c>
    </row>
    <row r="7843" spans="1:4">
      <c r="A7843" t="s">
        <v>6</v>
      </c>
      <c r="B7843">
        <v>35</v>
      </c>
      <c r="C7843" t="str">
        <f>CHOOSE(MATCH(B7843, {20,25,30,35,40,45,50,55,60,65,70,75,80,85}, 1), "20-24", "25-29", "30-34", "35-39", "40-44", "45-49", "50-54", "55-59", "60-64", "65-69", "70-74", "75-79", "80-84", "85+")</f>
        <v>35-39</v>
      </c>
      <c r="D7843" t="s">
        <v>7</v>
      </c>
    </row>
    <row r="7844" spans="1:4">
      <c r="A7844" t="s">
        <v>6</v>
      </c>
      <c r="B7844">
        <v>26</v>
      </c>
      <c r="C7844" t="str">
        <f>CHOOSE(MATCH(B7844, {20,25,30,35,40,45,50,55,60,65,70,75,80,85}, 1), "20-24", "25-29", "30-34", "35-39", "40-44", "45-49", "50-54", "55-59", "60-64", "65-69", "70-74", "75-79", "80-84", "85+")</f>
        <v>25-29</v>
      </c>
      <c r="D7844" t="s">
        <v>7</v>
      </c>
    </row>
    <row r="7845" spans="1:4">
      <c r="A7845" t="s">
        <v>6</v>
      </c>
      <c r="B7845">
        <v>67</v>
      </c>
      <c r="C7845" t="str">
        <f>CHOOSE(MATCH(B7845, {20,25,30,35,40,45,50,55,60,65,70,75,80,85}, 1), "20-24", "25-29", "30-34", "35-39", "40-44", "45-49", "50-54", "55-59", "60-64", "65-69", "70-74", "75-79", "80-84", "85+")</f>
        <v>65-69</v>
      </c>
      <c r="D7845" t="s">
        <v>7</v>
      </c>
    </row>
    <row r="7846" spans="1:4">
      <c r="A7846" t="s">
        <v>6</v>
      </c>
      <c r="B7846">
        <v>68</v>
      </c>
      <c r="C7846" t="str">
        <f>CHOOSE(MATCH(B7846, {20,25,30,35,40,45,50,55,60,65,70,75,80,85}, 1), "20-24", "25-29", "30-34", "35-39", "40-44", "45-49", "50-54", "55-59", "60-64", "65-69", "70-74", "75-79", "80-84", "85+")</f>
        <v>65-69</v>
      </c>
      <c r="D7846" t="s">
        <v>7</v>
      </c>
    </row>
    <row r="7847" spans="1:4">
      <c r="A7847" t="s">
        <v>6</v>
      </c>
      <c r="B7847">
        <v>27</v>
      </c>
      <c r="C7847" t="str">
        <f>CHOOSE(MATCH(B7847, {20,25,30,35,40,45,50,55,60,65,70,75,80,85}, 1), "20-24", "25-29", "30-34", "35-39", "40-44", "45-49", "50-54", "55-59", "60-64", "65-69", "70-74", "75-79", "80-84", "85+")</f>
        <v>25-29</v>
      </c>
      <c r="D7847" t="s">
        <v>7</v>
      </c>
    </row>
    <row r="7848" spans="1:4">
      <c r="A7848" t="s">
        <v>6</v>
      </c>
      <c r="B7848">
        <v>46</v>
      </c>
      <c r="C7848" t="str">
        <f>CHOOSE(MATCH(B7848, {20,25,30,35,40,45,50,55,60,65,70,75,80,85}, 1), "20-24", "25-29", "30-34", "35-39", "40-44", "45-49", "50-54", "55-59", "60-64", "65-69", "70-74", "75-79", "80-84", "85+")</f>
        <v>45-49</v>
      </c>
      <c r="D7848" t="s">
        <v>8</v>
      </c>
    </row>
    <row r="7849" spans="1:4">
      <c r="A7849" t="s">
        <v>6</v>
      </c>
      <c r="B7849">
        <v>50</v>
      </c>
      <c r="C7849" t="str">
        <f>CHOOSE(MATCH(B7849, {20,25,30,35,40,45,50,55,60,65,70,75,80,85}, 1), "20-24", "25-29", "30-34", "35-39", "40-44", "45-49", "50-54", "55-59", "60-64", "65-69", "70-74", "75-79", "80-84", "85+")</f>
        <v>50-54</v>
      </c>
      <c r="D7849" t="s">
        <v>8</v>
      </c>
    </row>
    <row r="7850" spans="1:4">
      <c r="A7850" t="s">
        <v>6</v>
      </c>
      <c r="B7850">
        <v>30</v>
      </c>
      <c r="C7850" t="str">
        <f>CHOOSE(MATCH(B7850, {20,25,30,35,40,45,50,55,60,65,70,75,80,85}, 1), "20-24", "25-29", "30-34", "35-39", "40-44", "45-49", "50-54", "55-59", "60-64", "65-69", "70-74", "75-79", "80-84", "85+")</f>
        <v>30-34</v>
      </c>
      <c r="D7850" t="s">
        <v>8</v>
      </c>
    </row>
    <row r="7851" spans="1:4">
      <c r="A7851" t="s">
        <v>6</v>
      </c>
      <c r="B7851">
        <v>37</v>
      </c>
      <c r="C7851" t="str">
        <f>CHOOSE(MATCH(B7851, {20,25,30,35,40,45,50,55,60,65,70,75,80,85}, 1), "20-24", "25-29", "30-34", "35-39", "40-44", "45-49", "50-54", "55-59", "60-64", "65-69", "70-74", "75-79", "80-84", "85+")</f>
        <v>35-39</v>
      </c>
      <c r="D7851" t="s">
        <v>8</v>
      </c>
    </row>
    <row r="7852" spans="1:4">
      <c r="A7852" t="s">
        <v>6</v>
      </c>
      <c r="B7852">
        <v>23</v>
      </c>
      <c r="C7852" t="str">
        <f>CHOOSE(MATCH(B7852, {20,25,30,35,40,45,50,55,60,65,70,75,80,85}, 1), "20-24", "25-29", "30-34", "35-39", "40-44", "45-49", "50-54", "55-59", "60-64", "65-69", "70-74", "75-79", "80-84", "85+")</f>
        <v>20-24</v>
      </c>
      <c r="D7852" t="s">
        <v>7</v>
      </c>
    </row>
    <row r="7853" spans="1:4">
      <c r="A7853" t="s">
        <v>6</v>
      </c>
      <c r="B7853">
        <v>53</v>
      </c>
      <c r="C7853" t="str">
        <f>CHOOSE(MATCH(B7853, {20,25,30,35,40,45,50,55,60,65,70,75,80,85}, 1), "20-24", "25-29", "30-34", "35-39", "40-44", "45-49", "50-54", "55-59", "60-64", "65-69", "70-74", "75-79", "80-84", "85+")</f>
        <v>50-54</v>
      </c>
      <c r="D7853" t="s">
        <v>8</v>
      </c>
    </row>
    <row r="7854" spans="1:4">
      <c r="A7854" t="s">
        <v>6</v>
      </c>
      <c r="B7854">
        <v>31</v>
      </c>
      <c r="C7854" t="str">
        <f>CHOOSE(MATCH(B7854, {20,25,30,35,40,45,50,55,60,65,70,75,80,85}, 1), "20-24", "25-29", "30-34", "35-39", "40-44", "45-49", "50-54", "55-59", "60-64", "65-69", "70-74", "75-79", "80-84", "85+")</f>
        <v>30-34</v>
      </c>
      <c r="D7854" t="s">
        <v>8</v>
      </c>
    </row>
    <row r="7855" spans="1:4">
      <c r="A7855" t="s">
        <v>6</v>
      </c>
      <c r="B7855">
        <v>22</v>
      </c>
      <c r="C7855" t="str">
        <f>CHOOSE(MATCH(B7855, {20,25,30,35,40,45,50,55,60,65,70,75,80,85}, 1), "20-24", "25-29", "30-34", "35-39", "40-44", "45-49", "50-54", "55-59", "60-64", "65-69", "70-74", "75-79", "80-84", "85+")</f>
        <v>20-24</v>
      </c>
      <c r="D7855" t="s">
        <v>7</v>
      </c>
    </row>
    <row r="7856" spans="1:4">
      <c r="A7856" t="s">
        <v>6</v>
      </c>
      <c r="B7856">
        <v>26</v>
      </c>
      <c r="C7856" t="str">
        <f>CHOOSE(MATCH(B7856, {20,25,30,35,40,45,50,55,60,65,70,75,80,85}, 1), "20-24", "25-29", "30-34", "35-39", "40-44", "45-49", "50-54", "55-59", "60-64", "65-69", "70-74", "75-79", "80-84", "85+")</f>
        <v>25-29</v>
      </c>
      <c r="D7856" t="s">
        <v>7</v>
      </c>
    </row>
    <row r="7857" spans="1:4">
      <c r="A7857" t="s">
        <v>6</v>
      </c>
      <c r="B7857">
        <v>26</v>
      </c>
      <c r="C7857" t="str">
        <f>CHOOSE(MATCH(B7857, {20,25,30,35,40,45,50,55,60,65,70,75,80,85}, 1), "20-24", "25-29", "30-34", "35-39", "40-44", "45-49", "50-54", "55-59", "60-64", "65-69", "70-74", "75-79", "80-84", "85+")</f>
        <v>25-29</v>
      </c>
      <c r="D7857" t="s">
        <v>7</v>
      </c>
    </row>
    <row r="7858" spans="1:4">
      <c r="A7858" t="s">
        <v>6</v>
      </c>
      <c r="B7858">
        <v>32</v>
      </c>
      <c r="C7858" t="str">
        <f>CHOOSE(MATCH(B7858, {20,25,30,35,40,45,50,55,60,65,70,75,80,85}, 1), "20-24", "25-29", "30-34", "35-39", "40-44", "45-49", "50-54", "55-59", "60-64", "65-69", "70-74", "75-79", "80-84", "85+")</f>
        <v>30-34</v>
      </c>
      <c r="D7858" t="s">
        <v>7</v>
      </c>
    </row>
    <row r="7859" spans="1:4">
      <c r="A7859" t="s">
        <v>6</v>
      </c>
      <c r="B7859">
        <v>43</v>
      </c>
      <c r="C7859" t="str">
        <f>CHOOSE(MATCH(B7859, {20,25,30,35,40,45,50,55,60,65,70,75,80,85}, 1), "20-24", "25-29", "30-34", "35-39", "40-44", "45-49", "50-54", "55-59", "60-64", "65-69", "70-74", "75-79", "80-84", "85+")</f>
        <v>40-44</v>
      </c>
      <c r="D7859" t="s">
        <v>8</v>
      </c>
    </row>
    <row r="7860" spans="1:4">
      <c r="A7860" t="s">
        <v>6</v>
      </c>
      <c r="B7860">
        <v>28</v>
      </c>
      <c r="C7860" t="str">
        <f>CHOOSE(MATCH(B7860, {20,25,30,35,40,45,50,55,60,65,70,75,80,85}, 1), "20-24", "25-29", "30-34", "35-39", "40-44", "45-49", "50-54", "55-59", "60-64", "65-69", "70-74", "75-79", "80-84", "85+")</f>
        <v>25-29</v>
      </c>
      <c r="D7860" t="s">
        <v>8</v>
      </c>
    </row>
    <row r="7861" spans="1:4">
      <c r="A7861" t="s">
        <v>6</v>
      </c>
      <c r="B7861">
        <v>35</v>
      </c>
      <c r="C7861" t="str">
        <f>CHOOSE(MATCH(B7861, {20,25,30,35,40,45,50,55,60,65,70,75,80,85}, 1), "20-24", "25-29", "30-34", "35-39", "40-44", "45-49", "50-54", "55-59", "60-64", "65-69", "70-74", "75-79", "80-84", "85+")</f>
        <v>35-39</v>
      </c>
      <c r="D7861" t="s">
        <v>7</v>
      </c>
    </row>
    <row r="7862" spans="1:4">
      <c r="A7862" t="s">
        <v>6</v>
      </c>
      <c r="B7862">
        <v>33</v>
      </c>
      <c r="C7862" t="str">
        <f>CHOOSE(MATCH(B7862, {20,25,30,35,40,45,50,55,60,65,70,75,80,85}, 1), "20-24", "25-29", "30-34", "35-39", "40-44", "45-49", "50-54", "55-59", "60-64", "65-69", "70-74", "75-79", "80-84", "85+")</f>
        <v>30-34</v>
      </c>
      <c r="D7862" t="s">
        <v>7</v>
      </c>
    </row>
    <row r="7863" spans="1:4">
      <c r="A7863" t="s">
        <v>6</v>
      </c>
      <c r="B7863">
        <v>53</v>
      </c>
      <c r="C7863" t="str">
        <f>CHOOSE(MATCH(B7863, {20,25,30,35,40,45,50,55,60,65,70,75,80,85}, 1), "20-24", "25-29", "30-34", "35-39", "40-44", "45-49", "50-54", "55-59", "60-64", "65-69", "70-74", "75-79", "80-84", "85+")</f>
        <v>50-54</v>
      </c>
      <c r="D7863" t="s">
        <v>8</v>
      </c>
    </row>
    <row r="7864" spans="1:4">
      <c r="A7864" t="s">
        <v>6</v>
      </c>
      <c r="B7864">
        <v>45</v>
      </c>
      <c r="C7864" t="str">
        <f>CHOOSE(MATCH(B7864, {20,25,30,35,40,45,50,55,60,65,70,75,80,85}, 1), "20-24", "25-29", "30-34", "35-39", "40-44", "45-49", "50-54", "55-59", "60-64", "65-69", "70-74", "75-79", "80-84", "85+")</f>
        <v>45-49</v>
      </c>
      <c r="D7864" t="s">
        <v>7</v>
      </c>
    </row>
    <row r="7865" spans="1:4">
      <c r="A7865" t="s">
        <v>6</v>
      </c>
      <c r="B7865">
        <v>62</v>
      </c>
      <c r="C7865" t="str">
        <f>CHOOSE(MATCH(B7865, {20,25,30,35,40,45,50,55,60,65,70,75,80,85}, 1), "20-24", "25-29", "30-34", "35-39", "40-44", "45-49", "50-54", "55-59", "60-64", "65-69", "70-74", "75-79", "80-84", "85+")</f>
        <v>60-64</v>
      </c>
      <c r="D7865" t="s">
        <v>7</v>
      </c>
    </row>
    <row r="7866" spans="1:4">
      <c r="A7866" t="s">
        <v>6</v>
      </c>
      <c r="B7866">
        <v>49</v>
      </c>
      <c r="C7866" t="str">
        <f>CHOOSE(MATCH(B7866, {20,25,30,35,40,45,50,55,60,65,70,75,80,85}, 1), "20-24", "25-29", "30-34", "35-39", "40-44", "45-49", "50-54", "55-59", "60-64", "65-69", "70-74", "75-79", "80-84", "85+")</f>
        <v>45-49</v>
      </c>
      <c r="D7866" t="s">
        <v>7</v>
      </c>
    </row>
    <row r="7867" spans="1:4">
      <c r="A7867" t="s">
        <v>6</v>
      </c>
      <c r="B7867">
        <v>23</v>
      </c>
      <c r="C7867" t="str">
        <f>CHOOSE(MATCH(B7867, {20,25,30,35,40,45,50,55,60,65,70,75,80,85}, 1), "20-24", "25-29", "30-34", "35-39", "40-44", "45-49", "50-54", "55-59", "60-64", "65-69", "70-74", "75-79", "80-84", "85+")</f>
        <v>20-24</v>
      </c>
      <c r="D7867" t="s">
        <v>7</v>
      </c>
    </row>
    <row r="7868" spans="1:4">
      <c r="A7868" t="s">
        <v>6</v>
      </c>
      <c r="B7868">
        <v>29</v>
      </c>
      <c r="C7868" t="str">
        <f>CHOOSE(MATCH(B7868, {20,25,30,35,40,45,50,55,60,65,70,75,80,85}, 1), "20-24", "25-29", "30-34", "35-39", "40-44", "45-49", "50-54", "55-59", "60-64", "65-69", "70-74", "75-79", "80-84", "85+")</f>
        <v>25-29</v>
      </c>
      <c r="D7868" t="s">
        <v>7</v>
      </c>
    </row>
    <row r="7869" spans="1:4">
      <c r="A7869" t="s">
        <v>6</v>
      </c>
      <c r="B7869">
        <v>70</v>
      </c>
      <c r="C7869" t="str">
        <f>CHOOSE(MATCH(B7869, {20,25,30,35,40,45,50,55,60,65,70,75,80,85}, 1), "20-24", "25-29", "30-34", "35-39", "40-44", "45-49", "50-54", "55-59", "60-64", "65-69", "70-74", "75-79", "80-84", "85+")</f>
        <v>70-74</v>
      </c>
      <c r="D7869" t="s">
        <v>7</v>
      </c>
    </row>
    <row r="7870" spans="1:4">
      <c r="A7870" t="s">
        <v>6</v>
      </c>
      <c r="B7870">
        <v>25</v>
      </c>
      <c r="C7870" t="str">
        <f>CHOOSE(MATCH(B7870, {20,25,30,35,40,45,50,55,60,65,70,75,80,85}, 1), "20-24", "25-29", "30-34", "35-39", "40-44", "45-49", "50-54", "55-59", "60-64", "65-69", "70-74", "75-79", "80-84", "85+")</f>
        <v>25-29</v>
      </c>
      <c r="D7870" t="s">
        <v>7</v>
      </c>
    </row>
    <row r="7871" spans="1:4">
      <c r="A7871" t="s">
        <v>6</v>
      </c>
      <c r="B7871">
        <v>40</v>
      </c>
      <c r="C7871" t="str">
        <f>CHOOSE(MATCH(B7871, {20,25,30,35,40,45,50,55,60,65,70,75,80,85}, 1), "20-24", "25-29", "30-34", "35-39", "40-44", "45-49", "50-54", "55-59", "60-64", "65-69", "70-74", "75-79", "80-84", "85+")</f>
        <v>40-44</v>
      </c>
      <c r="D7871" t="s">
        <v>8</v>
      </c>
    </row>
    <row r="7872" spans="1:4">
      <c r="A7872" t="s">
        <v>6</v>
      </c>
      <c r="B7872">
        <v>24</v>
      </c>
      <c r="C7872" t="str">
        <f>CHOOSE(MATCH(B7872, {20,25,30,35,40,45,50,55,60,65,70,75,80,85}, 1), "20-24", "25-29", "30-34", "35-39", "40-44", "45-49", "50-54", "55-59", "60-64", "65-69", "70-74", "75-79", "80-84", "85+")</f>
        <v>20-24</v>
      </c>
      <c r="D7872" t="s">
        <v>8</v>
      </c>
    </row>
    <row r="7873" spans="1:4">
      <c r="A7873" t="s">
        <v>6</v>
      </c>
      <c r="B7873">
        <v>47</v>
      </c>
      <c r="C7873" t="str">
        <f>CHOOSE(MATCH(B7873, {20,25,30,35,40,45,50,55,60,65,70,75,80,85}, 1), "20-24", "25-29", "30-34", "35-39", "40-44", "45-49", "50-54", "55-59", "60-64", "65-69", "70-74", "75-79", "80-84", "85+")</f>
        <v>45-49</v>
      </c>
      <c r="D7873" t="s">
        <v>7</v>
      </c>
    </row>
    <row r="7874" spans="1:4">
      <c r="A7874" t="s">
        <v>6</v>
      </c>
      <c r="B7874">
        <v>38</v>
      </c>
      <c r="C7874" t="str">
        <f>CHOOSE(MATCH(B7874, {20,25,30,35,40,45,50,55,60,65,70,75,80,85}, 1), "20-24", "25-29", "30-34", "35-39", "40-44", "45-49", "50-54", "55-59", "60-64", "65-69", "70-74", "75-79", "80-84", "85+")</f>
        <v>35-39</v>
      </c>
      <c r="D7874" t="s">
        <v>7</v>
      </c>
    </row>
    <row r="7875" spans="1:4">
      <c r="A7875" t="s">
        <v>6</v>
      </c>
      <c r="B7875">
        <v>26</v>
      </c>
      <c r="C7875" t="str">
        <f>CHOOSE(MATCH(B7875, {20,25,30,35,40,45,50,55,60,65,70,75,80,85}, 1), "20-24", "25-29", "30-34", "35-39", "40-44", "45-49", "50-54", "55-59", "60-64", "65-69", "70-74", "75-79", "80-84", "85+")</f>
        <v>25-29</v>
      </c>
      <c r="D7875" t="s">
        <v>8</v>
      </c>
    </row>
    <row r="7876" spans="1:4">
      <c r="A7876" t="s">
        <v>6</v>
      </c>
      <c r="B7876">
        <v>41</v>
      </c>
      <c r="C7876" t="str">
        <f>CHOOSE(MATCH(B7876, {20,25,30,35,40,45,50,55,60,65,70,75,80,85}, 1), "20-24", "25-29", "30-34", "35-39", "40-44", "45-49", "50-54", "55-59", "60-64", "65-69", "70-74", "75-79", "80-84", "85+")</f>
        <v>40-44</v>
      </c>
      <c r="D7876" t="s">
        <v>7</v>
      </c>
    </row>
    <row r="7877" spans="1:4">
      <c r="A7877" t="s">
        <v>6</v>
      </c>
      <c r="B7877">
        <v>36</v>
      </c>
      <c r="C7877" t="str">
        <f>CHOOSE(MATCH(B7877, {20,25,30,35,40,45,50,55,60,65,70,75,80,85}, 1), "20-24", "25-29", "30-34", "35-39", "40-44", "45-49", "50-54", "55-59", "60-64", "65-69", "70-74", "75-79", "80-84", "85+")</f>
        <v>35-39</v>
      </c>
      <c r="D7877" t="s">
        <v>8</v>
      </c>
    </row>
    <row r="7878" spans="1:4">
      <c r="A7878" t="s">
        <v>6</v>
      </c>
      <c r="B7878">
        <v>24</v>
      </c>
      <c r="C7878" t="str">
        <f>CHOOSE(MATCH(B7878, {20,25,30,35,40,45,50,55,60,65,70,75,80,85}, 1), "20-24", "25-29", "30-34", "35-39", "40-44", "45-49", "50-54", "55-59", "60-64", "65-69", "70-74", "75-79", "80-84", "85+")</f>
        <v>20-24</v>
      </c>
      <c r="D7878" t="s">
        <v>8</v>
      </c>
    </row>
    <row r="7879" spans="1:4">
      <c r="A7879" t="s">
        <v>6</v>
      </c>
      <c r="B7879">
        <v>35</v>
      </c>
      <c r="C7879" t="str">
        <f>CHOOSE(MATCH(B7879, {20,25,30,35,40,45,50,55,60,65,70,75,80,85}, 1), "20-24", "25-29", "30-34", "35-39", "40-44", "45-49", "50-54", "55-59", "60-64", "65-69", "70-74", "75-79", "80-84", "85+")</f>
        <v>35-39</v>
      </c>
      <c r="D7879" t="s">
        <v>7</v>
      </c>
    </row>
    <row r="7880" spans="1:4">
      <c r="A7880" t="s">
        <v>6</v>
      </c>
      <c r="B7880">
        <v>43</v>
      </c>
      <c r="C7880" t="str">
        <f>CHOOSE(MATCH(B7880, {20,25,30,35,40,45,50,55,60,65,70,75,80,85}, 1), "20-24", "25-29", "30-34", "35-39", "40-44", "45-49", "50-54", "55-59", "60-64", "65-69", "70-74", "75-79", "80-84", "85+")</f>
        <v>40-44</v>
      </c>
      <c r="D7880" t="s">
        <v>7</v>
      </c>
    </row>
    <row r="7881" spans="1:4">
      <c r="A7881" t="s">
        <v>6</v>
      </c>
      <c r="B7881">
        <v>28</v>
      </c>
      <c r="C7881" t="str">
        <f>CHOOSE(MATCH(B7881, {20,25,30,35,40,45,50,55,60,65,70,75,80,85}, 1), "20-24", "25-29", "30-34", "35-39", "40-44", "45-49", "50-54", "55-59", "60-64", "65-69", "70-74", "75-79", "80-84", "85+")</f>
        <v>25-29</v>
      </c>
      <c r="D7881" t="s">
        <v>7</v>
      </c>
    </row>
    <row r="7882" spans="1:4">
      <c r="A7882" t="s">
        <v>6</v>
      </c>
      <c r="B7882">
        <v>41</v>
      </c>
      <c r="C7882" t="str">
        <f>CHOOSE(MATCH(B7882, {20,25,30,35,40,45,50,55,60,65,70,75,80,85}, 1), "20-24", "25-29", "30-34", "35-39", "40-44", "45-49", "50-54", "55-59", "60-64", "65-69", "70-74", "75-79", "80-84", "85+")</f>
        <v>40-44</v>
      </c>
      <c r="D7882" t="s">
        <v>7</v>
      </c>
    </row>
    <row r="7883" spans="1:4">
      <c r="A7883" t="s">
        <v>6</v>
      </c>
      <c r="B7883">
        <v>45</v>
      </c>
      <c r="C7883" t="str">
        <f>CHOOSE(MATCH(B7883, {20,25,30,35,40,45,50,55,60,65,70,75,80,85}, 1), "20-24", "25-29", "30-34", "35-39", "40-44", "45-49", "50-54", "55-59", "60-64", "65-69", "70-74", "75-79", "80-84", "85+")</f>
        <v>45-49</v>
      </c>
      <c r="D7883" t="s">
        <v>7</v>
      </c>
    </row>
    <row r="7884" spans="1:4">
      <c r="A7884" t="s">
        <v>6</v>
      </c>
      <c r="B7884">
        <v>29</v>
      </c>
      <c r="C7884" t="str">
        <f>CHOOSE(MATCH(B7884, {20,25,30,35,40,45,50,55,60,65,70,75,80,85}, 1), "20-24", "25-29", "30-34", "35-39", "40-44", "45-49", "50-54", "55-59", "60-64", "65-69", "70-74", "75-79", "80-84", "85+")</f>
        <v>25-29</v>
      </c>
      <c r="D7884" t="s">
        <v>7</v>
      </c>
    </row>
    <row r="7885" spans="1:4">
      <c r="A7885" t="s">
        <v>6</v>
      </c>
      <c r="B7885">
        <v>22</v>
      </c>
      <c r="C7885" t="str">
        <f>CHOOSE(MATCH(B7885, {20,25,30,35,40,45,50,55,60,65,70,75,80,85}, 1), "20-24", "25-29", "30-34", "35-39", "40-44", "45-49", "50-54", "55-59", "60-64", "65-69", "70-74", "75-79", "80-84", "85+")</f>
        <v>20-24</v>
      </c>
      <c r="D7885" t="s">
        <v>8</v>
      </c>
    </row>
    <row r="7886" spans="1:4">
      <c r="A7886" t="s">
        <v>6</v>
      </c>
      <c r="B7886">
        <v>70</v>
      </c>
      <c r="C7886" t="str">
        <f>CHOOSE(MATCH(B7886, {20,25,30,35,40,45,50,55,60,65,70,75,80,85}, 1), "20-24", "25-29", "30-34", "35-39", "40-44", "45-49", "50-54", "55-59", "60-64", "65-69", "70-74", "75-79", "80-84", "85+")</f>
        <v>70-74</v>
      </c>
      <c r="D7886" t="s">
        <v>7</v>
      </c>
    </row>
    <row r="7887" spans="1:4">
      <c r="A7887" t="s">
        <v>6</v>
      </c>
      <c r="B7887">
        <v>33</v>
      </c>
      <c r="C7887" t="str">
        <f>CHOOSE(MATCH(B7887, {20,25,30,35,40,45,50,55,60,65,70,75,80,85}, 1), "20-24", "25-29", "30-34", "35-39", "40-44", "45-49", "50-54", "55-59", "60-64", "65-69", "70-74", "75-79", "80-84", "85+")</f>
        <v>30-34</v>
      </c>
      <c r="D7887" t="s">
        <v>8</v>
      </c>
    </row>
    <row r="7888" spans="1:4">
      <c r="A7888" t="s">
        <v>6</v>
      </c>
      <c r="B7888">
        <v>26</v>
      </c>
      <c r="C7888" t="str">
        <f>CHOOSE(MATCH(B7888, {20,25,30,35,40,45,50,55,60,65,70,75,80,85}, 1), "20-24", "25-29", "30-34", "35-39", "40-44", "45-49", "50-54", "55-59", "60-64", "65-69", "70-74", "75-79", "80-84", "85+")</f>
        <v>25-29</v>
      </c>
      <c r="D7888" t="s">
        <v>8</v>
      </c>
    </row>
    <row r="7889" spans="1:4">
      <c r="A7889" t="s">
        <v>6</v>
      </c>
      <c r="B7889">
        <v>29</v>
      </c>
      <c r="C7889" t="str">
        <f>CHOOSE(MATCH(B7889, {20,25,30,35,40,45,50,55,60,65,70,75,80,85}, 1), "20-24", "25-29", "30-34", "35-39", "40-44", "45-49", "50-54", "55-59", "60-64", "65-69", "70-74", "75-79", "80-84", "85+")</f>
        <v>25-29</v>
      </c>
      <c r="D7889" t="s">
        <v>7</v>
      </c>
    </row>
    <row r="7890" spans="1:4">
      <c r="A7890" t="s">
        <v>6</v>
      </c>
      <c r="B7890">
        <v>36</v>
      </c>
      <c r="C7890" t="str">
        <f>CHOOSE(MATCH(B7890, {20,25,30,35,40,45,50,55,60,65,70,75,80,85}, 1), "20-24", "25-29", "30-34", "35-39", "40-44", "45-49", "50-54", "55-59", "60-64", "65-69", "70-74", "75-79", "80-84", "85+")</f>
        <v>35-39</v>
      </c>
      <c r="D7890" t="s">
        <v>7</v>
      </c>
    </row>
    <row r="7891" spans="1:4">
      <c r="A7891" t="s">
        <v>6</v>
      </c>
      <c r="B7891">
        <v>66</v>
      </c>
      <c r="C7891" t="str">
        <f>CHOOSE(MATCH(B7891, {20,25,30,35,40,45,50,55,60,65,70,75,80,85}, 1), "20-24", "25-29", "30-34", "35-39", "40-44", "45-49", "50-54", "55-59", "60-64", "65-69", "70-74", "75-79", "80-84", "85+")</f>
        <v>65-69</v>
      </c>
      <c r="D7891" t="s">
        <v>7</v>
      </c>
    </row>
    <row r="7892" spans="1:4">
      <c r="A7892" t="s">
        <v>6</v>
      </c>
      <c r="B7892">
        <v>61</v>
      </c>
      <c r="C7892" t="str">
        <f>CHOOSE(MATCH(B7892, {20,25,30,35,40,45,50,55,60,65,70,75,80,85}, 1), "20-24", "25-29", "30-34", "35-39", "40-44", "45-49", "50-54", "55-59", "60-64", "65-69", "70-74", "75-79", "80-84", "85+")</f>
        <v>60-64</v>
      </c>
      <c r="D7892" t="s">
        <v>7</v>
      </c>
    </row>
    <row r="7893" spans="1:4">
      <c r="A7893" t="s">
        <v>6</v>
      </c>
      <c r="B7893">
        <v>55</v>
      </c>
      <c r="C7893" t="str">
        <f>CHOOSE(MATCH(B7893, {20,25,30,35,40,45,50,55,60,65,70,75,80,85}, 1), "20-24", "25-29", "30-34", "35-39", "40-44", "45-49", "50-54", "55-59", "60-64", "65-69", "70-74", "75-79", "80-84", "85+")</f>
        <v>55-59</v>
      </c>
      <c r="D7893" t="s">
        <v>8</v>
      </c>
    </row>
    <row r="7894" spans="1:4">
      <c r="A7894" t="s">
        <v>6</v>
      </c>
      <c r="B7894">
        <v>35</v>
      </c>
      <c r="C7894" t="str">
        <f>CHOOSE(MATCH(B7894, {20,25,30,35,40,45,50,55,60,65,70,75,80,85}, 1), "20-24", "25-29", "30-34", "35-39", "40-44", "45-49", "50-54", "55-59", "60-64", "65-69", "70-74", "75-79", "80-84", "85+")</f>
        <v>35-39</v>
      </c>
      <c r="D7894" t="s">
        <v>8</v>
      </c>
    </row>
    <row r="7895" spans="1:4">
      <c r="A7895" t="s">
        <v>6</v>
      </c>
      <c r="B7895">
        <v>86</v>
      </c>
      <c r="C7895" t="str">
        <f>CHOOSE(MATCH(B7895, {20,25,30,35,40,45,50,55,60,65,70,75,80,85}, 1), "20-24", "25-29", "30-34", "35-39", "40-44", "45-49", "50-54", "55-59", "60-64", "65-69", "70-74", "75-79", "80-84", "85+")</f>
        <v>85+</v>
      </c>
      <c r="D7895" t="s">
        <v>7</v>
      </c>
    </row>
    <row r="7896" spans="1:4">
      <c r="A7896" t="s">
        <v>6</v>
      </c>
      <c r="B7896">
        <v>42</v>
      </c>
      <c r="C7896" t="str">
        <f>CHOOSE(MATCH(B7896, {20,25,30,35,40,45,50,55,60,65,70,75,80,85}, 1), "20-24", "25-29", "30-34", "35-39", "40-44", "45-49", "50-54", "55-59", "60-64", "65-69", "70-74", "75-79", "80-84", "85+")</f>
        <v>40-44</v>
      </c>
      <c r="D7896" t="s">
        <v>8</v>
      </c>
    </row>
    <row r="7897" spans="1:4">
      <c r="A7897" t="s">
        <v>6</v>
      </c>
      <c r="B7897">
        <v>30</v>
      </c>
      <c r="C7897" t="str">
        <f>CHOOSE(MATCH(B7897, {20,25,30,35,40,45,50,55,60,65,70,75,80,85}, 1), "20-24", "25-29", "30-34", "35-39", "40-44", "45-49", "50-54", "55-59", "60-64", "65-69", "70-74", "75-79", "80-84", "85+")</f>
        <v>30-34</v>
      </c>
      <c r="D7897" t="s">
        <v>7</v>
      </c>
    </row>
    <row r="7898" spans="1:4">
      <c r="A7898" t="s">
        <v>6</v>
      </c>
      <c r="B7898">
        <v>35</v>
      </c>
      <c r="C7898" t="str">
        <f>CHOOSE(MATCH(B7898, {20,25,30,35,40,45,50,55,60,65,70,75,80,85}, 1), "20-24", "25-29", "30-34", "35-39", "40-44", "45-49", "50-54", "55-59", "60-64", "65-69", "70-74", "75-79", "80-84", "85+")</f>
        <v>35-39</v>
      </c>
      <c r="D7898" t="s">
        <v>8</v>
      </c>
    </row>
    <row r="7899" spans="1:4">
      <c r="A7899" t="s">
        <v>6</v>
      </c>
      <c r="B7899">
        <v>59</v>
      </c>
      <c r="C7899" t="str">
        <f>CHOOSE(MATCH(B7899, {20,25,30,35,40,45,50,55,60,65,70,75,80,85}, 1), "20-24", "25-29", "30-34", "35-39", "40-44", "45-49", "50-54", "55-59", "60-64", "65-69", "70-74", "75-79", "80-84", "85+")</f>
        <v>55-59</v>
      </c>
      <c r="D7899" t="s">
        <v>8</v>
      </c>
    </row>
    <row r="7900" spans="1:4">
      <c r="A7900" t="s">
        <v>6</v>
      </c>
      <c r="B7900">
        <v>36</v>
      </c>
      <c r="C7900" t="str">
        <f>CHOOSE(MATCH(B7900, {20,25,30,35,40,45,50,55,60,65,70,75,80,85}, 1), "20-24", "25-29", "30-34", "35-39", "40-44", "45-49", "50-54", "55-59", "60-64", "65-69", "70-74", "75-79", "80-84", "85+")</f>
        <v>35-39</v>
      </c>
      <c r="D7900" t="s">
        <v>7</v>
      </c>
    </row>
    <row r="7901" spans="1:4">
      <c r="A7901" t="s">
        <v>6</v>
      </c>
      <c r="B7901">
        <v>28</v>
      </c>
      <c r="C7901" t="str">
        <f>CHOOSE(MATCH(B7901, {20,25,30,35,40,45,50,55,60,65,70,75,80,85}, 1), "20-24", "25-29", "30-34", "35-39", "40-44", "45-49", "50-54", "55-59", "60-64", "65-69", "70-74", "75-79", "80-84", "85+")</f>
        <v>25-29</v>
      </c>
      <c r="D7901" t="s">
        <v>7</v>
      </c>
    </row>
    <row r="7902" spans="1:4">
      <c r="A7902" t="s">
        <v>6</v>
      </c>
      <c r="B7902">
        <v>49</v>
      </c>
      <c r="C7902" t="str">
        <f>CHOOSE(MATCH(B7902, {20,25,30,35,40,45,50,55,60,65,70,75,80,85}, 1), "20-24", "25-29", "30-34", "35-39", "40-44", "45-49", "50-54", "55-59", "60-64", "65-69", "70-74", "75-79", "80-84", "85+")</f>
        <v>45-49</v>
      </c>
      <c r="D7902" t="s">
        <v>7</v>
      </c>
    </row>
    <row r="7903" spans="1:4">
      <c r="A7903" t="s">
        <v>6</v>
      </c>
      <c r="B7903">
        <v>28</v>
      </c>
      <c r="C7903" t="str">
        <f>CHOOSE(MATCH(B7903, {20,25,30,35,40,45,50,55,60,65,70,75,80,85}, 1), "20-24", "25-29", "30-34", "35-39", "40-44", "45-49", "50-54", "55-59", "60-64", "65-69", "70-74", "75-79", "80-84", "85+")</f>
        <v>25-29</v>
      </c>
      <c r="D7903" t="s">
        <v>8</v>
      </c>
    </row>
    <row r="7904" spans="1:4">
      <c r="A7904" t="s">
        <v>6</v>
      </c>
      <c r="B7904">
        <v>66</v>
      </c>
      <c r="C7904" t="str">
        <f>CHOOSE(MATCH(B7904, {20,25,30,35,40,45,50,55,60,65,70,75,80,85}, 1), "20-24", "25-29", "30-34", "35-39", "40-44", "45-49", "50-54", "55-59", "60-64", "65-69", "70-74", "75-79", "80-84", "85+")</f>
        <v>65-69</v>
      </c>
      <c r="D7904" t="s">
        <v>8</v>
      </c>
    </row>
    <row r="7905" spans="1:4">
      <c r="A7905" t="s">
        <v>6</v>
      </c>
      <c r="B7905">
        <v>40</v>
      </c>
      <c r="C7905" t="str">
        <f>CHOOSE(MATCH(B7905, {20,25,30,35,40,45,50,55,60,65,70,75,80,85}, 1), "20-24", "25-29", "30-34", "35-39", "40-44", "45-49", "50-54", "55-59", "60-64", "65-69", "70-74", "75-79", "80-84", "85+")</f>
        <v>40-44</v>
      </c>
      <c r="D7905" t="s">
        <v>7</v>
      </c>
    </row>
    <row r="7906" spans="1:4">
      <c r="A7906" t="s">
        <v>6</v>
      </c>
      <c r="B7906">
        <v>65</v>
      </c>
      <c r="C7906" t="str">
        <f>CHOOSE(MATCH(B7906, {20,25,30,35,40,45,50,55,60,65,70,75,80,85}, 1), "20-24", "25-29", "30-34", "35-39", "40-44", "45-49", "50-54", "55-59", "60-64", "65-69", "70-74", "75-79", "80-84", "85+")</f>
        <v>65-69</v>
      </c>
      <c r="D7906" t="s">
        <v>7</v>
      </c>
    </row>
    <row r="7907" spans="1:4">
      <c r="A7907" t="s">
        <v>6</v>
      </c>
      <c r="B7907">
        <v>66</v>
      </c>
      <c r="C7907" t="str">
        <f>CHOOSE(MATCH(B7907, {20,25,30,35,40,45,50,55,60,65,70,75,80,85}, 1), "20-24", "25-29", "30-34", "35-39", "40-44", "45-49", "50-54", "55-59", "60-64", "65-69", "70-74", "75-79", "80-84", "85+")</f>
        <v>65-69</v>
      </c>
      <c r="D7907" t="s">
        <v>8</v>
      </c>
    </row>
    <row r="7908" spans="1:4">
      <c r="A7908" t="s">
        <v>6</v>
      </c>
      <c r="B7908">
        <v>36</v>
      </c>
      <c r="C7908" t="str">
        <f>CHOOSE(MATCH(B7908, {20,25,30,35,40,45,50,55,60,65,70,75,80,85}, 1), "20-24", "25-29", "30-34", "35-39", "40-44", "45-49", "50-54", "55-59", "60-64", "65-69", "70-74", "75-79", "80-84", "85+")</f>
        <v>35-39</v>
      </c>
      <c r="D7908" t="s">
        <v>7</v>
      </c>
    </row>
    <row r="7909" spans="1:4">
      <c r="A7909" t="s">
        <v>6</v>
      </c>
      <c r="B7909">
        <v>62</v>
      </c>
      <c r="C7909" t="str">
        <f>CHOOSE(MATCH(B7909, {20,25,30,35,40,45,50,55,60,65,70,75,80,85}, 1), "20-24", "25-29", "30-34", "35-39", "40-44", "45-49", "50-54", "55-59", "60-64", "65-69", "70-74", "75-79", "80-84", "85+")</f>
        <v>60-64</v>
      </c>
      <c r="D7909" t="s">
        <v>8</v>
      </c>
    </row>
    <row r="7910" spans="1:4">
      <c r="A7910" t="s">
        <v>6</v>
      </c>
      <c r="B7910">
        <v>34</v>
      </c>
      <c r="C7910" t="str">
        <f>CHOOSE(MATCH(B7910, {20,25,30,35,40,45,50,55,60,65,70,75,80,85}, 1), "20-24", "25-29", "30-34", "35-39", "40-44", "45-49", "50-54", "55-59", "60-64", "65-69", "70-74", "75-79", "80-84", "85+")</f>
        <v>30-34</v>
      </c>
      <c r="D7910" t="s">
        <v>7</v>
      </c>
    </row>
    <row r="7911" spans="1:4">
      <c r="A7911" t="s">
        <v>6</v>
      </c>
      <c r="B7911">
        <v>48</v>
      </c>
      <c r="C7911" t="str">
        <f>CHOOSE(MATCH(B7911, {20,25,30,35,40,45,50,55,60,65,70,75,80,85}, 1), "20-24", "25-29", "30-34", "35-39", "40-44", "45-49", "50-54", "55-59", "60-64", "65-69", "70-74", "75-79", "80-84", "85+")</f>
        <v>45-49</v>
      </c>
      <c r="D7911" t="s">
        <v>8</v>
      </c>
    </row>
    <row r="7912" spans="1:4">
      <c r="A7912" t="s">
        <v>6</v>
      </c>
      <c r="B7912">
        <v>55</v>
      </c>
      <c r="C7912" t="str">
        <f>CHOOSE(MATCH(B7912, {20,25,30,35,40,45,50,55,60,65,70,75,80,85}, 1), "20-24", "25-29", "30-34", "35-39", "40-44", "45-49", "50-54", "55-59", "60-64", "65-69", "70-74", "75-79", "80-84", "85+")</f>
        <v>55-59</v>
      </c>
      <c r="D7912" t="s">
        <v>8</v>
      </c>
    </row>
    <row r="7913" spans="1:4">
      <c r="A7913" t="s">
        <v>6</v>
      </c>
      <c r="B7913">
        <v>53</v>
      </c>
      <c r="C7913" t="str">
        <f>CHOOSE(MATCH(B7913, {20,25,30,35,40,45,50,55,60,65,70,75,80,85}, 1), "20-24", "25-29", "30-34", "35-39", "40-44", "45-49", "50-54", "55-59", "60-64", "65-69", "70-74", "75-79", "80-84", "85+")</f>
        <v>50-54</v>
      </c>
      <c r="D7913" t="s">
        <v>7</v>
      </c>
    </row>
    <row r="7914" spans="1:4">
      <c r="A7914" t="s">
        <v>6</v>
      </c>
      <c r="B7914">
        <v>39</v>
      </c>
      <c r="C7914" t="str">
        <f>CHOOSE(MATCH(B7914, {20,25,30,35,40,45,50,55,60,65,70,75,80,85}, 1), "20-24", "25-29", "30-34", "35-39", "40-44", "45-49", "50-54", "55-59", "60-64", "65-69", "70-74", "75-79", "80-84", "85+")</f>
        <v>35-39</v>
      </c>
      <c r="D7914" t="s">
        <v>7</v>
      </c>
    </row>
    <row r="7915" spans="1:4">
      <c r="A7915" t="s">
        <v>6</v>
      </c>
      <c r="B7915">
        <v>36</v>
      </c>
      <c r="C7915" t="str">
        <f>CHOOSE(MATCH(B7915, {20,25,30,35,40,45,50,55,60,65,70,75,80,85}, 1), "20-24", "25-29", "30-34", "35-39", "40-44", "45-49", "50-54", "55-59", "60-64", "65-69", "70-74", "75-79", "80-84", "85+")</f>
        <v>35-39</v>
      </c>
      <c r="D7915" t="s">
        <v>8</v>
      </c>
    </row>
    <row r="7916" spans="1:4">
      <c r="A7916" t="s">
        <v>6</v>
      </c>
      <c r="B7916">
        <v>21</v>
      </c>
      <c r="C7916" t="str">
        <f>CHOOSE(MATCH(B7916, {20,25,30,35,40,45,50,55,60,65,70,75,80,85}, 1), "20-24", "25-29", "30-34", "35-39", "40-44", "45-49", "50-54", "55-59", "60-64", "65-69", "70-74", "75-79", "80-84", "85+")</f>
        <v>20-24</v>
      </c>
      <c r="D7916" t="s">
        <v>7</v>
      </c>
    </row>
    <row r="7917" spans="1:4">
      <c r="A7917" t="s">
        <v>6</v>
      </c>
      <c r="B7917">
        <v>48</v>
      </c>
      <c r="C7917" t="str">
        <f>CHOOSE(MATCH(B7917, {20,25,30,35,40,45,50,55,60,65,70,75,80,85}, 1), "20-24", "25-29", "30-34", "35-39", "40-44", "45-49", "50-54", "55-59", "60-64", "65-69", "70-74", "75-79", "80-84", "85+")</f>
        <v>45-49</v>
      </c>
      <c r="D7917" t="s">
        <v>8</v>
      </c>
    </row>
    <row r="7918" spans="1:4">
      <c r="A7918" t="s">
        <v>6</v>
      </c>
      <c r="B7918">
        <v>33</v>
      </c>
      <c r="C7918" t="str">
        <f>CHOOSE(MATCH(B7918, {20,25,30,35,40,45,50,55,60,65,70,75,80,85}, 1), "20-24", "25-29", "30-34", "35-39", "40-44", "45-49", "50-54", "55-59", "60-64", "65-69", "70-74", "75-79", "80-84", "85+")</f>
        <v>30-34</v>
      </c>
      <c r="D7918" t="s">
        <v>7</v>
      </c>
    </row>
    <row r="7919" spans="1:4">
      <c r="A7919" t="s">
        <v>6</v>
      </c>
      <c r="B7919">
        <v>28</v>
      </c>
      <c r="C7919" t="str">
        <f>CHOOSE(MATCH(B7919, {20,25,30,35,40,45,50,55,60,65,70,75,80,85}, 1), "20-24", "25-29", "30-34", "35-39", "40-44", "45-49", "50-54", "55-59", "60-64", "65-69", "70-74", "75-79", "80-84", "85+")</f>
        <v>25-29</v>
      </c>
      <c r="D7919" t="s">
        <v>7</v>
      </c>
    </row>
    <row r="7920" spans="1:4">
      <c r="A7920" t="s">
        <v>6</v>
      </c>
      <c r="B7920">
        <v>59</v>
      </c>
      <c r="C7920" t="str">
        <f>CHOOSE(MATCH(B7920, {20,25,30,35,40,45,50,55,60,65,70,75,80,85}, 1), "20-24", "25-29", "30-34", "35-39", "40-44", "45-49", "50-54", "55-59", "60-64", "65-69", "70-74", "75-79", "80-84", "85+")</f>
        <v>55-59</v>
      </c>
      <c r="D7920" t="s">
        <v>7</v>
      </c>
    </row>
    <row r="7921" spans="1:4">
      <c r="A7921" t="s">
        <v>6</v>
      </c>
      <c r="B7921">
        <v>62</v>
      </c>
      <c r="C7921" t="str">
        <f>CHOOSE(MATCH(B7921, {20,25,30,35,40,45,50,55,60,65,70,75,80,85}, 1), "20-24", "25-29", "30-34", "35-39", "40-44", "45-49", "50-54", "55-59", "60-64", "65-69", "70-74", "75-79", "80-84", "85+")</f>
        <v>60-64</v>
      </c>
      <c r="D7921" t="s">
        <v>8</v>
      </c>
    </row>
    <row r="7922" spans="1:4">
      <c r="A7922" t="s">
        <v>6</v>
      </c>
      <c r="B7922">
        <v>64</v>
      </c>
      <c r="C7922" t="str">
        <f>CHOOSE(MATCH(B7922, {20,25,30,35,40,45,50,55,60,65,70,75,80,85}, 1), "20-24", "25-29", "30-34", "35-39", "40-44", "45-49", "50-54", "55-59", "60-64", "65-69", "70-74", "75-79", "80-84", "85+")</f>
        <v>60-64</v>
      </c>
      <c r="D7922" t="s">
        <v>8</v>
      </c>
    </row>
    <row r="7923" spans="1:4">
      <c r="A7923" t="s">
        <v>6</v>
      </c>
      <c r="B7923">
        <v>34</v>
      </c>
      <c r="C7923" t="str">
        <f>CHOOSE(MATCH(B7923, {20,25,30,35,40,45,50,55,60,65,70,75,80,85}, 1), "20-24", "25-29", "30-34", "35-39", "40-44", "45-49", "50-54", "55-59", "60-64", "65-69", "70-74", "75-79", "80-84", "85+")</f>
        <v>30-34</v>
      </c>
      <c r="D7923" t="s">
        <v>7</v>
      </c>
    </row>
    <row r="7924" spans="1:4">
      <c r="A7924" t="s">
        <v>6</v>
      </c>
      <c r="B7924">
        <v>81</v>
      </c>
      <c r="C7924" t="str">
        <f>CHOOSE(MATCH(B7924, {20,25,30,35,40,45,50,55,60,65,70,75,80,85}, 1), "20-24", "25-29", "30-34", "35-39", "40-44", "45-49", "50-54", "55-59", "60-64", "65-69", "70-74", "75-79", "80-84", "85+")</f>
        <v>80-84</v>
      </c>
      <c r="D7924" t="s">
        <v>8</v>
      </c>
    </row>
    <row r="7925" spans="1:4">
      <c r="A7925" t="s">
        <v>6</v>
      </c>
      <c r="B7925">
        <v>37</v>
      </c>
      <c r="C7925" t="str">
        <f>CHOOSE(MATCH(B7925, {20,25,30,35,40,45,50,55,60,65,70,75,80,85}, 1), "20-24", "25-29", "30-34", "35-39", "40-44", "45-49", "50-54", "55-59", "60-64", "65-69", "70-74", "75-79", "80-84", "85+")</f>
        <v>35-39</v>
      </c>
      <c r="D7925" t="s">
        <v>7</v>
      </c>
    </row>
    <row r="7926" spans="1:4">
      <c r="A7926" t="s">
        <v>6</v>
      </c>
      <c r="B7926">
        <v>57</v>
      </c>
      <c r="C7926" t="str">
        <f>CHOOSE(MATCH(B7926, {20,25,30,35,40,45,50,55,60,65,70,75,80,85}, 1), "20-24", "25-29", "30-34", "35-39", "40-44", "45-49", "50-54", "55-59", "60-64", "65-69", "70-74", "75-79", "80-84", "85+")</f>
        <v>55-59</v>
      </c>
      <c r="D7926" t="s">
        <v>7</v>
      </c>
    </row>
    <row r="7927" spans="1:4">
      <c r="A7927" t="s">
        <v>6</v>
      </c>
      <c r="B7927">
        <v>55</v>
      </c>
      <c r="C7927" t="str">
        <f>CHOOSE(MATCH(B7927, {20,25,30,35,40,45,50,55,60,65,70,75,80,85}, 1), "20-24", "25-29", "30-34", "35-39", "40-44", "45-49", "50-54", "55-59", "60-64", "65-69", "70-74", "75-79", "80-84", "85+")</f>
        <v>55-59</v>
      </c>
      <c r="D7927" t="s">
        <v>7</v>
      </c>
    </row>
    <row r="7928" spans="1:4">
      <c r="A7928" t="s">
        <v>6</v>
      </c>
      <c r="B7928">
        <v>38</v>
      </c>
      <c r="C7928" t="str">
        <f>CHOOSE(MATCH(B7928, {20,25,30,35,40,45,50,55,60,65,70,75,80,85}, 1), "20-24", "25-29", "30-34", "35-39", "40-44", "45-49", "50-54", "55-59", "60-64", "65-69", "70-74", "75-79", "80-84", "85+")</f>
        <v>35-39</v>
      </c>
      <c r="D7928" t="s">
        <v>7</v>
      </c>
    </row>
    <row r="7929" spans="1:4">
      <c r="A7929" t="s">
        <v>6</v>
      </c>
      <c r="B7929">
        <v>71</v>
      </c>
      <c r="C7929" t="str">
        <f>CHOOSE(MATCH(B7929, {20,25,30,35,40,45,50,55,60,65,70,75,80,85}, 1), "20-24", "25-29", "30-34", "35-39", "40-44", "45-49", "50-54", "55-59", "60-64", "65-69", "70-74", "75-79", "80-84", "85+")</f>
        <v>70-74</v>
      </c>
      <c r="D7929" t="s">
        <v>7</v>
      </c>
    </row>
    <row r="7930" spans="1:4">
      <c r="A7930" t="s">
        <v>6</v>
      </c>
      <c r="B7930">
        <v>26</v>
      </c>
      <c r="C7930" t="str">
        <f>CHOOSE(MATCH(B7930, {20,25,30,35,40,45,50,55,60,65,70,75,80,85}, 1), "20-24", "25-29", "30-34", "35-39", "40-44", "45-49", "50-54", "55-59", "60-64", "65-69", "70-74", "75-79", "80-84", "85+")</f>
        <v>25-29</v>
      </c>
      <c r="D7930" t="s">
        <v>7</v>
      </c>
    </row>
    <row r="7931" spans="1:4">
      <c r="A7931" t="s">
        <v>6</v>
      </c>
      <c r="B7931">
        <v>51</v>
      </c>
      <c r="C7931" t="str">
        <f>CHOOSE(MATCH(B7931, {20,25,30,35,40,45,50,55,60,65,70,75,80,85}, 1), "20-24", "25-29", "30-34", "35-39", "40-44", "45-49", "50-54", "55-59", "60-64", "65-69", "70-74", "75-79", "80-84", "85+")</f>
        <v>50-54</v>
      </c>
      <c r="D7931" t="s">
        <v>7</v>
      </c>
    </row>
    <row r="7932" spans="1:4">
      <c r="A7932" t="s">
        <v>6</v>
      </c>
      <c r="B7932">
        <v>47</v>
      </c>
      <c r="C7932" t="str">
        <f>CHOOSE(MATCH(B7932, {20,25,30,35,40,45,50,55,60,65,70,75,80,85}, 1), "20-24", "25-29", "30-34", "35-39", "40-44", "45-49", "50-54", "55-59", "60-64", "65-69", "70-74", "75-79", "80-84", "85+")</f>
        <v>45-49</v>
      </c>
      <c r="D7932" t="s">
        <v>7</v>
      </c>
    </row>
    <row r="7933" spans="1:4">
      <c r="A7933" t="s">
        <v>6</v>
      </c>
      <c r="B7933">
        <v>73</v>
      </c>
      <c r="C7933" t="str">
        <f>CHOOSE(MATCH(B7933, {20,25,30,35,40,45,50,55,60,65,70,75,80,85}, 1), "20-24", "25-29", "30-34", "35-39", "40-44", "45-49", "50-54", "55-59", "60-64", "65-69", "70-74", "75-79", "80-84", "85+")</f>
        <v>70-74</v>
      </c>
      <c r="D7933" t="s">
        <v>8</v>
      </c>
    </row>
    <row r="7934" spans="1:4">
      <c r="A7934" t="s">
        <v>6</v>
      </c>
      <c r="B7934">
        <v>40</v>
      </c>
      <c r="C7934" t="str">
        <f>CHOOSE(MATCH(B7934, {20,25,30,35,40,45,50,55,60,65,70,75,80,85}, 1), "20-24", "25-29", "30-34", "35-39", "40-44", "45-49", "50-54", "55-59", "60-64", "65-69", "70-74", "75-79", "80-84", "85+")</f>
        <v>40-44</v>
      </c>
      <c r="D7934" t="s">
        <v>7</v>
      </c>
    </row>
    <row r="7935" spans="1:4">
      <c r="A7935" t="s">
        <v>6</v>
      </c>
      <c r="B7935">
        <v>21</v>
      </c>
      <c r="C7935" t="str">
        <f>CHOOSE(MATCH(B7935, {20,25,30,35,40,45,50,55,60,65,70,75,80,85}, 1), "20-24", "25-29", "30-34", "35-39", "40-44", "45-49", "50-54", "55-59", "60-64", "65-69", "70-74", "75-79", "80-84", "85+")</f>
        <v>20-24</v>
      </c>
      <c r="D7935" t="s">
        <v>7</v>
      </c>
    </row>
    <row r="7936" spans="1:4">
      <c r="A7936" t="s">
        <v>6</v>
      </c>
      <c r="B7936">
        <v>34</v>
      </c>
      <c r="C7936" t="str">
        <f>CHOOSE(MATCH(B7936, {20,25,30,35,40,45,50,55,60,65,70,75,80,85}, 1), "20-24", "25-29", "30-34", "35-39", "40-44", "45-49", "50-54", "55-59", "60-64", "65-69", "70-74", "75-79", "80-84", "85+")</f>
        <v>30-34</v>
      </c>
      <c r="D7936" t="s">
        <v>7</v>
      </c>
    </row>
    <row r="7937" spans="1:4">
      <c r="A7937" t="s">
        <v>6</v>
      </c>
      <c r="B7937">
        <v>58</v>
      </c>
      <c r="C7937" t="str">
        <f>CHOOSE(MATCH(B7937, {20,25,30,35,40,45,50,55,60,65,70,75,80,85}, 1), "20-24", "25-29", "30-34", "35-39", "40-44", "45-49", "50-54", "55-59", "60-64", "65-69", "70-74", "75-79", "80-84", "85+")</f>
        <v>55-59</v>
      </c>
      <c r="D7937" t="s">
        <v>8</v>
      </c>
    </row>
    <row r="7938" spans="1:4">
      <c r="A7938" t="s">
        <v>6</v>
      </c>
      <c r="B7938">
        <v>75</v>
      </c>
      <c r="C7938" t="str">
        <f>CHOOSE(MATCH(B7938, {20,25,30,35,40,45,50,55,60,65,70,75,80,85}, 1), "20-24", "25-29", "30-34", "35-39", "40-44", "45-49", "50-54", "55-59", "60-64", "65-69", "70-74", "75-79", "80-84", "85+")</f>
        <v>75-79</v>
      </c>
      <c r="D7938" t="s">
        <v>7</v>
      </c>
    </row>
    <row r="7939" spans="1:4">
      <c r="A7939" t="s">
        <v>6</v>
      </c>
      <c r="B7939">
        <v>41</v>
      </c>
      <c r="C7939" t="str">
        <f>CHOOSE(MATCH(B7939, {20,25,30,35,40,45,50,55,60,65,70,75,80,85}, 1), "20-24", "25-29", "30-34", "35-39", "40-44", "45-49", "50-54", "55-59", "60-64", "65-69", "70-74", "75-79", "80-84", "85+")</f>
        <v>40-44</v>
      </c>
      <c r="D7939" t="s">
        <v>7</v>
      </c>
    </row>
    <row r="7940" spans="1:4">
      <c r="A7940" t="s">
        <v>6</v>
      </c>
      <c r="B7940">
        <v>34</v>
      </c>
      <c r="C7940" t="str">
        <f>CHOOSE(MATCH(B7940, {20,25,30,35,40,45,50,55,60,65,70,75,80,85}, 1), "20-24", "25-29", "30-34", "35-39", "40-44", "45-49", "50-54", "55-59", "60-64", "65-69", "70-74", "75-79", "80-84", "85+")</f>
        <v>30-34</v>
      </c>
      <c r="D7940" t="s">
        <v>8</v>
      </c>
    </row>
    <row r="7941" spans="1:4">
      <c r="A7941" t="s">
        <v>6</v>
      </c>
      <c r="B7941">
        <v>47</v>
      </c>
      <c r="C7941" t="str">
        <f>CHOOSE(MATCH(B7941, {20,25,30,35,40,45,50,55,60,65,70,75,80,85}, 1), "20-24", "25-29", "30-34", "35-39", "40-44", "45-49", "50-54", "55-59", "60-64", "65-69", "70-74", "75-79", "80-84", "85+")</f>
        <v>45-49</v>
      </c>
      <c r="D7941" t="s">
        <v>8</v>
      </c>
    </row>
    <row r="7942" spans="1:4">
      <c r="A7942" t="s">
        <v>6</v>
      </c>
      <c r="B7942">
        <v>44</v>
      </c>
      <c r="C7942" t="str">
        <f>CHOOSE(MATCH(B7942, {20,25,30,35,40,45,50,55,60,65,70,75,80,85}, 1), "20-24", "25-29", "30-34", "35-39", "40-44", "45-49", "50-54", "55-59", "60-64", "65-69", "70-74", "75-79", "80-84", "85+")</f>
        <v>40-44</v>
      </c>
      <c r="D7942" t="s">
        <v>7</v>
      </c>
    </row>
    <row r="7943" spans="1:4">
      <c r="A7943" t="s">
        <v>6</v>
      </c>
      <c r="B7943">
        <v>46</v>
      </c>
      <c r="C7943" t="str">
        <f>CHOOSE(MATCH(B7943, {20,25,30,35,40,45,50,55,60,65,70,75,80,85}, 1), "20-24", "25-29", "30-34", "35-39", "40-44", "45-49", "50-54", "55-59", "60-64", "65-69", "70-74", "75-79", "80-84", "85+")</f>
        <v>45-49</v>
      </c>
      <c r="D7943" t="s">
        <v>8</v>
      </c>
    </row>
    <row r="7944" spans="1:4">
      <c r="A7944" t="s">
        <v>6</v>
      </c>
      <c r="B7944">
        <v>38</v>
      </c>
      <c r="C7944" t="str">
        <f>CHOOSE(MATCH(B7944, {20,25,30,35,40,45,50,55,60,65,70,75,80,85}, 1), "20-24", "25-29", "30-34", "35-39", "40-44", "45-49", "50-54", "55-59", "60-64", "65-69", "70-74", "75-79", "80-84", "85+")</f>
        <v>35-39</v>
      </c>
      <c r="D7944" t="s">
        <v>7</v>
      </c>
    </row>
    <row r="7945" spans="1:4">
      <c r="A7945" t="s">
        <v>6</v>
      </c>
      <c r="B7945">
        <v>48</v>
      </c>
      <c r="C7945" t="str">
        <f>CHOOSE(MATCH(B7945, {20,25,30,35,40,45,50,55,60,65,70,75,80,85}, 1), "20-24", "25-29", "30-34", "35-39", "40-44", "45-49", "50-54", "55-59", "60-64", "65-69", "70-74", "75-79", "80-84", "85+")</f>
        <v>45-49</v>
      </c>
      <c r="D7945" t="s">
        <v>7</v>
      </c>
    </row>
    <row r="7946" spans="1:4">
      <c r="A7946" t="s">
        <v>6</v>
      </c>
      <c r="B7946">
        <v>56</v>
      </c>
      <c r="C7946" t="str">
        <f>CHOOSE(MATCH(B7946, {20,25,30,35,40,45,50,55,60,65,70,75,80,85}, 1), "20-24", "25-29", "30-34", "35-39", "40-44", "45-49", "50-54", "55-59", "60-64", "65-69", "70-74", "75-79", "80-84", "85+")</f>
        <v>55-59</v>
      </c>
      <c r="D7946" t="s">
        <v>7</v>
      </c>
    </row>
    <row r="7947" spans="1:4">
      <c r="A7947" t="s">
        <v>6</v>
      </c>
      <c r="B7947">
        <v>20</v>
      </c>
      <c r="C7947" t="str">
        <f>CHOOSE(MATCH(B7947, {20,25,30,35,40,45,50,55,60,65,70,75,80,85}, 1), "20-24", "25-29", "30-34", "35-39", "40-44", "45-49", "50-54", "55-59", "60-64", "65-69", "70-74", "75-79", "80-84", "85+")</f>
        <v>20-24</v>
      </c>
      <c r="D7947" t="s">
        <v>7</v>
      </c>
    </row>
    <row r="7948" spans="1:4">
      <c r="A7948" t="s">
        <v>6</v>
      </c>
      <c r="B7948">
        <v>41</v>
      </c>
      <c r="C7948" t="str">
        <f>CHOOSE(MATCH(B7948, {20,25,30,35,40,45,50,55,60,65,70,75,80,85}, 1), "20-24", "25-29", "30-34", "35-39", "40-44", "45-49", "50-54", "55-59", "60-64", "65-69", "70-74", "75-79", "80-84", "85+")</f>
        <v>40-44</v>
      </c>
      <c r="D7948" t="s">
        <v>7</v>
      </c>
    </row>
    <row r="7949" spans="1:4">
      <c r="A7949" t="s">
        <v>6</v>
      </c>
      <c r="B7949">
        <v>32</v>
      </c>
      <c r="C7949" t="str">
        <f>CHOOSE(MATCH(B7949, {20,25,30,35,40,45,50,55,60,65,70,75,80,85}, 1), "20-24", "25-29", "30-34", "35-39", "40-44", "45-49", "50-54", "55-59", "60-64", "65-69", "70-74", "75-79", "80-84", "85+")</f>
        <v>30-34</v>
      </c>
      <c r="D7949" t="s">
        <v>7</v>
      </c>
    </row>
    <row r="7950" spans="1:4">
      <c r="A7950" t="s">
        <v>6</v>
      </c>
      <c r="B7950">
        <v>48</v>
      </c>
      <c r="C7950" t="str">
        <f>CHOOSE(MATCH(B7950, {20,25,30,35,40,45,50,55,60,65,70,75,80,85}, 1), "20-24", "25-29", "30-34", "35-39", "40-44", "45-49", "50-54", "55-59", "60-64", "65-69", "70-74", "75-79", "80-84", "85+")</f>
        <v>45-49</v>
      </c>
      <c r="D7950" t="s">
        <v>8</v>
      </c>
    </row>
    <row r="7951" spans="1:4">
      <c r="A7951" t="s">
        <v>6</v>
      </c>
      <c r="B7951">
        <v>38</v>
      </c>
      <c r="C7951" t="str">
        <f>CHOOSE(MATCH(B7951, {20,25,30,35,40,45,50,55,60,65,70,75,80,85}, 1), "20-24", "25-29", "30-34", "35-39", "40-44", "45-49", "50-54", "55-59", "60-64", "65-69", "70-74", "75-79", "80-84", "85+")</f>
        <v>35-39</v>
      </c>
      <c r="D7951" t="s">
        <v>8</v>
      </c>
    </row>
    <row r="7952" spans="1:4">
      <c r="A7952" t="s">
        <v>6</v>
      </c>
      <c r="B7952">
        <v>68</v>
      </c>
      <c r="C7952" t="str">
        <f>CHOOSE(MATCH(B7952, {20,25,30,35,40,45,50,55,60,65,70,75,80,85}, 1), "20-24", "25-29", "30-34", "35-39", "40-44", "45-49", "50-54", "55-59", "60-64", "65-69", "70-74", "75-79", "80-84", "85+")</f>
        <v>65-69</v>
      </c>
      <c r="D7952" t="s">
        <v>8</v>
      </c>
    </row>
    <row r="7953" spans="1:4">
      <c r="A7953" t="s">
        <v>6</v>
      </c>
      <c r="B7953">
        <v>30</v>
      </c>
      <c r="C7953" t="str">
        <f>CHOOSE(MATCH(B7953, {20,25,30,35,40,45,50,55,60,65,70,75,80,85}, 1), "20-24", "25-29", "30-34", "35-39", "40-44", "45-49", "50-54", "55-59", "60-64", "65-69", "70-74", "75-79", "80-84", "85+")</f>
        <v>30-34</v>
      </c>
      <c r="D7953" t="s">
        <v>7</v>
      </c>
    </row>
    <row r="7954" spans="1:4">
      <c r="A7954" t="s">
        <v>6</v>
      </c>
      <c r="B7954">
        <v>31</v>
      </c>
      <c r="C7954" t="str">
        <f>CHOOSE(MATCH(B7954, {20,25,30,35,40,45,50,55,60,65,70,75,80,85}, 1), "20-24", "25-29", "30-34", "35-39", "40-44", "45-49", "50-54", "55-59", "60-64", "65-69", "70-74", "75-79", "80-84", "85+")</f>
        <v>30-34</v>
      </c>
      <c r="D7954" t="s">
        <v>8</v>
      </c>
    </row>
    <row r="7955" spans="1:4">
      <c r="A7955" t="s">
        <v>6</v>
      </c>
      <c r="B7955">
        <v>38</v>
      </c>
      <c r="C7955" t="str">
        <f>CHOOSE(MATCH(B7955, {20,25,30,35,40,45,50,55,60,65,70,75,80,85}, 1), "20-24", "25-29", "30-34", "35-39", "40-44", "45-49", "50-54", "55-59", "60-64", "65-69", "70-74", "75-79", "80-84", "85+")</f>
        <v>35-39</v>
      </c>
      <c r="D7955" t="s">
        <v>7</v>
      </c>
    </row>
    <row r="7956" spans="1:4">
      <c r="A7956" t="s">
        <v>6</v>
      </c>
      <c r="B7956">
        <v>20</v>
      </c>
      <c r="C7956" t="str">
        <f>CHOOSE(MATCH(B7956, {20,25,30,35,40,45,50,55,60,65,70,75,80,85}, 1), "20-24", "25-29", "30-34", "35-39", "40-44", "45-49", "50-54", "55-59", "60-64", "65-69", "70-74", "75-79", "80-84", "85+")</f>
        <v>20-24</v>
      </c>
      <c r="D7956" t="s">
        <v>7</v>
      </c>
    </row>
    <row r="7957" spans="1:4">
      <c r="A7957" t="s">
        <v>6</v>
      </c>
      <c r="B7957">
        <v>86</v>
      </c>
      <c r="C7957" t="str">
        <f>CHOOSE(MATCH(B7957, {20,25,30,35,40,45,50,55,60,65,70,75,80,85}, 1), "20-24", "25-29", "30-34", "35-39", "40-44", "45-49", "50-54", "55-59", "60-64", "65-69", "70-74", "75-79", "80-84", "85+")</f>
        <v>85+</v>
      </c>
      <c r="D7957" t="s">
        <v>7</v>
      </c>
    </row>
    <row r="7958" spans="1:4">
      <c r="A7958" t="s">
        <v>6</v>
      </c>
      <c r="B7958">
        <v>38</v>
      </c>
      <c r="C7958" t="str">
        <f>CHOOSE(MATCH(B7958, {20,25,30,35,40,45,50,55,60,65,70,75,80,85}, 1), "20-24", "25-29", "30-34", "35-39", "40-44", "45-49", "50-54", "55-59", "60-64", "65-69", "70-74", "75-79", "80-84", "85+")</f>
        <v>35-39</v>
      </c>
      <c r="D7958" t="s">
        <v>7</v>
      </c>
    </row>
    <row r="7959" spans="1:4">
      <c r="A7959" t="s">
        <v>6</v>
      </c>
      <c r="B7959">
        <v>67</v>
      </c>
      <c r="C7959" t="str">
        <f>CHOOSE(MATCH(B7959, {20,25,30,35,40,45,50,55,60,65,70,75,80,85}, 1), "20-24", "25-29", "30-34", "35-39", "40-44", "45-49", "50-54", "55-59", "60-64", "65-69", "70-74", "75-79", "80-84", "85+")</f>
        <v>65-69</v>
      </c>
      <c r="D7959" t="s">
        <v>8</v>
      </c>
    </row>
    <row r="7960" spans="1:4">
      <c r="A7960" t="s">
        <v>6</v>
      </c>
      <c r="B7960">
        <v>71</v>
      </c>
      <c r="C7960" t="str">
        <f>CHOOSE(MATCH(B7960, {20,25,30,35,40,45,50,55,60,65,70,75,80,85}, 1), "20-24", "25-29", "30-34", "35-39", "40-44", "45-49", "50-54", "55-59", "60-64", "65-69", "70-74", "75-79", "80-84", "85+")</f>
        <v>70-74</v>
      </c>
      <c r="D7960" t="s">
        <v>7</v>
      </c>
    </row>
    <row r="7961" spans="1:4">
      <c r="A7961" t="s">
        <v>6</v>
      </c>
      <c r="B7961">
        <v>40</v>
      </c>
      <c r="C7961" t="str">
        <f>CHOOSE(MATCH(B7961, {20,25,30,35,40,45,50,55,60,65,70,75,80,85}, 1), "20-24", "25-29", "30-34", "35-39", "40-44", "45-49", "50-54", "55-59", "60-64", "65-69", "70-74", "75-79", "80-84", "85+")</f>
        <v>40-44</v>
      </c>
      <c r="D7961" t="s">
        <v>7</v>
      </c>
    </row>
    <row r="7962" spans="1:4">
      <c r="A7962" t="s">
        <v>6</v>
      </c>
      <c r="B7962">
        <v>40</v>
      </c>
      <c r="C7962" t="str">
        <f>CHOOSE(MATCH(B7962, {20,25,30,35,40,45,50,55,60,65,70,75,80,85}, 1), "20-24", "25-29", "30-34", "35-39", "40-44", "45-49", "50-54", "55-59", "60-64", "65-69", "70-74", "75-79", "80-84", "85+")</f>
        <v>40-44</v>
      </c>
      <c r="D7962" t="s">
        <v>7</v>
      </c>
    </row>
    <row r="7963" spans="1:4">
      <c r="A7963" t="s">
        <v>6</v>
      </c>
      <c r="B7963">
        <v>22</v>
      </c>
      <c r="C7963" t="str">
        <f>CHOOSE(MATCH(B7963, {20,25,30,35,40,45,50,55,60,65,70,75,80,85}, 1), "20-24", "25-29", "30-34", "35-39", "40-44", "45-49", "50-54", "55-59", "60-64", "65-69", "70-74", "75-79", "80-84", "85+")</f>
        <v>20-24</v>
      </c>
      <c r="D7963" t="s">
        <v>7</v>
      </c>
    </row>
    <row r="7964" spans="1:4">
      <c r="A7964" t="s">
        <v>6</v>
      </c>
      <c r="B7964">
        <v>51</v>
      </c>
      <c r="C7964" t="str">
        <f>CHOOSE(MATCH(B7964, {20,25,30,35,40,45,50,55,60,65,70,75,80,85}, 1), "20-24", "25-29", "30-34", "35-39", "40-44", "45-49", "50-54", "55-59", "60-64", "65-69", "70-74", "75-79", "80-84", "85+")</f>
        <v>50-54</v>
      </c>
      <c r="D7964" t="s">
        <v>7</v>
      </c>
    </row>
    <row r="7965" spans="1:4">
      <c r="A7965" t="s">
        <v>6</v>
      </c>
      <c r="B7965">
        <v>33</v>
      </c>
      <c r="C7965" t="str">
        <f>CHOOSE(MATCH(B7965, {20,25,30,35,40,45,50,55,60,65,70,75,80,85}, 1), "20-24", "25-29", "30-34", "35-39", "40-44", "45-49", "50-54", "55-59", "60-64", "65-69", "70-74", "75-79", "80-84", "85+")</f>
        <v>30-34</v>
      </c>
      <c r="D7965" t="s">
        <v>7</v>
      </c>
    </row>
    <row r="7966" spans="1:4">
      <c r="A7966" t="s">
        <v>6</v>
      </c>
      <c r="B7966">
        <v>48</v>
      </c>
      <c r="C7966" t="str">
        <f>CHOOSE(MATCH(B7966, {20,25,30,35,40,45,50,55,60,65,70,75,80,85}, 1), "20-24", "25-29", "30-34", "35-39", "40-44", "45-49", "50-54", "55-59", "60-64", "65-69", "70-74", "75-79", "80-84", "85+")</f>
        <v>45-49</v>
      </c>
      <c r="D7966" t="s">
        <v>7</v>
      </c>
    </row>
    <row r="7967" spans="1:4">
      <c r="A7967" t="s">
        <v>6</v>
      </c>
      <c r="B7967">
        <v>44</v>
      </c>
      <c r="C7967" t="str">
        <f>CHOOSE(MATCH(B7967, {20,25,30,35,40,45,50,55,60,65,70,75,80,85}, 1), "20-24", "25-29", "30-34", "35-39", "40-44", "45-49", "50-54", "55-59", "60-64", "65-69", "70-74", "75-79", "80-84", "85+")</f>
        <v>40-44</v>
      </c>
      <c r="D7967" t="s">
        <v>7</v>
      </c>
    </row>
    <row r="7968" spans="1:4">
      <c r="A7968" t="s">
        <v>6</v>
      </c>
      <c r="B7968">
        <v>34</v>
      </c>
      <c r="C7968" t="str">
        <f>CHOOSE(MATCH(B7968, {20,25,30,35,40,45,50,55,60,65,70,75,80,85}, 1), "20-24", "25-29", "30-34", "35-39", "40-44", "45-49", "50-54", "55-59", "60-64", "65-69", "70-74", "75-79", "80-84", "85+")</f>
        <v>30-34</v>
      </c>
      <c r="D7968" t="s">
        <v>7</v>
      </c>
    </row>
    <row r="7969" spans="1:4">
      <c r="A7969" t="s">
        <v>6</v>
      </c>
      <c r="B7969">
        <v>80</v>
      </c>
      <c r="C7969" t="str">
        <f>CHOOSE(MATCH(B7969, {20,25,30,35,40,45,50,55,60,65,70,75,80,85}, 1), "20-24", "25-29", "30-34", "35-39", "40-44", "45-49", "50-54", "55-59", "60-64", "65-69", "70-74", "75-79", "80-84", "85+")</f>
        <v>80-84</v>
      </c>
      <c r="D7969" t="s">
        <v>7</v>
      </c>
    </row>
    <row r="7970" spans="1:4">
      <c r="A7970" t="s">
        <v>6</v>
      </c>
      <c r="B7970">
        <v>27</v>
      </c>
      <c r="C7970" t="str">
        <f>CHOOSE(MATCH(B7970, {20,25,30,35,40,45,50,55,60,65,70,75,80,85}, 1), "20-24", "25-29", "30-34", "35-39", "40-44", "45-49", "50-54", "55-59", "60-64", "65-69", "70-74", "75-79", "80-84", "85+")</f>
        <v>25-29</v>
      </c>
      <c r="D7970" t="s">
        <v>7</v>
      </c>
    </row>
    <row r="7971" spans="1:4">
      <c r="A7971" t="s">
        <v>6</v>
      </c>
      <c r="B7971">
        <v>66</v>
      </c>
      <c r="C7971" t="str">
        <f>CHOOSE(MATCH(B7971, {20,25,30,35,40,45,50,55,60,65,70,75,80,85}, 1), "20-24", "25-29", "30-34", "35-39", "40-44", "45-49", "50-54", "55-59", "60-64", "65-69", "70-74", "75-79", "80-84", "85+")</f>
        <v>65-69</v>
      </c>
      <c r="D7971" t="s">
        <v>8</v>
      </c>
    </row>
    <row r="7972" spans="1:4">
      <c r="A7972" t="s">
        <v>6</v>
      </c>
      <c r="B7972">
        <v>26</v>
      </c>
      <c r="C7972" t="str">
        <f>CHOOSE(MATCH(B7972, {20,25,30,35,40,45,50,55,60,65,70,75,80,85}, 1), "20-24", "25-29", "30-34", "35-39", "40-44", "45-49", "50-54", "55-59", "60-64", "65-69", "70-74", "75-79", "80-84", "85+")</f>
        <v>25-29</v>
      </c>
      <c r="D7972" t="s">
        <v>7</v>
      </c>
    </row>
    <row r="7973" spans="1:4">
      <c r="A7973" t="s">
        <v>6</v>
      </c>
      <c r="B7973">
        <v>34</v>
      </c>
      <c r="C7973" t="str">
        <f>CHOOSE(MATCH(B7973, {20,25,30,35,40,45,50,55,60,65,70,75,80,85}, 1), "20-24", "25-29", "30-34", "35-39", "40-44", "45-49", "50-54", "55-59", "60-64", "65-69", "70-74", "75-79", "80-84", "85+")</f>
        <v>30-34</v>
      </c>
      <c r="D7973" t="s">
        <v>8</v>
      </c>
    </row>
    <row r="7974" spans="1:4">
      <c r="A7974" t="s">
        <v>6</v>
      </c>
      <c r="B7974">
        <v>43</v>
      </c>
      <c r="C7974" t="str">
        <f>CHOOSE(MATCH(B7974, {20,25,30,35,40,45,50,55,60,65,70,75,80,85}, 1), "20-24", "25-29", "30-34", "35-39", "40-44", "45-49", "50-54", "55-59", "60-64", "65-69", "70-74", "75-79", "80-84", "85+")</f>
        <v>40-44</v>
      </c>
      <c r="D7974" t="s">
        <v>7</v>
      </c>
    </row>
    <row r="7975" spans="1:4">
      <c r="A7975" t="s">
        <v>6</v>
      </c>
      <c r="B7975">
        <v>43</v>
      </c>
      <c r="C7975" t="str">
        <f>CHOOSE(MATCH(B7975, {20,25,30,35,40,45,50,55,60,65,70,75,80,85}, 1), "20-24", "25-29", "30-34", "35-39", "40-44", "45-49", "50-54", "55-59", "60-64", "65-69", "70-74", "75-79", "80-84", "85+")</f>
        <v>40-44</v>
      </c>
      <c r="D7975" t="s">
        <v>8</v>
      </c>
    </row>
    <row r="7976" spans="1:4">
      <c r="A7976" t="s">
        <v>6</v>
      </c>
      <c r="B7976">
        <v>68</v>
      </c>
      <c r="C7976" t="str">
        <f>CHOOSE(MATCH(B7976, {20,25,30,35,40,45,50,55,60,65,70,75,80,85}, 1), "20-24", "25-29", "30-34", "35-39", "40-44", "45-49", "50-54", "55-59", "60-64", "65-69", "70-74", "75-79", "80-84", "85+")</f>
        <v>65-69</v>
      </c>
      <c r="D7976" t="s">
        <v>7</v>
      </c>
    </row>
    <row r="7977" spans="1:4">
      <c r="A7977" t="s">
        <v>6</v>
      </c>
      <c r="B7977">
        <v>31</v>
      </c>
      <c r="C7977" t="str">
        <f>CHOOSE(MATCH(B7977, {20,25,30,35,40,45,50,55,60,65,70,75,80,85}, 1), "20-24", "25-29", "30-34", "35-39", "40-44", "45-49", "50-54", "55-59", "60-64", "65-69", "70-74", "75-79", "80-84", "85+")</f>
        <v>30-34</v>
      </c>
      <c r="D7977" t="s">
        <v>7</v>
      </c>
    </row>
    <row r="7978" spans="1:4">
      <c r="A7978" t="s">
        <v>6</v>
      </c>
      <c r="B7978">
        <v>43</v>
      </c>
      <c r="C7978" t="str">
        <f>CHOOSE(MATCH(B7978, {20,25,30,35,40,45,50,55,60,65,70,75,80,85}, 1), "20-24", "25-29", "30-34", "35-39", "40-44", "45-49", "50-54", "55-59", "60-64", "65-69", "70-74", "75-79", "80-84", "85+")</f>
        <v>40-44</v>
      </c>
      <c r="D7978" t="s">
        <v>8</v>
      </c>
    </row>
    <row r="7979" spans="1:4">
      <c r="A7979" t="s">
        <v>6</v>
      </c>
      <c r="B7979">
        <v>31</v>
      </c>
      <c r="C7979" t="str">
        <f>CHOOSE(MATCH(B7979, {20,25,30,35,40,45,50,55,60,65,70,75,80,85}, 1), "20-24", "25-29", "30-34", "35-39", "40-44", "45-49", "50-54", "55-59", "60-64", "65-69", "70-74", "75-79", "80-84", "85+")</f>
        <v>30-34</v>
      </c>
      <c r="D7979" t="s">
        <v>7</v>
      </c>
    </row>
    <row r="7980" spans="1:4">
      <c r="A7980" t="s">
        <v>6</v>
      </c>
      <c r="B7980">
        <v>30</v>
      </c>
      <c r="C7980" t="str">
        <f>CHOOSE(MATCH(B7980, {20,25,30,35,40,45,50,55,60,65,70,75,80,85}, 1), "20-24", "25-29", "30-34", "35-39", "40-44", "45-49", "50-54", "55-59", "60-64", "65-69", "70-74", "75-79", "80-84", "85+")</f>
        <v>30-34</v>
      </c>
      <c r="D7980" t="s">
        <v>7</v>
      </c>
    </row>
    <row r="7981" spans="1:4">
      <c r="A7981" t="s">
        <v>6</v>
      </c>
      <c r="B7981">
        <v>34</v>
      </c>
      <c r="C7981" t="str">
        <f>CHOOSE(MATCH(B7981, {20,25,30,35,40,45,50,55,60,65,70,75,80,85}, 1), "20-24", "25-29", "30-34", "35-39", "40-44", "45-49", "50-54", "55-59", "60-64", "65-69", "70-74", "75-79", "80-84", "85+")</f>
        <v>30-34</v>
      </c>
      <c r="D7981" t="s">
        <v>7</v>
      </c>
    </row>
    <row r="7982" spans="1:4">
      <c r="A7982" t="s">
        <v>6</v>
      </c>
      <c r="B7982">
        <v>24</v>
      </c>
      <c r="C7982" t="str">
        <f>CHOOSE(MATCH(B7982, {20,25,30,35,40,45,50,55,60,65,70,75,80,85}, 1), "20-24", "25-29", "30-34", "35-39", "40-44", "45-49", "50-54", "55-59", "60-64", "65-69", "70-74", "75-79", "80-84", "85+")</f>
        <v>20-24</v>
      </c>
      <c r="D7982" t="s">
        <v>7</v>
      </c>
    </row>
    <row r="7983" spans="1:4">
      <c r="A7983" t="s">
        <v>6</v>
      </c>
      <c r="B7983">
        <v>47</v>
      </c>
      <c r="C7983" t="str">
        <f>CHOOSE(MATCH(B7983, {20,25,30,35,40,45,50,55,60,65,70,75,80,85}, 1), "20-24", "25-29", "30-34", "35-39", "40-44", "45-49", "50-54", "55-59", "60-64", "65-69", "70-74", "75-79", "80-84", "85+")</f>
        <v>45-49</v>
      </c>
      <c r="D7983" t="s">
        <v>7</v>
      </c>
    </row>
    <row r="7984" spans="1:4">
      <c r="A7984" t="s">
        <v>6</v>
      </c>
      <c r="B7984">
        <v>28</v>
      </c>
      <c r="C7984" t="str">
        <f>CHOOSE(MATCH(B7984, {20,25,30,35,40,45,50,55,60,65,70,75,80,85}, 1), "20-24", "25-29", "30-34", "35-39", "40-44", "45-49", "50-54", "55-59", "60-64", "65-69", "70-74", "75-79", "80-84", "85+")</f>
        <v>25-29</v>
      </c>
      <c r="D7984" t="s">
        <v>7</v>
      </c>
    </row>
    <row r="7985" spans="1:4">
      <c r="A7985" t="s">
        <v>6</v>
      </c>
      <c r="B7985">
        <v>86</v>
      </c>
      <c r="C7985" t="str">
        <f>CHOOSE(MATCH(B7985, {20,25,30,35,40,45,50,55,60,65,70,75,80,85}, 1), "20-24", "25-29", "30-34", "35-39", "40-44", "45-49", "50-54", "55-59", "60-64", "65-69", "70-74", "75-79", "80-84", "85+")</f>
        <v>85+</v>
      </c>
      <c r="D7985" t="s">
        <v>7</v>
      </c>
    </row>
    <row r="7986" spans="1:4">
      <c r="A7986" t="s">
        <v>6</v>
      </c>
      <c r="B7986">
        <v>36</v>
      </c>
      <c r="C7986" t="str">
        <f>CHOOSE(MATCH(B7986, {20,25,30,35,40,45,50,55,60,65,70,75,80,85}, 1), "20-24", "25-29", "30-34", "35-39", "40-44", "45-49", "50-54", "55-59", "60-64", "65-69", "70-74", "75-79", "80-84", "85+")</f>
        <v>35-39</v>
      </c>
      <c r="D7986" t="s">
        <v>8</v>
      </c>
    </row>
    <row r="7987" spans="1:4">
      <c r="A7987" t="s">
        <v>6</v>
      </c>
      <c r="B7987">
        <v>52</v>
      </c>
      <c r="C7987" t="str">
        <f>CHOOSE(MATCH(B7987, {20,25,30,35,40,45,50,55,60,65,70,75,80,85}, 1), "20-24", "25-29", "30-34", "35-39", "40-44", "45-49", "50-54", "55-59", "60-64", "65-69", "70-74", "75-79", "80-84", "85+")</f>
        <v>50-54</v>
      </c>
      <c r="D7987" t="s">
        <v>7</v>
      </c>
    </row>
    <row r="7988" spans="1:4">
      <c r="A7988" t="s">
        <v>6</v>
      </c>
      <c r="B7988">
        <v>27</v>
      </c>
      <c r="C7988" t="str">
        <f>CHOOSE(MATCH(B7988, {20,25,30,35,40,45,50,55,60,65,70,75,80,85}, 1), "20-24", "25-29", "30-34", "35-39", "40-44", "45-49", "50-54", "55-59", "60-64", "65-69", "70-74", "75-79", "80-84", "85+")</f>
        <v>25-29</v>
      </c>
      <c r="D7988" t="s">
        <v>7</v>
      </c>
    </row>
    <row r="7989" spans="1:4">
      <c r="A7989" t="s">
        <v>6</v>
      </c>
      <c r="B7989">
        <v>72</v>
      </c>
      <c r="C7989" t="str">
        <f>CHOOSE(MATCH(B7989, {20,25,30,35,40,45,50,55,60,65,70,75,80,85}, 1), "20-24", "25-29", "30-34", "35-39", "40-44", "45-49", "50-54", "55-59", "60-64", "65-69", "70-74", "75-79", "80-84", "85+")</f>
        <v>70-74</v>
      </c>
      <c r="D7989" t="s">
        <v>8</v>
      </c>
    </row>
    <row r="7990" spans="1:4">
      <c r="A7990" t="s">
        <v>6</v>
      </c>
      <c r="B7990">
        <v>34</v>
      </c>
      <c r="C7990" t="str">
        <f>CHOOSE(MATCH(B7990, {20,25,30,35,40,45,50,55,60,65,70,75,80,85}, 1), "20-24", "25-29", "30-34", "35-39", "40-44", "45-49", "50-54", "55-59", "60-64", "65-69", "70-74", "75-79", "80-84", "85+")</f>
        <v>30-34</v>
      </c>
      <c r="D7990" t="s">
        <v>7</v>
      </c>
    </row>
    <row r="7991" spans="1:4">
      <c r="A7991" t="s">
        <v>6</v>
      </c>
      <c r="B7991">
        <v>41</v>
      </c>
      <c r="C7991" t="str">
        <f>CHOOSE(MATCH(B7991, {20,25,30,35,40,45,50,55,60,65,70,75,80,85}, 1), "20-24", "25-29", "30-34", "35-39", "40-44", "45-49", "50-54", "55-59", "60-64", "65-69", "70-74", "75-79", "80-84", "85+")</f>
        <v>40-44</v>
      </c>
      <c r="D7991" t="s">
        <v>8</v>
      </c>
    </row>
    <row r="7992" spans="1:4">
      <c r="A7992" t="s">
        <v>6</v>
      </c>
      <c r="B7992">
        <v>39</v>
      </c>
      <c r="C7992" t="str">
        <f>CHOOSE(MATCH(B7992, {20,25,30,35,40,45,50,55,60,65,70,75,80,85}, 1), "20-24", "25-29", "30-34", "35-39", "40-44", "45-49", "50-54", "55-59", "60-64", "65-69", "70-74", "75-79", "80-84", "85+")</f>
        <v>35-39</v>
      </c>
      <c r="D7992" t="s">
        <v>8</v>
      </c>
    </row>
    <row r="7993" spans="1:4">
      <c r="A7993" t="s">
        <v>6</v>
      </c>
      <c r="B7993">
        <v>37</v>
      </c>
      <c r="C7993" t="str">
        <f>CHOOSE(MATCH(B7993, {20,25,30,35,40,45,50,55,60,65,70,75,80,85}, 1), "20-24", "25-29", "30-34", "35-39", "40-44", "45-49", "50-54", "55-59", "60-64", "65-69", "70-74", "75-79", "80-84", "85+")</f>
        <v>35-39</v>
      </c>
      <c r="D7993" t="s">
        <v>7</v>
      </c>
    </row>
    <row r="7994" spans="1:4">
      <c r="A7994" t="s">
        <v>6</v>
      </c>
      <c r="B7994">
        <v>29</v>
      </c>
      <c r="C7994" t="str">
        <f>CHOOSE(MATCH(B7994, {20,25,30,35,40,45,50,55,60,65,70,75,80,85}, 1), "20-24", "25-29", "30-34", "35-39", "40-44", "45-49", "50-54", "55-59", "60-64", "65-69", "70-74", "75-79", "80-84", "85+")</f>
        <v>25-29</v>
      </c>
      <c r="D7994" t="s">
        <v>8</v>
      </c>
    </row>
    <row r="7995" spans="1:4">
      <c r="A7995" t="s">
        <v>6</v>
      </c>
      <c r="B7995">
        <v>43</v>
      </c>
      <c r="C7995" t="str">
        <f>CHOOSE(MATCH(B7995, {20,25,30,35,40,45,50,55,60,65,70,75,80,85}, 1), "20-24", "25-29", "30-34", "35-39", "40-44", "45-49", "50-54", "55-59", "60-64", "65-69", "70-74", "75-79", "80-84", "85+")</f>
        <v>40-44</v>
      </c>
      <c r="D7995" t="s">
        <v>7</v>
      </c>
    </row>
    <row r="7996" spans="1:4">
      <c r="A7996" t="s">
        <v>6</v>
      </c>
      <c r="B7996">
        <v>31</v>
      </c>
      <c r="C7996" t="str">
        <f>CHOOSE(MATCH(B7996, {20,25,30,35,40,45,50,55,60,65,70,75,80,85}, 1), "20-24", "25-29", "30-34", "35-39", "40-44", "45-49", "50-54", "55-59", "60-64", "65-69", "70-74", "75-79", "80-84", "85+")</f>
        <v>30-34</v>
      </c>
      <c r="D7996" t="s">
        <v>8</v>
      </c>
    </row>
    <row r="7997" spans="1:4">
      <c r="A7997" t="s">
        <v>6</v>
      </c>
      <c r="B7997">
        <v>41</v>
      </c>
      <c r="C7997" t="str">
        <f>CHOOSE(MATCH(B7997, {20,25,30,35,40,45,50,55,60,65,70,75,80,85}, 1), "20-24", "25-29", "30-34", "35-39", "40-44", "45-49", "50-54", "55-59", "60-64", "65-69", "70-74", "75-79", "80-84", "85+")</f>
        <v>40-44</v>
      </c>
      <c r="D7997" t="s">
        <v>7</v>
      </c>
    </row>
    <row r="7998" spans="1:4">
      <c r="A7998" t="s">
        <v>6</v>
      </c>
      <c r="B7998">
        <v>49</v>
      </c>
      <c r="C7998" t="str">
        <f>CHOOSE(MATCH(B7998, {20,25,30,35,40,45,50,55,60,65,70,75,80,85}, 1), "20-24", "25-29", "30-34", "35-39", "40-44", "45-49", "50-54", "55-59", "60-64", "65-69", "70-74", "75-79", "80-84", "85+")</f>
        <v>45-49</v>
      </c>
      <c r="D7998" t="s">
        <v>8</v>
      </c>
    </row>
    <row r="7999" spans="1:4">
      <c r="A7999" t="s">
        <v>6</v>
      </c>
      <c r="B7999">
        <v>75</v>
      </c>
      <c r="C7999" t="str">
        <f>CHOOSE(MATCH(B7999, {20,25,30,35,40,45,50,55,60,65,70,75,80,85}, 1), "20-24", "25-29", "30-34", "35-39", "40-44", "45-49", "50-54", "55-59", "60-64", "65-69", "70-74", "75-79", "80-84", "85+")</f>
        <v>75-79</v>
      </c>
      <c r="D7999" t="s">
        <v>8</v>
      </c>
    </row>
    <row r="8000" spans="1:4">
      <c r="A8000" t="s">
        <v>6</v>
      </c>
      <c r="B8000">
        <v>31</v>
      </c>
      <c r="C8000" t="str">
        <f>CHOOSE(MATCH(B8000, {20,25,30,35,40,45,50,55,60,65,70,75,80,85}, 1), "20-24", "25-29", "30-34", "35-39", "40-44", "45-49", "50-54", "55-59", "60-64", "65-69", "70-74", "75-79", "80-84", "85+")</f>
        <v>30-34</v>
      </c>
      <c r="D8000" t="s">
        <v>7</v>
      </c>
    </row>
    <row r="8001" spans="1:4">
      <c r="A8001" t="s">
        <v>6</v>
      </c>
      <c r="B8001">
        <v>32</v>
      </c>
      <c r="C8001" t="str">
        <f>CHOOSE(MATCH(B8001, {20,25,30,35,40,45,50,55,60,65,70,75,80,85}, 1), "20-24", "25-29", "30-34", "35-39", "40-44", "45-49", "50-54", "55-59", "60-64", "65-69", "70-74", "75-79", "80-84", "85+")</f>
        <v>30-34</v>
      </c>
      <c r="D8001" t="s">
        <v>8</v>
      </c>
    </row>
    <row r="8002" spans="1:4">
      <c r="A8002" t="s">
        <v>6</v>
      </c>
      <c r="B8002">
        <v>43</v>
      </c>
      <c r="C8002" t="str">
        <f>CHOOSE(MATCH(B8002, {20,25,30,35,40,45,50,55,60,65,70,75,80,85}, 1), "20-24", "25-29", "30-34", "35-39", "40-44", "45-49", "50-54", "55-59", "60-64", "65-69", "70-74", "75-79", "80-84", "85+")</f>
        <v>40-44</v>
      </c>
      <c r="D8002" t="s">
        <v>8</v>
      </c>
    </row>
    <row r="8003" spans="1:4">
      <c r="A8003" t="s">
        <v>6</v>
      </c>
      <c r="B8003">
        <v>38</v>
      </c>
      <c r="C8003" t="str">
        <f>CHOOSE(MATCH(B8003, {20,25,30,35,40,45,50,55,60,65,70,75,80,85}, 1), "20-24", "25-29", "30-34", "35-39", "40-44", "45-49", "50-54", "55-59", "60-64", "65-69", "70-74", "75-79", "80-84", "85+")</f>
        <v>35-39</v>
      </c>
      <c r="D8003" t="s">
        <v>7</v>
      </c>
    </row>
    <row r="8004" spans="1:4">
      <c r="A8004" t="s">
        <v>6</v>
      </c>
      <c r="B8004">
        <v>29</v>
      </c>
      <c r="C8004" t="str">
        <f>CHOOSE(MATCH(B8004, {20,25,30,35,40,45,50,55,60,65,70,75,80,85}, 1), "20-24", "25-29", "30-34", "35-39", "40-44", "45-49", "50-54", "55-59", "60-64", "65-69", "70-74", "75-79", "80-84", "85+")</f>
        <v>25-29</v>
      </c>
      <c r="D8004" t="s">
        <v>8</v>
      </c>
    </row>
    <row r="8005" spans="1:4">
      <c r="A8005" t="s">
        <v>6</v>
      </c>
      <c r="B8005">
        <v>38</v>
      </c>
      <c r="C8005" t="str">
        <f>CHOOSE(MATCH(B8005, {20,25,30,35,40,45,50,55,60,65,70,75,80,85}, 1), "20-24", "25-29", "30-34", "35-39", "40-44", "45-49", "50-54", "55-59", "60-64", "65-69", "70-74", "75-79", "80-84", "85+")</f>
        <v>35-39</v>
      </c>
      <c r="D8005" t="s">
        <v>7</v>
      </c>
    </row>
    <row r="8006" spans="1:4">
      <c r="A8006" t="s">
        <v>6</v>
      </c>
      <c r="B8006">
        <v>51</v>
      </c>
      <c r="C8006" t="str">
        <f>CHOOSE(MATCH(B8006, {20,25,30,35,40,45,50,55,60,65,70,75,80,85}, 1), "20-24", "25-29", "30-34", "35-39", "40-44", "45-49", "50-54", "55-59", "60-64", "65-69", "70-74", "75-79", "80-84", "85+")</f>
        <v>50-54</v>
      </c>
      <c r="D8006" t="s">
        <v>7</v>
      </c>
    </row>
    <row r="8007" spans="1:4">
      <c r="A8007" t="s">
        <v>6</v>
      </c>
      <c r="B8007">
        <v>29</v>
      </c>
      <c r="C8007" t="str">
        <f>CHOOSE(MATCH(B8007, {20,25,30,35,40,45,50,55,60,65,70,75,80,85}, 1), "20-24", "25-29", "30-34", "35-39", "40-44", "45-49", "50-54", "55-59", "60-64", "65-69", "70-74", "75-79", "80-84", "85+")</f>
        <v>25-29</v>
      </c>
      <c r="D8007" t="s">
        <v>7</v>
      </c>
    </row>
    <row r="8008" spans="1:4">
      <c r="A8008" t="s">
        <v>6</v>
      </c>
      <c r="B8008">
        <v>36</v>
      </c>
      <c r="C8008" t="str">
        <f>CHOOSE(MATCH(B8008, {20,25,30,35,40,45,50,55,60,65,70,75,80,85}, 1), "20-24", "25-29", "30-34", "35-39", "40-44", "45-49", "50-54", "55-59", "60-64", "65-69", "70-74", "75-79", "80-84", "85+")</f>
        <v>35-39</v>
      </c>
      <c r="D8008" t="s">
        <v>8</v>
      </c>
    </row>
    <row r="8009" spans="1:4">
      <c r="A8009" t="s">
        <v>6</v>
      </c>
      <c r="B8009">
        <v>37</v>
      </c>
      <c r="C8009" t="str">
        <f>CHOOSE(MATCH(B8009, {20,25,30,35,40,45,50,55,60,65,70,75,80,85}, 1), "20-24", "25-29", "30-34", "35-39", "40-44", "45-49", "50-54", "55-59", "60-64", "65-69", "70-74", "75-79", "80-84", "85+")</f>
        <v>35-39</v>
      </c>
      <c r="D8009" t="s">
        <v>8</v>
      </c>
    </row>
    <row r="8010" spans="1:4">
      <c r="A8010" t="s">
        <v>6</v>
      </c>
      <c r="B8010">
        <v>52</v>
      </c>
      <c r="C8010" t="str">
        <f>CHOOSE(MATCH(B8010, {20,25,30,35,40,45,50,55,60,65,70,75,80,85}, 1), "20-24", "25-29", "30-34", "35-39", "40-44", "45-49", "50-54", "55-59", "60-64", "65-69", "70-74", "75-79", "80-84", "85+")</f>
        <v>50-54</v>
      </c>
      <c r="D8010" t="s">
        <v>8</v>
      </c>
    </row>
    <row r="8011" spans="1:4">
      <c r="A8011" t="s">
        <v>6</v>
      </c>
      <c r="B8011">
        <v>55</v>
      </c>
      <c r="C8011" t="str">
        <f>CHOOSE(MATCH(B8011, {20,25,30,35,40,45,50,55,60,65,70,75,80,85}, 1), "20-24", "25-29", "30-34", "35-39", "40-44", "45-49", "50-54", "55-59", "60-64", "65-69", "70-74", "75-79", "80-84", "85+")</f>
        <v>55-59</v>
      </c>
      <c r="D8011" t="s">
        <v>7</v>
      </c>
    </row>
    <row r="8012" spans="1:4">
      <c r="A8012" t="s">
        <v>6</v>
      </c>
      <c r="B8012">
        <v>21</v>
      </c>
      <c r="C8012" t="str">
        <f>CHOOSE(MATCH(B8012, {20,25,30,35,40,45,50,55,60,65,70,75,80,85}, 1), "20-24", "25-29", "30-34", "35-39", "40-44", "45-49", "50-54", "55-59", "60-64", "65-69", "70-74", "75-79", "80-84", "85+")</f>
        <v>20-24</v>
      </c>
      <c r="D8012" t="s">
        <v>8</v>
      </c>
    </row>
    <row r="8013" spans="1:4">
      <c r="A8013" t="s">
        <v>6</v>
      </c>
      <c r="B8013">
        <v>51</v>
      </c>
      <c r="C8013" t="str">
        <f>CHOOSE(MATCH(B8013, {20,25,30,35,40,45,50,55,60,65,70,75,80,85}, 1), "20-24", "25-29", "30-34", "35-39", "40-44", "45-49", "50-54", "55-59", "60-64", "65-69", "70-74", "75-79", "80-84", "85+")</f>
        <v>50-54</v>
      </c>
      <c r="D8013" t="s">
        <v>8</v>
      </c>
    </row>
    <row r="8014" spans="1:4">
      <c r="A8014" t="s">
        <v>6</v>
      </c>
      <c r="B8014">
        <v>80</v>
      </c>
      <c r="C8014" t="str">
        <f>CHOOSE(MATCH(B8014, {20,25,30,35,40,45,50,55,60,65,70,75,80,85}, 1), "20-24", "25-29", "30-34", "35-39", "40-44", "45-49", "50-54", "55-59", "60-64", "65-69", "70-74", "75-79", "80-84", "85+")</f>
        <v>80-84</v>
      </c>
      <c r="D8014" t="s">
        <v>8</v>
      </c>
    </row>
    <row r="8015" spans="1:4">
      <c r="A8015" t="s">
        <v>6</v>
      </c>
      <c r="B8015">
        <v>24</v>
      </c>
      <c r="C8015" t="str">
        <f>CHOOSE(MATCH(B8015, {20,25,30,35,40,45,50,55,60,65,70,75,80,85}, 1), "20-24", "25-29", "30-34", "35-39", "40-44", "45-49", "50-54", "55-59", "60-64", "65-69", "70-74", "75-79", "80-84", "85+")</f>
        <v>20-24</v>
      </c>
      <c r="D8015" t="s">
        <v>7</v>
      </c>
    </row>
    <row r="8016" spans="1:4">
      <c r="A8016" t="s">
        <v>6</v>
      </c>
      <c r="B8016">
        <v>38</v>
      </c>
      <c r="C8016" t="str">
        <f>CHOOSE(MATCH(B8016, {20,25,30,35,40,45,50,55,60,65,70,75,80,85}, 1), "20-24", "25-29", "30-34", "35-39", "40-44", "45-49", "50-54", "55-59", "60-64", "65-69", "70-74", "75-79", "80-84", "85+")</f>
        <v>35-39</v>
      </c>
      <c r="D8016" t="s">
        <v>8</v>
      </c>
    </row>
    <row r="8017" spans="1:4">
      <c r="A8017" t="s">
        <v>6</v>
      </c>
      <c r="B8017">
        <v>64</v>
      </c>
      <c r="C8017" t="str">
        <f>CHOOSE(MATCH(B8017, {20,25,30,35,40,45,50,55,60,65,70,75,80,85}, 1), "20-24", "25-29", "30-34", "35-39", "40-44", "45-49", "50-54", "55-59", "60-64", "65-69", "70-74", "75-79", "80-84", "85+")</f>
        <v>60-64</v>
      </c>
      <c r="D8017" t="s">
        <v>8</v>
      </c>
    </row>
    <row r="8018" spans="1:4">
      <c r="A8018" t="s">
        <v>6</v>
      </c>
      <c r="B8018">
        <v>28</v>
      </c>
      <c r="C8018" t="str">
        <f>CHOOSE(MATCH(B8018, {20,25,30,35,40,45,50,55,60,65,70,75,80,85}, 1), "20-24", "25-29", "30-34", "35-39", "40-44", "45-49", "50-54", "55-59", "60-64", "65-69", "70-74", "75-79", "80-84", "85+")</f>
        <v>25-29</v>
      </c>
      <c r="D8018" t="s">
        <v>7</v>
      </c>
    </row>
    <row r="8019" spans="1:4">
      <c r="A8019" t="s">
        <v>6</v>
      </c>
      <c r="B8019">
        <v>48</v>
      </c>
      <c r="C8019" t="str">
        <f>CHOOSE(MATCH(B8019, {20,25,30,35,40,45,50,55,60,65,70,75,80,85}, 1), "20-24", "25-29", "30-34", "35-39", "40-44", "45-49", "50-54", "55-59", "60-64", "65-69", "70-74", "75-79", "80-84", "85+")</f>
        <v>45-49</v>
      </c>
      <c r="D8019" t="s">
        <v>7</v>
      </c>
    </row>
    <row r="8020" spans="1:4">
      <c r="A8020" t="s">
        <v>6</v>
      </c>
      <c r="B8020">
        <v>27</v>
      </c>
      <c r="C8020" t="str">
        <f>CHOOSE(MATCH(B8020, {20,25,30,35,40,45,50,55,60,65,70,75,80,85}, 1), "20-24", "25-29", "30-34", "35-39", "40-44", "45-49", "50-54", "55-59", "60-64", "65-69", "70-74", "75-79", "80-84", "85+")</f>
        <v>25-29</v>
      </c>
      <c r="D8020" t="s">
        <v>7</v>
      </c>
    </row>
    <row r="8021" spans="1:4">
      <c r="A8021" t="s">
        <v>6</v>
      </c>
      <c r="B8021">
        <v>41</v>
      </c>
      <c r="C8021" t="str">
        <f>CHOOSE(MATCH(B8021, {20,25,30,35,40,45,50,55,60,65,70,75,80,85}, 1), "20-24", "25-29", "30-34", "35-39", "40-44", "45-49", "50-54", "55-59", "60-64", "65-69", "70-74", "75-79", "80-84", "85+")</f>
        <v>40-44</v>
      </c>
      <c r="D8021" t="s">
        <v>7</v>
      </c>
    </row>
    <row r="8022" spans="1:4">
      <c r="A8022" t="s">
        <v>6</v>
      </c>
      <c r="B8022">
        <v>65</v>
      </c>
      <c r="C8022" t="str">
        <f>CHOOSE(MATCH(B8022, {20,25,30,35,40,45,50,55,60,65,70,75,80,85}, 1), "20-24", "25-29", "30-34", "35-39", "40-44", "45-49", "50-54", "55-59", "60-64", "65-69", "70-74", "75-79", "80-84", "85+")</f>
        <v>65-69</v>
      </c>
      <c r="D8022" t="s">
        <v>8</v>
      </c>
    </row>
    <row r="8023" spans="1:4">
      <c r="A8023" t="s">
        <v>6</v>
      </c>
      <c r="B8023">
        <v>31</v>
      </c>
      <c r="C8023" t="str">
        <f>CHOOSE(MATCH(B8023, {20,25,30,35,40,45,50,55,60,65,70,75,80,85}, 1), "20-24", "25-29", "30-34", "35-39", "40-44", "45-49", "50-54", "55-59", "60-64", "65-69", "70-74", "75-79", "80-84", "85+")</f>
        <v>30-34</v>
      </c>
      <c r="D8023" t="s">
        <v>7</v>
      </c>
    </row>
    <row r="8024" spans="1:4">
      <c r="A8024" t="s">
        <v>6</v>
      </c>
      <c r="B8024">
        <v>50</v>
      </c>
      <c r="C8024" t="str">
        <f>CHOOSE(MATCH(B8024, {20,25,30,35,40,45,50,55,60,65,70,75,80,85}, 1), "20-24", "25-29", "30-34", "35-39", "40-44", "45-49", "50-54", "55-59", "60-64", "65-69", "70-74", "75-79", "80-84", "85+")</f>
        <v>50-54</v>
      </c>
      <c r="D8024" t="s">
        <v>7</v>
      </c>
    </row>
    <row r="8025" spans="1:4">
      <c r="A8025" t="s">
        <v>6</v>
      </c>
      <c r="B8025">
        <v>81</v>
      </c>
      <c r="C8025" t="str">
        <f>CHOOSE(MATCH(B8025, {20,25,30,35,40,45,50,55,60,65,70,75,80,85}, 1), "20-24", "25-29", "30-34", "35-39", "40-44", "45-49", "50-54", "55-59", "60-64", "65-69", "70-74", "75-79", "80-84", "85+")</f>
        <v>80-84</v>
      </c>
      <c r="D8025" t="s">
        <v>7</v>
      </c>
    </row>
    <row r="8026" spans="1:4">
      <c r="A8026" t="s">
        <v>6</v>
      </c>
      <c r="B8026">
        <v>29</v>
      </c>
      <c r="C8026" t="str">
        <f>CHOOSE(MATCH(B8026, {20,25,30,35,40,45,50,55,60,65,70,75,80,85}, 1), "20-24", "25-29", "30-34", "35-39", "40-44", "45-49", "50-54", "55-59", "60-64", "65-69", "70-74", "75-79", "80-84", "85+")</f>
        <v>25-29</v>
      </c>
      <c r="D8026" t="s">
        <v>7</v>
      </c>
    </row>
    <row r="8027" spans="1:4">
      <c r="A8027" t="s">
        <v>6</v>
      </c>
      <c r="B8027">
        <v>32</v>
      </c>
      <c r="C8027" t="str">
        <f>CHOOSE(MATCH(B8027, {20,25,30,35,40,45,50,55,60,65,70,75,80,85}, 1), "20-24", "25-29", "30-34", "35-39", "40-44", "45-49", "50-54", "55-59", "60-64", "65-69", "70-74", "75-79", "80-84", "85+")</f>
        <v>30-34</v>
      </c>
      <c r="D8027" t="s">
        <v>7</v>
      </c>
    </row>
    <row r="8028" spans="1:4">
      <c r="A8028" t="s">
        <v>6</v>
      </c>
      <c r="B8028">
        <v>72</v>
      </c>
      <c r="C8028" t="str">
        <f>CHOOSE(MATCH(B8028, {20,25,30,35,40,45,50,55,60,65,70,75,80,85}, 1), "20-24", "25-29", "30-34", "35-39", "40-44", "45-49", "50-54", "55-59", "60-64", "65-69", "70-74", "75-79", "80-84", "85+")</f>
        <v>70-74</v>
      </c>
      <c r="D8028" t="s">
        <v>8</v>
      </c>
    </row>
    <row r="8029" spans="1:4">
      <c r="A8029" t="s">
        <v>6</v>
      </c>
      <c r="B8029">
        <v>67</v>
      </c>
      <c r="C8029" t="str">
        <f>CHOOSE(MATCH(B8029, {20,25,30,35,40,45,50,55,60,65,70,75,80,85}, 1), "20-24", "25-29", "30-34", "35-39", "40-44", "45-49", "50-54", "55-59", "60-64", "65-69", "70-74", "75-79", "80-84", "85+")</f>
        <v>65-69</v>
      </c>
      <c r="D8029" t="s">
        <v>7</v>
      </c>
    </row>
    <row r="8030" spans="1:4">
      <c r="A8030" t="s">
        <v>6</v>
      </c>
      <c r="B8030">
        <v>30</v>
      </c>
      <c r="C8030" t="str">
        <f>CHOOSE(MATCH(B8030, {20,25,30,35,40,45,50,55,60,65,70,75,80,85}, 1), "20-24", "25-29", "30-34", "35-39", "40-44", "45-49", "50-54", "55-59", "60-64", "65-69", "70-74", "75-79", "80-84", "85+")</f>
        <v>30-34</v>
      </c>
      <c r="D8030" t="s">
        <v>7</v>
      </c>
    </row>
    <row r="8031" spans="1:4">
      <c r="A8031" t="s">
        <v>6</v>
      </c>
      <c r="B8031">
        <v>34</v>
      </c>
      <c r="C8031" t="str">
        <f>CHOOSE(MATCH(B8031, {20,25,30,35,40,45,50,55,60,65,70,75,80,85}, 1), "20-24", "25-29", "30-34", "35-39", "40-44", "45-49", "50-54", "55-59", "60-64", "65-69", "70-74", "75-79", "80-84", "85+")</f>
        <v>30-34</v>
      </c>
      <c r="D8031" t="s">
        <v>7</v>
      </c>
    </row>
    <row r="8032" spans="1:4">
      <c r="A8032" t="s">
        <v>6</v>
      </c>
      <c r="B8032">
        <v>29</v>
      </c>
      <c r="C8032" t="str">
        <f>CHOOSE(MATCH(B8032, {20,25,30,35,40,45,50,55,60,65,70,75,80,85}, 1), "20-24", "25-29", "30-34", "35-39", "40-44", "45-49", "50-54", "55-59", "60-64", "65-69", "70-74", "75-79", "80-84", "85+")</f>
        <v>25-29</v>
      </c>
      <c r="D8032" t="s">
        <v>7</v>
      </c>
    </row>
    <row r="8033" spans="1:4">
      <c r="A8033" t="s">
        <v>6</v>
      </c>
      <c r="B8033">
        <v>29</v>
      </c>
      <c r="C8033" t="str">
        <f>CHOOSE(MATCH(B8033, {20,25,30,35,40,45,50,55,60,65,70,75,80,85}, 1), "20-24", "25-29", "30-34", "35-39", "40-44", "45-49", "50-54", "55-59", "60-64", "65-69", "70-74", "75-79", "80-84", "85+")</f>
        <v>25-29</v>
      </c>
      <c r="D8033" t="s">
        <v>7</v>
      </c>
    </row>
    <row r="8034" spans="1:4">
      <c r="A8034" t="s">
        <v>6</v>
      </c>
      <c r="B8034">
        <v>32</v>
      </c>
      <c r="C8034" t="str">
        <f>CHOOSE(MATCH(B8034, {20,25,30,35,40,45,50,55,60,65,70,75,80,85}, 1), "20-24", "25-29", "30-34", "35-39", "40-44", "45-49", "50-54", "55-59", "60-64", "65-69", "70-74", "75-79", "80-84", "85+")</f>
        <v>30-34</v>
      </c>
      <c r="D8034" t="s">
        <v>7</v>
      </c>
    </row>
    <row r="8035" spans="1:4">
      <c r="A8035" t="s">
        <v>6</v>
      </c>
      <c r="B8035">
        <v>28</v>
      </c>
      <c r="C8035" t="str">
        <f>CHOOSE(MATCH(B8035, {20,25,30,35,40,45,50,55,60,65,70,75,80,85}, 1), "20-24", "25-29", "30-34", "35-39", "40-44", "45-49", "50-54", "55-59", "60-64", "65-69", "70-74", "75-79", "80-84", "85+")</f>
        <v>25-29</v>
      </c>
      <c r="D8035" t="s">
        <v>7</v>
      </c>
    </row>
    <row r="8036" spans="1:4">
      <c r="A8036" t="s">
        <v>6</v>
      </c>
      <c r="B8036">
        <v>39</v>
      </c>
      <c r="C8036" t="str">
        <f>CHOOSE(MATCH(B8036, {20,25,30,35,40,45,50,55,60,65,70,75,80,85}, 1), "20-24", "25-29", "30-34", "35-39", "40-44", "45-49", "50-54", "55-59", "60-64", "65-69", "70-74", "75-79", "80-84", "85+")</f>
        <v>35-39</v>
      </c>
      <c r="D8036" t="s">
        <v>7</v>
      </c>
    </row>
    <row r="8037" spans="1:4">
      <c r="A8037" t="s">
        <v>6</v>
      </c>
      <c r="B8037">
        <v>42</v>
      </c>
      <c r="C8037" t="str">
        <f>CHOOSE(MATCH(B8037, {20,25,30,35,40,45,50,55,60,65,70,75,80,85}, 1), "20-24", "25-29", "30-34", "35-39", "40-44", "45-49", "50-54", "55-59", "60-64", "65-69", "70-74", "75-79", "80-84", "85+")</f>
        <v>40-44</v>
      </c>
      <c r="D8037" t="s">
        <v>8</v>
      </c>
    </row>
    <row r="8038" spans="1:4">
      <c r="A8038" t="s">
        <v>6</v>
      </c>
      <c r="B8038">
        <v>49</v>
      </c>
      <c r="C8038" t="str">
        <f>CHOOSE(MATCH(B8038, {20,25,30,35,40,45,50,55,60,65,70,75,80,85}, 1), "20-24", "25-29", "30-34", "35-39", "40-44", "45-49", "50-54", "55-59", "60-64", "65-69", "70-74", "75-79", "80-84", "85+")</f>
        <v>45-49</v>
      </c>
      <c r="D8038" t="s">
        <v>8</v>
      </c>
    </row>
    <row r="8039" spans="1:4">
      <c r="A8039" t="s">
        <v>6</v>
      </c>
      <c r="B8039">
        <v>39</v>
      </c>
      <c r="C8039" t="str">
        <f>CHOOSE(MATCH(B8039, {20,25,30,35,40,45,50,55,60,65,70,75,80,85}, 1), "20-24", "25-29", "30-34", "35-39", "40-44", "45-49", "50-54", "55-59", "60-64", "65-69", "70-74", "75-79", "80-84", "85+")</f>
        <v>35-39</v>
      </c>
      <c r="D8039" t="s">
        <v>7</v>
      </c>
    </row>
    <row r="8040" spans="1:4">
      <c r="A8040" t="s">
        <v>6</v>
      </c>
      <c r="B8040">
        <v>46</v>
      </c>
      <c r="C8040" t="str">
        <f>CHOOSE(MATCH(B8040, {20,25,30,35,40,45,50,55,60,65,70,75,80,85}, 1), "20-24", "25-29", "30-34", "35-39", "40-44", "45-49", "50-54", "55-59", "60-64", "65-69", "70-74", "75-79", "80-84", "85+")</f>
        <v>45-49</v>
      </c>
      <c r="D8040" t="s">
        <v>8</v>
      </c>
    </row>
    <row r="8041" spans="1:4">
      <c r="A8041" t="s">
        <v>6</v>
      </c>
      <c r="B8041">
        <v>24</v>
      </c>
      <c r="C8041" t="str">
        <f>CHOOSE(MATCH(B8041, {20,25,30,35,40,45,50,55,60,65,70,75,80,85}, 1), "20-24", "25-29", "30-34", "35-39", "40-44", "45-49", "50-54", "55-59", "60-64", "65-69", "70-74", "75-79", "80-84", "85+")</f>
        <v>20-24</v>
      </c>
      <c r="D8041" t="s">
        <v>7</v>
      </c>
    </row>
    <row r="8042" spans="1:4">
      <c r="A8042" t="s">
        <v>6</v>
      </c>
      <c r="B8042">
        <v>30</v>
      </c>
      <c r="C8042" t="str">
        <f>CHOOSE(MATCH(B8042, {20,25,30,35,40,45,50,55,60,65,70,75,80,85}, 1), "20-24", "25-29", "30-34", "35-39", "40-44", "45-49", "50-54", "55-59", "60-64", "65-69", "70-74", "75-79", "80-84", "85+")</f>
        <v>30-34</v>
      </c>
      <c r="D8042" t="s">
        <v>7</v>
      </c>
    </row>
    <row r="8043" spans="1:4">
      <c r="A8043" t="s">
        <v>6</v>
      </c>
      <c r="B8043">
        <v>43</v>
      </c>
      <c r="C8043" t="str">
        <f>CHOOSE(MATCH(B8043, {20,25,30,35,40,45,50,55,60,65,70,75,80,85}, 1), "20-24", "25-29", "30-34", "35-39", "40-44", "45-49", "50-54", "55-59", "60-64", "65-69", "70-74", "75-79", "80-84", "85+")</f>
        <v>40-44</v>
      </c>
      <c r="D8043" t="s">
        <v>7</v>
      </c>
    </row>
    <row r="8044" spans="1:4">
      <c r="A8044" t="s">
        <v>6</v>
      </c>
      <c r="B8044">
        <v>43</v>
      </c>
      <c r="C8044" t="str">
        <f>CHOOSE(MATCH(B8044, {20,25,30,35,40,45,50,55,60,65,70,75,80,85}, 1), "20-24", "25-29", "30-34", "35-39", "40-44", "45-49", "50-54", "55-59", "60-64", "65-69", "70-74", "75-79", "80-84", "85+")</f>
        <v>40-44</v>
      </c>
      <c r="D8044" t="s">
        <v>7</v>
      </c>
    </row>
    <row r="8045" spans="1:4">
      <c r="A8045" t="s">
        <v>6</v>
      </c>
      <c r="B8045">
        <v>24</v>
      </c>
      <c r="C8045" t="str">
        <f>CHOOSE(MATCH(B8045, {20,25,30,35,40,45,50,55,60,65,70,75,80,85}, 1), "20-24", "25-29", "30-34", "35-39", "40-44", "45-49", "50-54", "55-59", "60-64", "65-69", "70-74", "75-79", "80-84", "85+")</f>
        <v>20-24</v>
      </c>
      <c r="D8045" t="s">
        <v>7</v>
      </c>
    </row>
    <row r="8046" spans="1:4">
      <c r="A8046" t="s">
        <v>6</v>
      </c>
      <c r="B8046">
        <v>46</v>
      </c>
      <c r="C8046" t="str">
        <f>CHOOSE(MATCH(B8046, {20,25,30,35,40,45,50,55,60,65,70,75,80,85}, 1), "20-24", "25-29", "30-34", "35-39", "40-44", "45-49", "50-54", "55-59", "60-64", "65-69", "70-74", "75-79", "80-84", "85+")</f>
        <v>45-49</v>
      </c>
      <c r="D8046" t="s">
        <v>8</v>
      </c>
    </row>
    <row r="8047" spans="1:4">
      <c r="A8047" t="s">
        <v>6</v>
      </c>
      <c r="B8047">
        <v>33</v>
      </c>
      <c r="C8047" t="str">
        <f>CHOOSE(MATCH(B8047, {20,25,30,35,40,45,50,55,60,65,70,75,80,85}, 1), "20-24", "25-29", "30-34", "35-39", "40-44", "45-49", "50-54", "55-59", "60-64", "65-69", "70-74", "75-79", "80-84", "85+")</f>
        <v>30-34</v>
      </c>
      <c r="D8047" t="s">
        <v>7</v>
      </c>
    </row>
    <row r="8048" spans="1:4">
      <c r="A8048" t="s">
        <v>6</v>
      </c>
      <c r="B8048">
        <v>31</v>
      </c>
      <c r="C8048" t="str">
        <f>CHOOSE(MATCH(B8048, {20,25,30,35,40,45,50,55,60,65,70,75,80,85}, 1), "20-24", "25-29", "30-34", "35-39", "40-44", "45-49", "50-54", "55-59", "60-64", "65-69", "70-74", "75-79", "80-84", "85+")</f>
        <v>30-34</v>
      </c>
      <c r="D8048" t="s">
        <v>7</v>
      </c>
    </row>
    <row r="8049" spans="1:4">
      <c r="A8049" t="s">
        <v>6</v>
      </c>
      <c r="B8049">
        <v>36</v>
      </c>
      <c r="C8049" t="str">
        <f>CHOOSE(MATCH(B8049, {20,25,30,35,40,45,50,55,60,65,70,75,80,85}, 1), "20-24", "25-29", "30-34", "35-39", "40-44", "45-49", "50-54", "55-59", "60-64", "65-69", "70-74", "75-79", "80-84", "85+")</f>
        <v>35-39</v>
      </c>
      <c r="D8049" t="s">
        <v>7</v>
      </c>
    </row>
    <row r="8050" spans="1:4">
      <c r="A8050" t="s">
        <v>6</v>
      </c>
      <c r="B8050">
        <v>41</v>
      </c>
      <c r="C8050" t="str">
        <f>CHOOSE(MATCH(B8050, {20,25,30,35,40,45,50,55,60,65,70,75,80,85}, 1), "20-24", "25-29", "30-34", "35-39", "40-44", "45-49", "50-54", "55-59", "60-64", "65-69", "70-74", "75-79", "80-84", "85+")</f>
        <v>40-44</v>
      </c>
      <c r="D8050" t="s">
        <v>7</v>
      </c>
    </row>
    <row r="8051" spans="1:4">
      <c r="A8051" t="s">
        <v>6</v>
      </c>
      <c r="B8051">
        <v>44</v>
      </c>
      <c r="C8051" t="str">
        <f>CHOOSE(MATCH(B8051, {20,25,30,35,40,45,50,55,60,65,70,75,80,85}, 1), "20-24", "25-29", "30-34", "35-39", "40-44", "45-49", "50-54", "55-59", "60-64", "65-69", "70-74", "75-79", "80-84", "85+")</f>
        <v>40-44</v>
      </c>
      <c r="D8051" t="s">
        <v>7</v>
      </c>
    </row>
    <row r="8052" spans="1:4">
      <c r="A8052" t="s">
        <v>6</v>
      </c>
      <c r="B8052">
        <v>32</v>
      </c>
      <c r="C8052" t="str">
        <f>CHOOSE(MATCH(B8052, {20,25,30,35,40,45,50,55,60,65,70,75,80,85}, 1), "20-24", "25-29", "30-34", "35-39", "40-44", "45-49", "50-54", "55-59", "60-64", "65-69", "70-74", "75-79", "80-84", "85+")</f>
        <v>30-34</v>
      </c>
      <c r="D8052" t="s">
        <v>7</v>
      </c>
    </row>
    <row r="8053" spans="1:4">
      <c r="A8053" t="s">
        <v>6</v>
      </c>
      <c r="B8053">
        <v>32</v>
      </c>
      <c r="C8053" t="str">
        <f>CHOOSE(MATCH(B8053, {20,25,30,35,40,45,50,55,60,65,70,75,80,85}, 1), "20-24", "25-29", "30-34", "35-39", "40-44", "45-49", "50-54", "55-59", "60-64", "65-69", "70-74", "75-79", "80-84", "85+")</f>
        <v>30-34</v>
      </c>
      <c r="D8053" t="s">
        <v>7</v>
      </c>
    </row>
    <row r="8054" spans="1:4">
      <c r="A8054" t="s">
        <v>6</v>
      </c>
      <c r="B8054">
        <v>83</v>
      </c>
      <c r="C8054" t="str">
        <f>CHOOSE(MATCH(B8054, {20,25,30,35,40,45,50,55,60,65,70,75,80,85}, 1), "20-24", "25-29", "30-34", "35-39", "40-44", "45-49", "50-54", "55-59", "60-64", "65-69", "70-74", "75-79", "80-84", "85+")</f>
        <v>80-84</v>
      </c>
      <c r="D8054" t="s">
        <v>8</v>
      </c>
    </row>
    <row r="8055" spans="1:4">
      <c r="A8055" t="s">
        <v>6</v>
      </c>
      <c r="B8055">
        <v>37</v>
      </c>
      <c r="C8055" t="str">
        <f>CHOOSE(MATCH(B8055, {20,25,30,35,40,45,50,55,60,65,70,75,80,85}, 1), "20-24", "25-29", "30-34", "35-39", "40-44", "45-49", "50-54", "55-59", "60-64", "65-69", "70-74", "75-79", "80-84", "85+")</f>
        <v>35-39</v>
      </c>
      <c r="D8055" t="s">
        <v>8</v>
      </c>
    </row>
    <row r="8056" spans="1:4">
      <c r="A8056" t="s">
        <v>6</v>
      </c>
      <c r="B8056">
        <v>26</v>
      </c>
      <c r="C8056" t="str">
        <f>CHOOSE(MATCH(B8056, {20,25,30,35,40,45,50,55,60,65,70,75,80,85}, 1), "20-24", "25-29", "30-34", "35-39", "40-44", "45-49", "50-54", "55-59", "60-64", "65-69", "70-74", "75-79", "80-84", "85+")</f>
        <v>25-29</v>
      </c>
      <c r="D8056" t="s">
        <v>7</v>
      </c>
    </row>
    <row r="8057" spans="1:4">
      <c r="A8057" t="s">
        <v>6</v>
      </c>
      <c r="B8057">
        <v>32</v>
      </c>
      <c r="C8057" t="str">
        <f>CHOOSE(MATCH(B8057, {20,25,30,35,40,45,50,55,60,65,70,75,80,85}, 1), "20-24", "25-29", "30-34", "35-39", "40-44", "45-49", "50-54", "55-59", "60-64", "65-69", "70-74", "75-79", "80-84", "85+")</f>
        <v>30-34</v>
      </c>
      <c r="D8057" t="s">
        <v>7</v>
      </c>
    </row>
    <row r="8058" spans="1:4">
      <c r="A8058" t="s">
        <v>6</v>
      </c>
      <c r="B8058">
        <v>30</v>
      </c>
      <c r="C8058" t="str">
        <f>CHOOSE(MATCH(B8058, {20,25,30,35,40,45,50,55,60,65,70,75,80,85}, 1), "20-24", "25-29", "30-34", "35-39", "40-44", "45-49", "50-54", "55-59", "60-64", "65-69", "70-74", "75-79", "80-84", "85+")</f>
        <v>30-34</v>
      </c>
      <c r="D8058" t="s">
        <v>8</v>
      </c>
    </row>
    <row r="8059" spans="1:4">
      <c r="A8059" t="s">
        <v>6</v>
      </c>
      <c r="B8059">
        <v>30</v>
      </c>
      <c r="C8059" t="str">
        <f>CHOOSE(MATCH(B8059, {20,25,30,35,40,45,50,55,60,65,70,75,80,85}, 1), "20-24", "25-29", "30-34", "35-39", "40-44", "45-49", "50-54", "55-59", "60-64", "65-69", "70-74", "75-79", "80-84", "85+")</f>
        <v>30-34</v>
      </c>
      <c r="D8059" t="s">
        <v>7</v>
      </c>
    </row>
    <row r="8060" spans="1:4">
      <c r="A8060" t="s">
        <v>6</v>
      </c>
      <c r="B8060">
        <v>51</v>
      </c>
      <c r="C8060" t="str">
        <f>CHOOSE(MATCH(B8060, {20,25,30,35,40,45,50,55,60,65,70,75,80,85}, 1), "20-24", "25-29", "30-34", "35-39", "40-44", "45-49", "50-54", "55-59", "60-64", "65-69", "70-74", "75-79", "80-84", "85+")</f>
        <v>50-54</v>
      </c>
      <c r="D8060" t="s">
        <v>8</v>
      </c>
    </row>
    <row r="8061" spans="1:4">
      <c r="A8061" t="s">
        <v>6</v>
      </c>
      <c r="B8061">
        <v>56</v>
      </c>
      <c r="C8061" t="str">
        <f>CHOOSE(MATCH(B8061, {20,25,30,35,40,45,50,55,60,65,70,75,80,85}, 1), "20-24", "25-29", "30-34", "35-39", "40-44", "45-49", "50-54", "55-59", "60-64", "65-69", "70-74", "75-79", "80-84", "85+")</f>
        <v>55-59</v>
      </c>
      <c r="D8061" t="s">
        <v>7</v>
      </c>
    </row>
    <row r="8062" spans="1:4">
      <c r="A8062" t="s">
        <v>6</v>
      </c>
      <c r="B8062">
        <v>37</v>
      </c>
      <c r="C8062" t="str">
        <f>CHOOSE(MATCH(B8062, {20,25,30,35,40,45,50,55,60,65,70,75,80,85}, 1), "20-24", "25-29", "30-34", "35-39", "40-44", "45-49", "50-54", "55-59", "60-64", "65-69", "70-74", "75-79", "80-84", "85+")</f>
        <v>35-39</v>
      </c>
      <c r="D8062" t="s">
        <v>8</v>
      </c>
    </row>
    <row r="8063" spans="1:4">
      <c r="A8063" t="s">
        <v>6</v>
      </c>
      <c r="B8063">
        <v>64</v>
      </c>
      <c r="C8063" t="str">
        <f>CHOOSE(MATCH(B8063, {20,25,30,35,40,45,50,55,60,65,70,75,80,85}, 1), "20-24", "25-29", "30-34", "35-39", "40-44", "45-49", "50-54", "55-59", "60-64", "65-69", "70-74", "75-79", "80-84", "85+")</f>
        <v>60-64</v>
      </c>
      <c r="D8063" t="s">
        <v>7</v>
      </c>
    </row>
    <row r="8064" spans="1:4">
      <c r="A8064" t="s">
        <v>6</v>
      </c>
      <c r="B8064">
        <v>33</v>
      </c>
      <c r="C8064" t="str">
        <f>CHOOSE(MATCH(B8064, {20,25,30,35,40,45,50,55,60,65,70,75,80,85}, 1), "20-24", "25-29", "30-34", "35-39", "40-44", "45-49", "50-54", "55-59", "60-64", "65-69", "70-74", "75-79", "80-84", "85+")</f>
        <v>30-34</v>
      </c>
      <c r="D8064" t="s">
        <v>7</v>
      </c>
    </row>
    <row r="8065" spans="1:4">
      <c r="A8065" t="s">
        <v>6</v>
      </c>
      <c r="B8065">
        <v>46</v>
      </c>
      <c r="C8065" t="str">
        <f>CHOOSE(MATCH(B8065, {20,25,30,35,40,45,50,55,60,65,70,75,80,85}, 1), "20-24", "25-29", "30-34", "35-39", "40-44", "45-49", "50-54", "55-59", "60-64", "65-69", "70-74", "75-79", "80-84", "85+")</f>
        <v>45-49</v>
      </c>
      <c r="D8065" t="s">
        <v>8</v>
      </c>
    </row>
    <row r="8066" spans="1:4">
      <c r="A8066" t="s">
        <v>6</v>
      </c>
      <c r="B8066">
        <v>46</v>
      </c>
      <c r="C8066" t="str">
        <f>CHOOSE(MATCH(B8066, {20,25,30,35,40,45,50,55,60,65,70,75,80,85}, 1), "20-24", "25-29", "30-34", "35-39", "40-44", "45-49", "50-54", "55-59", "60-64", "65-69", "70-74", "75-79", "80-84", "85+")</f>
        <v>45-49</v>
      </c>
      <c r="D8066" t="s">
        <v>7</v>
      </c>
    </row>
    <row r="8067" spans="1:4">
      <c r="A8067" t="s">
        <v>6</v>
      </c>
      <c r="B8067">
        <v>32</v>
      </c>
      <c r="C8067" t="str">
        <f>CHOOSE(MATCH(B8067, {20,25,30,35,40,45,50,55,60,65,70,75,80,85}, 1), "20-24", "25-29", "30-34", "35-39", "40-44", "45-49", "50-54", "55-59", "60-64", "65-69", "70-74", "75-79", "80-84", "85+")</f>
        <v>30-34</v>
      </c>
      <c r="D8067" t="s">
        <v>7</v>
      </c>
    </row>
    <row r="8068" spans="1:4">
      <c r="A8068" t="s">
        <v>6</v>
      </c>
      <c r="B8068">
        <v>57</v>
      </c>
      <c r="C8068" t="str">
        <f>CHOOSE(MATCH(B8068, {20,25,30,35,40,45,50,55,60,65,70,75,80,85}, 1), "20-24", "25-29", "30-34", "35-39", "40-44", "45-49", "50-54", "55-59", "60-64", "65-69", "70-74", "75-79", "80-84", "85+")</f>
        <v>55-59</v>
      </c>
      <c r="D8068" t="s">
        <v>8</v>
      </c>
    </row>
    <row r="8069" spans="1:4">
      <c r="A8069" t="s">
        <v>6</v>
      </c>
      <c r="B8069">
        <v>30</v>
      </c>
      <c r="C8069" t="str">
        <f>CHOOSE(MATCH(B8069, {20,25,30,35,40,45,50,55,60,65,70,75,80,85}, 1), "20-24", "25-29", "30-34", "35-39", "40-44", "45-49", "50-54", "55-59", "60-64", "65-69", "70-74", "75-79", "80-84", "85+")</f>
        <v>30-34</v>
      </c>
      <c r="D8069" t="s">
        <v>8</v>
      </c>
    </row>
    <row r="8070" spans="1:4">
      <c r="A8070" t="s">
        <v>6</v>
      </c>
      <c r="B8070">
        <v>39</v>
      </c>
      <c r="C8070" t="str">
        <f>CHOOSE(MATCH(B8070, {20,25,30,35,40,45,50,55,60,65,70,75,80,85}, 1), "20-24", "25-29", "30-34", "35-39", "40-44", "45-49", "50-54", "55-59", "60-64", "65-69", "70-74", "75-79", "80-84", "85+")</f>
        <v>35-39</v>
      </c>
      <c r="D8070" t="s">
        <v>7</v>
      </c>
    </row>
    <row r="8071" spans="1:4">
      <c r="A8071" t="s">
        <v>6</v>
      </c>
      <c r="B8071">
        <v>55</v>
      </c>
      <c r="C8071" t="str">
        <f>CHOOSE(MATCH(B8071, {20,25,30,35,40,45,50,55,60,65,70,75,80,85}, 1), "20-24", "25-29", "30-34", "35-39", "40-44", "45-49", "50-54", "55-59", "60-64", "65-69", "70-74", "75-79", "80-84", "85+")</f>
        <v>55-59</v>
      </c>
      <c r="D8071" t="s">
        <v>8</v>
      </c>
    </row>
    <row r="8072" spans="1:4">
      <c r="A8072" t="s">
        <v>6</v>
      </c>
      <c r="B8072">
        <v>27</v>
      </c>
      <c r="C8072" t="str">
        <f>CHOOSE(MATCH(B8072, {20,25,30,35,40,45,50,55,60,65,70,75,80,85}, 1), "20-24", "25-29", "30-34", "35-39", "40-44", "45-49", "50-54", "55-59", "60-64", "65-69", "70-74", "75-79", "80-84", "85+")</f>
        <v>25-29</v>
      </c>
      <c r="D8072" t="s">
        <v>7</v>
      </c>
    </row>
    <row r="8073" spans="1:4">
      <c r="A8073" t="s">
        <v>6</v>
      </c>
      <c r="B8073">
        <v>34</v>
      </c>
      <c r="C8073" t="str">
        <f>CHOOSE(MATCH(B8073, {20,25,30,35,40,45,50,55,60,65,70,75,80,85}, 1), "20-24", "25-29", "30-34", "35-39", "40-44", "45-49", "50-54", "55-59", "60-64", "65-69", "70-74", "75-79", "80-84", "85+")</f>
        <v>30-34</v>
      </c>
      <c r="D8073" t="s">
        <v>7</v>
      </c>
    </row>
    <row r="8074" spans="1:4">
      <c r="A8074" t="s">
        <v>6</v>
      </c>
      <c r="B8074">
        <v>37</v>
      </c>
      <c r="C8074" t="str">
        <f>CHOOSE(MATCH(B8074, {20,25,30,35,40,45,50,55,60,65,70,75,80,85}, 1), "20-24", "25-29", "30-34", "35-39", "40-44", "45-49", "50-54", "55-59", "60-64", "65-69", "70-74", "75-79", "80-84", "85+")</f>
        <v>35-39</v>
      </c>
      <c r="D8074" t="s">
        <v>8</v>
      </c>
    </row>
    <row r="8075" spans="1:4">
      <c r="A8075" t="s">
        <v>6</v>
      </c>
      <c r="B8075">
        <v>61</v>
      </c>
      <c r="C8075" t="str">
        <f>CHOOSE(MATCH(B8075, {20,25,30,35,40,45,50,55,60,65,70,75,80,85}, 1), "20-24", "25-29", "30-34", "35-39", "40-44", "45-49", "50-54", "55-59", "60-64", "65-69", "70-74", "75-79", "80-84", "85+")</f>
        <v>60-64</v>
      </c>
      <c r="D8075" t="s">
        <v>8</v>
      </c>
    </row>
    <row r="8076" spans="1:4">
      <c r="A8076" t="s">
        <v>6</v>
      </c>
      <c r="B8076">
        <v>74</v>
      </c>
      <c r="C8076" t="str">
        <f>CHOOSE(MATCH(B8076, {20,25,30,35,40,45,50,55,60,65,70,75,80,85}, 1), "20-24", "25-29", "30-34", "35-39", "40-44", "45-49", "50-54", "55-59", "60-64", "65-69", "70-74", "75-79", "80-84", "85+")</f>
        <v>70-74</v>
      </c>
      <c r="D8076" t="s">
        <v>7</v>
      </c>
    </row>
    <row r="8077" spans="1:4">
      <c r="A8077" t="s">
        <v>6</v>
      </c>
      <c r="B8077">
        <v>50</v>
      </c>
      <c r="C8077" t="str">
        <f>CHOOSE(MATCH(B8077, {20,25,30,35,40,45,50,55,60,65,70,75,80,85}, 1), "20-24", "25-29", "30-34", "35-39", "40-44", "45-49", "50-54", "55-59", "60-64", "65-69", "70-74", "75-79", "80-84", "85+")</f>
        <v>50-54</v>
      </c>
      <c r="D8077" t="s">
        <v>7</v>
      </c>
    </row>
    <row r="8078" spans="1:4">
      <c r="A8078" t="s">
        <v>6</v>
      </c>
      <c r="B8078">
        <v>34</v>
      </c>
      <c r="C8078" t="str">
        <f>CHOOSE(MATCH(B8078, {20,25,30,35,40,45,50,55,60,65,70,75,80,85}, 1), "20-24", "25-29", "30-34", "35-39", "40-44", "45-49", "50-54", "55-59", "60-64", "65-69", "70-74", "75-79", "80-84", "85+")</f>
        <v>30-34</v>
      </c>
      <c r="D8078" t="s">
        <v>7</v>
      </c>
    </row>
    <row r="8079" spans="1:4">
      <c r="A8079" t="s">
        <v>6</v>
      </c>
      <c r="B8079">
        <v>50</v>
      </c>
      <c r="C8079" t="str">
        <f>CHOOSE(MATCH(B8079, {20,25,30,35,40,45,50,55,60,65,70,75,80,85}, 1), "20-24", "25-29", "30-34", "35-39", "40-44", "45-49", "50-54", "55-59", "60-64", "65-69", "70-74", "75-79", "80-84", "85+")</f>
        <v>50-54</v>
      </c>
      <c r="D8079" t="s">
        <v>7</v>
      </c>
    </row>
    <row r="8080" spans="1:4">
      <c r="A8080" t="s">
        <v>6</v>
      </c>
      <c r="B8080">
        <v>45</v>
      </c>
      <c r="C8080" t="str">
        <f>CHOOSE(MATCH(B8080, {20,25,30,35,40,45,50,55,60,65,70,75,80,85}, 1), "20-24", "25-29", "30-34", "35-39", "40-44", "45-49", "50-54", "55-59", "60-64", "65-69", "70-74", "75-79", "80-84", "85+")</f>
        <v>45-49</v>
      </c>
      <c r="D8080" t="s">
        <v>7</v>
      </c>
    </row>
    <row r="8081" spans="1:4">
      <c r="A8081" t="s">
        <v>6</v>
      </c>
      <c r="B8081">
        <v>46</v>
      </c>
      <c r="C8081" t="str">
        <f>CHOOSE(MATCH(B8081, {20,25,30,35,40,45,50,55,60,65,70,75,80,85}, 1), "20-24", "25-29", "30-34", "35-39", "40-44", "45-49", "50-54", "55-59", "60-64", "65-69", "70-74", "75-79", "80-84", "85+")</f>
        <v>45-49</v>
      </c>
      <c r="D8081" t="s">
        <v>8</v>
      </c>
    </row>
    <row r="8082" spans="1:4">
      <c r="A8082" t="s">
        <v>6</v>
      </c>
      <c r="B8082">
        <v>50</v>
      </c>
      <c r="C8082" t="str">
        <f>CHOOSE(MATCH(B8082, {20,25,30,35,40,45,50,55,60,65,70,75,80,85}, 1), "20-24", "25-29", "30-34", "35-39", "40-44", "45-49", "50-54", "55-59", "60-64", "65-69", "70-74", "75-79", "80-84", "85+")</f>
        <v>50-54</v>
      </c>
      <c r="D8082" t="s">
        <v>7</v>
      </c>
    </row>
    <row r="8083" spans="1:4">
      <c r="A8083" t="s">
        <v>6</v>
      </c>
      <c r="B8083">
        <v>54</v>
      </c>
      <c r="C8083" t="str">
        <f>CHOOSE(MATCH(B8083, {20,25,30,35,40,45,50,55,60,65,70,75,80,85}, 1), "20-24", "25-29", "30-34", "35-39", "40-44", "45-49", "50-54", "55-59", "60-64", "65-69", "70-74", "75-79", "80-84", "85+")</f>
        <v>50-54</v>
      </c>
      <c r="D8083" t="s">
        <v>8</v>
      </c>
    </row>
    <row r="8084" spans="1:4">
      <c r="A8084" t="s">
        <v>6</v>
      </c>
      <c r="B8084">
        <v>41</v>
      </c>
      <c r="C8084" t="str">
        <f>CHOOSE(MATCH(B8084, {20,25,30,35,40,45,50,55,60,65,70,75,80,85}, 1), "20-24", "25-29", "30-34", "35-39", "40-44", "45-49", "50-54", "55-59", "60-64", "65-69", "70-74", "75-79", "80-84", "85+")</f>
        <v>40-44</v>
      </c>
      <c r="D8084" t="s">
        <v>7</v>
      </c>
    </row>
    <row r="8085" spans="1:4">
      <c r="A8085" t="s">
        <v>6</v>
      </c>
      <c r="B8085">
        <v>64</v>
      </c>
      <c r="C8085" t="str">
        <f>CHOOSE(MATCH(B8085, {20,25,30,35,40,45,50,55,60,65,70,75,80,85}, 1), "20-24", "25-29", "30-34", "35-39", "40-44", "45-49", "50-54", "55-59", "60-64", "65-69", "70-74", "75-79", "80-84", "85+")</f>
        <v>60-64</v>
      </c>
      <c r="D8085" t="s">
        <v>8</v>
      </c>
    </row>
    <row r="8086" spans="1:4">
      <c r="A8086" t="s">
        <v>6</v>
      </c>
      <c r="B8086">
        <v>51</v>
      </c>
      <c r="C8086" t="str">
        <f>CHOOSE(MATCH(B8086, {20,25,30,35,40,45,50,55,60,65,70,75,80,85}, 1), "20-24", "25-29", "30-34", "35-39", "40-44", "45-49", "50-54", "55-59", "60-64", "65-69", "70-74", "75-79", "80-84", "85+")</f>
        <v>50-54</v>
      </c>
      <c r="D8086" t="s">
        <v>7</v>
      </c>
    </row>
    <row r="8087" spans="1:4">
      <c r="A8087" t="s">
        <v>6</v>
      </c>
      <c r="B8087">
        <v>52</v>
      </c>
      <c r="C8087" t="str">
        <f>CHOOSE(MATCH(B8087, {20,25,30,35,40,45,50,55,60,65,70,75,80,85}, 1), "20-24", "25-29", "30-34", "35-39", "40-44", "45-49", "50-54", "55-59", "60-64", "65-69", "70-74", "75-79", "80-84", "85+")</f>
        <v>50-54</v>
      </c>
      <c r="D8087" t="s">
        <v>7</v>
      </c>
    </row>
    <row r="8088" spans="1:4">
      <c r="A8088" t="s">
        <v>6</v>
      </c>
      <c r="B8088">
        <v>78</v>
      </c>
      <c r="C8088" t="str">
        <f>CHOOSE(MATCH(B8088, {20,25,30,35,40,45,50,55,60,65,70,75,80,85}, 1), "20-24", "25-29", "30-34", "35-39", "40-44", "45-49", "50-54", "55-59", "60-64", "65-69", "70-74", "75-79", "80-84", "85+")</f>
        <v>75-79</v>
      </c>
      <c r="D8088" t="s">
        <v>8</v>
      </c>
    </row>
    <row r="8089" spans="1:4">
      <c r="A8089" t="s">
        <v>6</v>
      </c>
      <c r="B8089">
        <v>35</v>
      </c>
      <c r="C8089" t="str">
        <f>CHOOSE(MATCH(B8089, {20,25,30,35,40,45,50,55,60,65,70,75,80,85}, 1), "20-24", "25-29", "30-34", "35-39", "40-44", "45-49", "50-54", "55-59", "60-64", "65-69", "70-74", "75-79", "80-84", "85+")</f>
        <v>35-39</v>
      </c>
      <c r="D8089" t="s">
        <v>7</v>
      </c>
    </row>
    <row r="8090" spans="1:4">
      <c r="A8090" t="s">
        <v>6</v>
      </c>
      <c r="B8090">
        <v>45</v>
      </c>
      <c r="C8090" t="str">
        <f>CHOOSE(MATCH(B8090, {20,25,30,35,40,45,50,55,60,65,70,75,80,85}, 1), "20-24", "25-29", "30-34", "35-39", "40-44", "45-49", "50-54", "55-59", "60-64", "65-69", "70-74", "75-79", "80-84", "85+")</f>
        <v>45-49</v>
      </c>
      <c r="D8090" t="s">
        <v>8</v>
      </c>
    </row>
    <row r="8091" spans="1:4">
      <c r="A8091" t="s">
        <v>6</v>
      </c>
      <c r="B8091">
        <v>44</v>
      </c>
      <c r="C8091" t="str">
        <f>CHOOSE(MATCH(B8091, {20,25,30,35,40,45,50,55,60,65,70,75,80,85}, 1), "20-24", "25-29", "30-34", "35-39", "40-44", "45-49", "50-54", "55-59", "60-64", "65-69", "70-74", "75-79", "80-84", "85+")</f>
        <v>40-44</v>
      </c>
      <c r="D8091" t="s">
        <v>7</v>
      </c>
    </row>
    <row r="8092" spans="1:4">
      <c r="A8092" t="s">
        <v>6</v>
      </c>
      <c r="B8092">
        <v>70</v>
      </c>
      <c r="C8092" t="str">
        <f>CHOOSE(MATCH(B8092, {20,25,30,35,40,45,50,55,60,65,70,75,80,85}, 1), "20-24", "25-29", "30-34", "35-39", "40-44", "45-49", "50-54", "55-59", "60-64", "65-69", "70-74", "75-79", "80-84", "85+")</f>
        <v>70-74</v>
      </c>
      <c r="D8092" t="s">
        <v>7</v>
      </c>
    </row>
    <row r="8093" spans="1:4">
      <c r="A8093" t="s">
        <v>6</v>
      </c>
      <c r="B8093">
        <v>37</v>
      </c>
      <c r="C8093" t="str">
        <f>CHOOSE(MATCH(B8093, {20,25,30,35,40,45,50,55,60,65,70,75,80,85}, 1), "20-24", "25-29", "30-34", "35-39", "40-44", "45-49", "50-54", "55-59", "60-64", "65-69", "70-74", "75-79", "80-84", "85+")</f>
        <v>35-39</v>
      </c>
      <c r="D8093" t="s">
        <v>8</v>
      </c>
    </row>
    <row r="8094" spans="1:4">
      <c r="A8094" t="s">
        <v>6</v>
      </c>
      <c r="B8094">
        <v>33</v>
      </c>
      <c r="C8094" t="str">
        <f>CHOOSE(MATCH(B8094, {20,25,30,35,40,45,50,55,60,65,70,75,80,85}, 1), "20-24", "25-29", "30-34", "35-39", "40-44", "45-49", "50-54", "55-59", "60-64", "65-69", "70-74", "75-79", "80-84", "85+")</f>
        <v>30-34</v>
      </c>
      <c r="D8094" t="s">
        <v>7</v>
      </c>
    </row>
    <row r="8095" spans="1:4">
      <c r="A8095" t="s">
        <v>6</v>
      </c>
      <c r="B8095">
        <v>35</v>
      </c>
      <c r="C8095" t="str">
        <f>CHOOSE(MATCH(B8095, {20,25,30,35,40,45,50,55,60,65,70,75,80,85}, 1), "20-24", "25-29", "30-34", "35-39", "40-44", "45-49", "50-54", "55-59", "60-64", "65-69", "70-74", "75-79", "80-84", "85+")</f>
        <v>35-39</v>
      </c>
      <c r="D8095" t="s">
        <v>7</v>
      </c>
    </row>
    <row r="8096" spans="1:4">
      <c r="A8096" t="s">
        <v>6</v>
      </c>
      <c r="B8096">
        <v>36</v>
      </c>
      <c r="C8096" t="str">
        <f>CHOOSE(MATCH(B8096, {20,25,30,35,40,45,50,55,60,65,70,75,80,85}, 1), "20-24", "25-29", "30-34", "35-39", "40-44", "45-49", "50-54", "55-59", "60-64", "65-69", "70-74", "75-79", "80-84", "85+")</f>
        <v>35-39</v>
      </c>
      <c r="D8096" t="s">
        <v>8</v>
      </c>
    </row>
    <row r="8097" spans="1:4">
      <c r="A8097" t="s">
        <v>6</v>
      </c>
      <c r="B8097">
        <v>38</v>
      </c>
      <c r="C8097" t="str">
        <f>CHOOSE(MATCH(B8097, {20,25,30,35,40,45,50,55,60,65,70,75,80,85}, 1), "20-24", "25-29", "30-34", "35-39", "40-44", "45-49", "50-54", "55-59", "60-64", "65-69", "70-74", "75-79", "80-84", "85+")</f>
        <v>35-39</v>
      </c>
      <c r="D8097" t="s">
        <v>7</v>
      </c>
    </row>
    <row r="8098" spans="1:4">
      <c r="A8098" t="s">
        <v>6</v>
      </c>
      <c r="B8098">
        <v>27</v>
      </c>
      <c r="C8098" t="str">
        <f>CHOOSE(MATCH(B8098, {20,25,30,35,40,45,50,55,60,65,70,75,80,85}, 1), "20-24", "25-29", "30-34", "35-39", "40-44", "45-49", "50-54", "55-59", "60-64", "65-69", "70-74", "75-79", "80-84", "85+")</f>
        <v>25-29</v>
      </c>
      <c r="D8098" t="s">
        <v>7</v>
      </c>
    </row>
    <row r="8099" spans="1:4">
      <c r="A8099" t="s">
        <v>6</v>
      </c>
      <c r="B8099">
        <v>23</v>
      </c>
      <c r="C8099" t="str">
        <f>CHOOSE(MATCH(B8099, {20,25,30,35,40,45,50,55,60,65,70,75,80,85}, 1), "20-24", "25-29", "30-34", "35-39", "40-44", "45-49", "50-54", "55-59", "60-64", "65-69", "70-74", "75-79", "80-84", "85+")</f>
        <v>20-24</v>
      </c>
      <c r="D8099" t="s">
        <v>7</v>
      </c>
    </row>
    <row r="8100" spans="1:4">
      <c r="A8100" t="s">
        <v>6</v>
      </c>
      <c r="B8100">
        <v>31</v>
      </c>
      <c r="C8100" t="str">
        <f>CHOOSE(MATCH(B8100, {20,25,30,35,40,45,50,55,60,65,70,75,80,85}, 1), "20-24", "25-29", "30-34", "35-39", "40-44", "45-49", "50-54", "55-59", "60-64", "65-69", "70-74", "75-79", "80-84", "85+")</f>
        <v>30-34</v>
      </c>
      <c r="D8100" t="s">
        <v>7</v>
      </c>
    </row>
    <row r="8101" spans="1:4">
      <c r="A8101" t="s">
        <v>6</v>
      </c>
      <c r="B8101">
        <v>55</v>
      </c>
      <c r="C8101" t="str">
        <f>CHOOSE(MATCH(B8101, {20,25,30,35,40,45,50,55,60,65,70,75,80,85}, 1), "20-24", "25-29", "30-34", "35-39", "40-44", "45-49", "50-54", "55-59", "60-64", "65-69", "70-74", "75-79", "80-84", "85+")</f>
        <v>55-59</v>
      </c>
      <c r="D8101" t="s">
        <v>7</v>
      </c>
    </row>
    <row r="8102" spans="1:4">
      <c r="A8102" t="s">
        <v>6</v>
      </c>
      <c r="B8102">
        <v>63</v>
      </c>
      <c r="C8102" t="str">
        <f>CHOOSE(MATCH(B8102, {20,25,30,35,40,45,50,55,60,65,70,75,80,85}, 1), "20-24", "25-29", "30-34", "35-39", "40-44", "45-49", "50-54", "55-59", "60-64", "65-69", "70-74", "75-79", "80-84", "85+")</f>
        <v>60-64</v>
      </c>
      <c r="D8102" t="s">
        <v>8</v>
      </c>
    </row>
    <row r="8103" spans="1:4">
      <c r="A8103" t="s">
        <v>6</v>
      </c>
      <c r="B8103">
        <v>24</v>
      </c>
      <c r="C8103" t="str">
        <f>CHOOSE(MATCH(B8103, {20,25,30,35,40,45,50,55,60,65,70,75,80,85}, 1), "20-24", "25-29", "30-34", "35-39", "40-44", "45-49", "50-54", "55-59", "60-64", "65-69", "70-74", "75-79", "80-84", "85+")</f>
        <v>20-24</v>
      </c>
      <c r="D8103" t="s">
        <v>8</v>
      </c>
    </row>
    <row r="8104" spans="1:4">
      <c r="A8104" t="s">
        <v>6</v>
      </c>
      <c r="B8104">
        <v>56</v>
      </c>
      <c r="C8104" t="str">
        <f>CHOOSE(MATCH(B8104, {20,25,30,35,40,45,50,55,60,65,70,75,80,85}, 1), "20-24", "25-29", "30-34", "35-39", "40-44", "45-49", "50-54", "55-59", "60-64", "65-69", "70-74", "75-79", "80-84", "85+")</f>
        <v>55-59</v>
      </c>
      <c r="D8104" t="s">
        <v>7</v>
      </c>
    </row>
    <row r="8105" spans="1:4">
      <c r="A8105" t="s">
        <v>6</v>
      </c>
      <c r="B8105">
        <v>42</v>
      </c>
      <c r="C8105" t="str">
        <f>CHOOSE(MATCH(B8105, {20,25,30,35,40,45,50,55,60,65,70,75,80,85}, 1), "20-24", "25-29", "30-34", "35-39", "40-44", "45-49", "50-54", "55-59", "60-64", "65-69", "70-74", "75-79", "80-84", "85+")</f>
        <v>40-44</v>
      </c>
      <c r="D8105" t="s">
        <v>8</v>
      </c>
    </row>
    <row r="8106" spans="1:4">
      <c r="A8106" t="s">
        <v>6</v>
      </c>
      <c r="B8106">
        <v>46</v>
      </c>
      <c r="C8106" t="str">
        <f>CHOOSE(MATCH(B8106, {20,25,30,35,40,45,50,55,60,65,70,75,80,85}, 1), "20-24", "25-29", "30-34", "35-39", "40-44", "45-49", "50-54", "55-59", "60-64", "65-69", "70-74", "75-79", "80-84", "85+")</f>
        <v>45-49</v>
      </c>
      <c r="D8106" t="s">
        <v>8</v>
      </c>
    </row>
    <row r="8107" spans="1:4">
      <c r="A8107" t="s">
        <v>6</v>
      </c>
      <c r="B8107">
        <v>28</v>
      </c>
      <c r="C8107" t="str">
        <f>CHOOSE(MATCH(B8107, {20,25,30,35,40,45,50,55,60,65,70,75,80,85}, 1), "20-24", "25-29", "30-34", "35-39", "40-44", "45-49", "50-54", "55-59", "60-64", "65-69", "70-74", "75-79", "80-84", "85+")</f>
        <v>25-29</v>
      </c>
      <c r="D8107" t="s">
        <v>7</v>
      </c>
    </row>
    <row r="8108" spans="1:4">
      <c r="A8108" t="s">
        <v>6</v>
      </c>
      <c r="B8108">
        <v>23</v>
      </c>
      <c r="C8108" t="str">
        <f>CHOOSE(MATCH(B8108, {20,25,30,35,40,45,50,55,60,65,70,75,80,85}, 1), "20-24", "25-29", "30-34", "35-39", "40-44", "45-49", "50-54", "55-59", "60-64", "65-69", "70-74", "75-79", "80-84", "85+")</f>
        <v>20-24</v>
      </c>
      <c r="D8108" t="s">
        <v>7</v>
      </c>
    </row>
    <row r="8109" spans="1:4">
      <c r="A8109" t="s">
        <v>6</v>
      </c>
      <c r="B8109">
        <v>30</v>
      </c>
      <c r="C8109" t="str">
        <f>CHOOSE(MATCH(B8109, {20,25,30,35,40,45,50,55,60,65,70,75,80,85}, 1), "20-24", "25-29", "30-34", "35-39", "40-44", "45-49", "50-54", "55-59", "60-64", "65-69", "70-74", "75-79", "80-84", "85+")</f>
        <v>30-34</v>
      </c>
      <c r="D8109" t="s">
        <v>7</v>
      </c>
    </row>
    <row r="8110" spans="1:4">
      <c r="A8110" t="s">
        <v>6</v>
      </c>
      <c r="B8110">
        <v>39</v>
      </c>
      <c r="C8110" t="str">
        <f>CHOOSE(MATCH(B8110, {20,25,30,35,40,45,50,55,60,65,70,75,80,85}, 1), "20-24", "25-29", "30-34", "35-39", "40-44", "45-49", "50-54", "55-59", "60-64", "65-69", "70-74", "75-79", "80-84", "85+")</f>
        <v>35-39</v>
      </c>
      <c r="D8110" t="s">
        <v>7</v>
      </c>
    </row>
    <row r="8111" spans="1:4">
      <c r="A8111" t="s">
        <v>6</v>
      </c>
      <c r="B8111">
        <v>55</v>
      </c>
      <c r="C8111" t="str">
        <f>CHOOSE(MATCH(B8111, {20,25,30,35,40,45,50,55,60,65,70,75,80,85}, 1), "20-24", "25-29", "30-34", "35-39", "40-44", "45-49", "50-54", "55-59", "60-64", "65-69", "70-74", "75-79", "80-84", "85+")</f>
        <v>55-59</v>
      </c>
      <c r="D8111" t="s">
        <v>8</v>
      </c>
    </row>
    <row r="8112" spans="1:4">
      <c r="A8112" t="s">
        <v>6</v>
      </c>
      <c r="B8112">
        <v>51</v>
      </c>
      <c r="C8112" t="str">
        <f>CHOOSE(MATCH(B8112, {20,25,30,35,40,45,50,55,60,65,70,75,80,85}, 1), "20-24", "25-29", "30-34", "35-39", "40-44", "45-49", "50-54", "55-59", "60-64", "65-69", "70-74", "75-79", "80-84", "85+")</f>
        <v>50-54</v>
      </c>
      <c r="D8112" t="s">
        <v>8</v>
      </c>
    </row>
    <row r="8113" spans="1:4">
      <c r="A8113" t="s">
        <v>6</v>
      </c>
      <c r="B8113">
        <v>65</v>
      </c>
      <c r="C8113" t="str">
        <f>CHOOSE(MATCH(B8113, {20,25,30,35,40,45,50,55,60,65,70,75,80,85}, 1), "20-24", "25-29", "30-34", "35-39", "40-44", "45-49", "50-54", "55-59", "60-64", "65-69", "70-74", "75-79", "80-84", "85+")</f>
        <v>65-69</v>
      </c>
      <c r="D8113" t="s">
        <v>7</v>
      </c>
    </row>
    <row r="8114" spans="1:4">
      <c r="A8114" t="s">
        <v>6</v>
      </c>
      <c r="B8114">
        <v>61</v>
      </c>
      <c r="C8114" t="str">
        <f>CHOOSE(MATCH(B8114, {20,25,30,35,40,45,50,55,60,65,70,75,80,85}, 1), "20-24", "25-29", "30-34", "35-39", "40-44", "45-49", "50-54", "55-59", "60-64", "65-69", "70-74", "75-79", "80-84", "85+")</f>
        <v>60-64</v>
      </c>
      <c r="D8114" t="s">
        <v>7</v>
      </c>
    </row>
    <row r="8115" spans="1:4">
      <c r="A8115" t="s">
        <v>6</v>
      </c>
      <c r="B8115">
        <v>54</v>
      </c>
      <c r="C8115" t="str">
        <f>CHOOSE(MATCH(B8115, {20,25,30,35,40,45,50,55,60,65,70,75,80,85}, 1), "20-24", "25-29", "30-34", "35-39", "40-44", "45-49", "50-54", "55-59", "60-64", "65-69", "70-74", "75-79", "80-84", "85+")</f>
        <v>50-54</v>
      </c>
      <c r="D8115" t="s">
        <v>8</v>
      </c>
    </row>
    <row r="8116" spans="1:4">
      <c r="A8116" t="s">
        <v>6</v>
      </c>
      <c r="B8116">
        <v>47</v>
      </c>
      <c r="C8116" t="str">
        <f>CHOOSE(MATCH(B8116, {20,25,30,35,40,45,50,55,60,65,70,75,80,85}, 1), "20-24", "25-29", "30-34", "35-39", "40-44", "45-49", "50-54", "55-59", "60-64", "65-69", "70-74", "75-79", "80-84", "85+")</f>
        <v>45-49</v>
      </c>
      <c r="D8116" t="s">
        <v>7</v>
      </c>
    </row>
    <row r="8117" spans="1:4">
      <c r="A8117" t="s">
        <v>6</v>
      </c>
      <c r="B8117">
        <v>39</v>
      </c>
      <c r="C8117" t="str">
        <f>CHOOSE(MATCH(B8117, {20,25,30,35,40,45,50,55,60,65,70,75,80,85}, 1), "20-24", "25-29", "30-34", "35-39", "40-44", "45-49", "50-54", "55-59", "60-64", "65-69", "70-74", "75-79", "80-84", "85+")</f>
        <v>35-39</v>
      </c>
      <c r="D8117" t="s">
        <v>7</v>
      </c>
    </row>
    <row r="8118" spans="1:4">
      <c r="A8118" t="s">
        <v>6</v>
      </c>
      <c r="B8118">
        <v>29</v>
      </c>
      <c r="C8118" t="str">
        <f>CHOOSE(MATCH(B8118, {20,25,30,35,40,45,50,55,60,65,70,75,80,85}, 1), "20-24", "25-29", "30-34", "35-39", "40-44", "45-49", "50-54", "55-59", "60-64", "65-69", "70-74", "75-79", "80-84", "85+")</f>
        <v>25-29</v>
      </c>
      <c r="D8118" t="s">
        <v>7</v>
      </c>
    </row>
    <row r="8119" spans="1:4">
      <c r="A8119" t="s">
        <v>6</v>
      </c>
      <c r="B8119">
        <v>24</v>
      </c>
      <c r="C8119" t="str">
        <f>CHOOSE(MATCH(B8119, {20,25,30,35,40,45,50,55,60,65,70,75,80,85}, 1), "20-24", "25-29", "30-34", "35-39", "40-44", "45-49", "50-54", "55-59", "60-64", "65-69", "70-74", "75-79", "80-84", "85+")</f>
        <v>20-24</v>
      </c>
      <c r="D8119" t="s">
        <v>7</v>
      </c>
    </row>
    <row r="8120" spans="1:4">
      <c r="A8120" t="s">
        <v>6</v>
      </c>
      <c r="B8120">
        <v>28</v>
      </c>
      <c r="C8120" t="str">
        <f>CHOOSE(MATCH(B8120, {20,25,30,35,40,45,50,55,60,65,70,75,80,85}, 1), "20-24", "25-29", "30-34", "35-39", "40-44", "45-49", "50-54", "55-59", "60-64", "65-69", "70-74", "75-79", "80-84", "85+")</f>
        <v>25-29</v>
      </c>
      <c r="D8120" t="s">
        <v>7</v>
      </c>
    </row>
    <row r="8121" spans="1:4">
      <c r="A8121" t="s">
        <v>6</v>
      </c>
      <c r="B8121">
        <v>50</v>
      </c>
      <c r="C8121" t="str">
        <f>CHOOSE(MATCH(B8121, {20,25,30,35,40,45,50,55,60,65,70,75,80,85}, 1), "20-24", "25-29", "30-34", "35-39", "40-44", "45-49", "50-54", "55-59", "60-64", "65-69", "70-74", "75-79", "80-84", "85+")</f>
        <v>50-54</v>
      </c>
      <c r="D8121" t="s">
        <v>7</v>
      </c>
    </row>
    <row r="8122" spans="1:4">
      <c r="A8122" t="s">
        <v>6</v>
      </c>
      <c r="B8122">
        <v>26</v>
      </c>
      <c r="C8122" t="str">
        <f>CHOOSE(MATCH(B8122, {20,25,30,35,40,45,50,55,60,65,70,75,80,85}, 1), "20-24", "25-29", "30-34", "35-39", "40-44", "45-49", "50-54", "55-59", "60-64", "65-69", "70-74", "75-79", "80-84", "85+")</f>
        <v>25-29</v>
      </c>
      <c r="D8122" t="s">
        <v>8</v>
      </c>
    </row>
    <row r="8123" spans="1:4">
      <c r="A8123" t="s">
        <v>6</v>
      </c>
      <c r="B8123">
        <v>36</v>
      </c>
      <c r="C8123" t="str">
        <f>CHOOSE(MATCH(B8123, {20,25,30,35,40,45,50,55,60,65,70,75,80,85}, 1), "20-24", "25-29", "30-34", "35-39", "40-44", "45-49", "50-54", "55-59", "60-64", "65-69", "70-74", "75-79", "80-84", "85+")</f>
        <v>35-39</v>
      </c>
      <c r="D8123" t="s">
        <v>8</v>
      </c>
    </row>
    <row r="8124" spans="1:4">
      <c r="A8124" t="s">
        <v>6</v>
      </c>
      <c r="B8124">
        <v>73</v>
      </c>
      <c r="C8124" t="str">
        <f>CHOOSE(MATCH(B8124, {20,25,30,35,40,45,50,55,60,65,70,75,80,85}, 1), "20-24", "25-29", "30-34", "35-39", "40-44", "45-49", "50-54", "55-59", "60-64", "65-69", "70-74", "75-79", "80-84", "85+")</f>
        <v>70-74</v>
      </c>
      <c r="D8124" t="s">
        <v>8</v>
      </c>
    </row>
    <row r="8125" spans="1:4">
      <c r="A8125" t="s">
        <v>6</v>
      </c>
      <c r="B8125">
        <v>45</v>
      </c>
      <c r="C8125" t="str">
        <f>CHOOSE(MATCH(B8125, {20,25,30,35,40,45,50,55,60,65,70,75,80,85}, 1), "20-24", "25-29", "30-34", "35-39", "40-44", "45-49", "50-54", "55-59", "60-64", "65-69", "70-74", "75-79", "80-84", "85+")</f>
        <v>45-49</v>
      </c>
      <c r="D8125" t="s">
        <v>8</v>
      </c>
    </row>
    <row r="8126" spans="1:4">
      <c r="A8126" t="s">
        <v>6</v>
      </c>
      <c r="B8126">
        <v>43</v>
      </c>
      <c r="C8126" t="str">
        <f>CHOOSE(MATCH(B8126, {20,25,30,35,40,45,50,55,60,65,70,75,80,85}, 1), "20-24", "25-29", "30-34", "35-39", "40-44", "45-49", "50-54", "55-59", "60-64", "65-69", "70-74", "75-79", "80-84", "85+")</f>
        <v>40-44</v>
      </c>
      <c r="D8126" t="s">
        <v>8</v>
      </c>
    </row>
    <row r="8127" spans="1:4">
      <c r="A8127" t="s">
        <v>6</v>
      </c>
      <c r="B8127">
        <v>39</v>
      </c>
      <c r="C8127" t="str">
        <f>CHOOSE(MATCH(B8127, {20,25,30,35,40,45,50,55,60,65,70,75,80,85}, 1), "20-24", "25-29", "30-34", "35-39", "40-44", "45-49", "50-54", "55-59", "60-64", "65-69", "70-74", "75-79", "80-84", "85+")</f>
        <v>35-39</v>
      </c>
      <c r="D8127" t="s">
        <v>7</v>
      </c>
    </row>
    <row r="8128" spans="1:4">
      <c r="A8128" t="s">
        <v>6</v>
      </c>
      <c r="B8128">
        <v>38</v>
      </c>
      <c r="C8128" t="str">
        <f>CHOOSE(MATCH(B8128, {20,25,30,35,40,45,50,55,60,65,70,75,80,85}, 1), "20-24", "25-29", "30-34", "35-39", "40-44", "45-49", "50-54", "55-59", "60-64", "65-69", "70-74", "75-79", "80-84", "85+")</f>
        <v>35-39</v>
      </c>
      <c r="D8128" t="s">
        <v>8</v>
      </c>
    </row>
    <row r="8129" spans="1:4">
      <c r="A8129" t="s">
        <v>6</v>
      </c>
      <c r="B8129">
        <v>43</v>
      </c>
      <c r="C8129" t="str">
        <f>CHOOSE(MATCH(B8129, {20,25,30,35,40,45,50,55,60,65,70,75,80,85}, 1), "20-24", "25-29", "30-34", "35-39", "40-44", "45-49", "50-54", "55-59", "60-64", "65-69", "70-74", "75-79", "80-84", "85+")</f>
        <v>40-44</v>
      </c>
      <c r="D8129" t="s">
        <v>7</v>
      </c>
    </row>
    <row r="8130" spans="1:4">
      <c r="A8130" t="s">
        <v>6</v>
      </c>
      <c r="B8130">
        <v>27</v>
      </c>
      <c r="C8130" t="str">
        <f>CHOOSE(MATCH(B8130, {20,25,30,35,40,45,50,55,60,65,70,75,80,85}, 1), "20-24", "25-29", "30-34", "35-39", "40-44", "45-49", "50-54", "55-59", "60-64", "65-69", "70-74", "75-79", "80-84", "85+")</f>
        <v>25-29</v>
      </c>
      <c r="D8130" t="s">
        <v>8</v>
      </c>
    </row>
    <row r="8131" spans="1:4">
      <c r="A8131" t="s">
        <v>6</v>
      </c>
      <c r="B8131">
        <v>32</v>
      </c>
      <c r="C8131" t="str">
        <f>CHOOSE(MATCH(B8131, {20,25,30,35,40,45,50,55,60,65,70,75,80,85}, 1), "20-24", "25-29", "30-34", "35-39", "40-44", "45-49", "50-54", "55-59", "60-64", "65-69", "70-74", "75-79", "80-84", "85+")</f>
        <v>30-34</v>
      </c>
      <c r="D8131" t="s">
        <v>7</v>
      </c>
    </row>
    <row r="8132" spans="1:4">
      <c r="A8132" t="s">
        <v>6</v>
      </c>
      <c r="B8132">
        <v>22</v>
      </c>
      <c r="C8132" t="str">
        <f>CHOOSE(MATCH(B8132, {20,25,30,35,40,45,50,55,60,65,70,75,80,85}, 1), "20-24", "25-29", "30-34", "35-39", "40-44", "45-49", "50-54", "55-59", "60-64", "65-69", "70-74", "75-79", "80-84", "85+")</f>
        <v>20-24</v>
      </c>
      <c r="D8132" t="s">
        <v>7</v>
      </c>
    </row>
    <row r="8133" spans="1:4">
      <c r="A8133" t="s">
        <v>6</v>
      </c>
      <c r="B8133">
        <v>53</v>
      </c>
      <c r="C8133" t="str">
        <f>CHOOSE(MATCH(B8133, {20,25,30,35,40,45,50,55,60,65,70,75,80,85}, 1), "20-24", "25-29", "30-34", "35-39", "40-44", "45-49", "50-54", "55-59", "60-64", "65-69", "70-74", "75-79", "80-84", "85+")</f>
        <v>50-54</v>
      </c>
      <c r="D8133" t="s">
        <v>8</v>
      </c>
    </row>
    <row r="8134" spans="1:4">
      <c r="A8134" t="s">
        <v>6</v>
      </c>
      <c r="B8134">
        <v>75</v>
      </c>
      <c r="C8134" t="str">
        <f>CHOOSE(MATCH(B8134, {20,25,30,35,40,45,50,55,60,65,70,75,80,85}, 1), "20-24", "25-29", "30-34", "35-39", "40-44", "45-49", "50-54", "55-59", "60-64", "65-69", "70-74", "75-79", "80-84", "85+")</f>
        <v>75-79</v>
      </c>
      <c r="D8134" t="s">
        <v>7</v>
      </c>
    </row>
    <row r="8135" spans="1:4">
      <c r="A8135" t="s">
        <v>6</v>
      </c>
      <c r="B8135">
        <v>29</v>
      </c>
      <c r="C8135" t="str">
        <f>CHOOSE(MATCH(B8135, {20,25,30,35,40,45,50,55,60,65,70,75,80,85}, 1), "20-24", "25-29", "30-34", "35-39", "40-44", "45-49", "50-54", "55-59", "60-64", "65-69", "70-74", "75-79", "80-84", "85+")</f>
        <v>25-29</v>
      </c>
      <c r="D8135" t="s">
        <v>7</v>
      </c>
    </row>
    <row r="8136" spans="1:4">
      <c r="A8136" t="s">
        <v>6</v>
      </c>
      <c r="B8136">
        <v>24</v>
      </c>
      <c r="C8136" t="str">
        <f>CHOOSE(MATCH(B8136, {20,25,30,35,40,45,50,55,60,65,70,75,80,85}, 1), "20-24", "25-29", "30-34", "35-39", "40-44", "45-49", "50-54", "55-59", "60-64", "65-69", "70-74", "75-79", "80-84", "85+")</f>
        <v>20-24</v>
      </c>
      <c r="D8136" t="s">
        <v>7</v>
      </c>
    </row>
    <row r="8137" spans="1:4">
      <c r="A8137" t="s">
        <v>6</v>
      </c>
      <c r="B8137">
        <v>36</v>
      </c>
      <c r="C8137" t="str">
        <f>CHOOSE(MATCH(B8137, {20,25,30,35,40,45,50,55,60,65,70,75,80,85}, 1), "20-24", "25-29", "30-34", "35-39", "40-44", "45-49", "50-54", "55-59", "60-64", "65-69", "70-74", "75-79", "80-84", "85+")</f>
        <v>35-39</v>
      </c>
      <c r="D8137" t="s">
        <v>8</v>
      </c>
    </row>
    <row r="8138" spans="1:4">
      <c r="A8138" t="s">
        <v>6</v>
      </c>
      <c r="B8138">
        <v>25</v>
      </c>
      <c r="C8138" t="str">
        <f>CHOOSE(MATCH(B8138, {20,25,30,35,40,45,50,55,60,65,70,75,80,85}, 1), "20-24", "25-29", "30-34", "35-39", "40-44", "45-49", "50-54", "55-59", "60-64", "65-69", "70-74", "75-79", "80-84", "85+")</f>
        <v>25-29</v>
      </c>
      <c r="D8138" t="s">
        <v>7</v>
      </c>
    </row>
    <row r="8139" spans="1:4">
      <c r="A8139" t="s">
        <v>6</v>
      </c>
      <c r="B8139">
        <v>68</v>
      </c>
      <c r="C8139" t="str">
        <f>CHOOSE(MATCH(B8139, {20,25,30,35,40,45,50,55,60,65,70,75,80,85}, 1), "20-24", "25-29", "30-34", "35-39", "40-44", "45-49", "50-54", "55-59", "60-64", "65-69", "70-74", "75-79", "80-84", "85+")</f>
        <v>65-69</v>
      </c>
      <c r="D8139" t="s">
        <v>7</v>
      </c>
    </row>
    <row r="8140" spans="1:4">
      <c r="A8140" t="s">
        <v>6</v>
      </c>
      <c r="B8140">
        <v>58</v>
      </c>
      <c r="C8140" t="str">
        <f>CHOOSE(MATCH(B8140, {20,25,30,35,40,45,50,55,60,65,70,75,80,85}, 1), "20-24", "25-29", "30-34", "35-39", "40-44", "45-49", "50-54", "55-59", "60-64", "65-69", "70-74", "75-79", "80-84", "85+")</f>
        <v>55-59</v>
      </c>
      <c r="D8140" t="s">
        <v>8</v>
      </c>
    </row>
    <row r="8141" spans="1:4">
      <c r="A8141" t="s">
        <v>6</v>
      </c>
      <c r="B8141">
        <v>29</v>
      </c>
      <c r="C8141" t="str">
        <f>CHOOSE(MATCH(B8141, {20,25,30,35,40,45,50,55,60,65,70,75,80,85}, 1), "20-24", "25-29", "30-34", "35-39", "40-44", "45-49", "50-54", "55-59", "60-64", "65-69", "70-74", "75-79", "80-84", "85+")</f>
        <v>25-29</v>
      </c>
      <c r="D8141" t="s">
        <v>7</v>
      </c>
    </row>
    <row r="8142" spans="1:4">
      <c r="A8142" t="s">
        <v>6</v>
      </c>
      <c r="B8142">
        <v>22</v>
      </c>
      <c r="C8142" t="str">
        <f>CHOOSE(MATCH(B8142, {20,25,30,35,40,45,50,55,60,65,70,75,80,85}, 1), "20-24", "25-29", "30-34", "35-39", "40-44", "45-49", "50-54", "55-59", "60-64", "65-69", "70-74", "75-79", "80-84", "85+")</f>
        <v>20-24</v>
      </c>
      <c r="D8142" t="s">
        <v>8</v>
      </c>
    </row>
    <row r="8143" spans="1:4">
      <c r="A8143" t="s">
        <v>6</v>
      </c>
      <c r="B8143">
        <v>66</v>
      </c>
      <c r="C8143" t="str">
        <f>CHOOSE(MATCH(B8143, {20,25,30,35,40,45,50,55,60,65,70,75,80,85}, 1), "20-24", "25-29", "30-34", "35-39", "40-44", "45-49", "50-54", "55-59", "60-64", "65-69", "70-74", "75-79", "80-84", "85+")</f>
        <v>65-69</v>
      </c>
      <c r="D8143" t="s">
        <v>7</v>
      </c>
    </row>
    <row r="8144" spans="1:4">
      <c r="A8144" t="s">
        <v>6</v>
      </c>
      <c r="B8144">
        <v>50</v>
      </c>
      <c r="C8144" t="str">
        <f>CHOOSE(MATCH(B8144, {20,25,30,35,40,45,50,55,60,65,70,75,80,85}, 1), "20-24", "25-29", "30-34", "35-39", "40-44", "45-49", "50-54", "55-59", "60-64", "65-69", "70-74", "75-79", "80-84", "85+")</f>
        <v>50-54</v>
      </c>
      <c r="D8144" t="s">
        <v>7</v>
      </c>
    </row>
    <row r="8145" spans="1:4">
      <c r="A8145" t="s">
        <v>6</v>
      </c>
      <c r="B8145">
        <v>33</v>
      </c>
      <c r="C8145" t="str">
        <f>CHOOSE(MATCH(B8145, {20,25,30,35,40,45,50,55,60,65,70,75,80,85}, 1), "20-24", "25-29", "30-34", "35-39", "40-44", "45-49", "50-54", "55-59", "60-64", "65-69", "70-74", "75-79", "80-84", "85+")</f>
        <v>30-34</v>
      </c>
      <c r="D8145" t="s">
        <v>7</v>
      </c>
    </row>
    <row r="8146" spans="1:4">
      <c r="A8146" t="s">
        <v>6</v>
      </c>
      <c r="B8146">
        <v>25</v>
      </c>
      <c r="C8146" t="str">
        <f>CHOOSE(MATCH(B8146, {20,25,30,35,40,45,50,55,60,65,70,75,80,85}, 1), "20-24", "25-29", "30-34", "35-39", "40-44", "45-49", "50-54", "55-59", "60-64", "65-69", "70-74", "75-79", "80-84", "85+")</f>
        <v>25-29</v>
      </c>
      <c r="D8146" t="s">
        <v>7</v>
      </c>
    </row>
    <row r="8147" spans="1:4">
      <c r="A8147" t="s">
        <v>6</v>
      </c>
      <c r="B8147">
        <v>36</v>
      </c>
      <c r="C8147" t="str">
        <f>CHOOSE(MATCH(B8147, {20,25,30,35,40,45,50,55,60,65,70,75,80,85}, 1), "20-24", "25-29", "30-34", "35-39", "40-44", "45-49", "50-54", "55-59", "60-64", "65-69", "70-74", "75-79", "80-84", "85+")</f>
        <v>35-39</v>
      </c>
      <c r="D8147" t="s">
        <v>7</v>
      </c>
    </row>
    <row r="8148" spans="1:4">
      <c r="A8148" t="s">
        <v>6</v>
      </c>
      <c r="B8148">
        <v>27</v>
      </c>
      <c r="C8148" t="str">
        <f>CHOOSE(MATCH(B8148, {20,25,30,35,40,45,50,55,60,65,70,75,80,85}, 1), "20-24", "25-29", "30-34", "35-39", "40-44", "45-49", "50-54", "55-59", "60-64", "65-69", "70-74", "75-79", "80-84", "85+")</f>
        <v>25-29</v>
      </c>
      <c r="D8148" t="s">
        <v>7</v>
      </c>
    </row>
    <row r="8149" spans="1:4">
      <c r="A8149" t="s">
        <v>6</v>
      </c>
      <c r="B8149">
        <v>28</v>
      </c>
      <c r="C8149" t="str">
        <f>CHOOSE(MATCH(B8149, {20,25,30,35,40,45,50,55,60,65,70,75,80,85}, 1), "20-24", "25-29", "30-34", "35-39", "40-44", "45-49", "50-54", "55-59", "60-64", "65-69", "70-74", "75-79", "80-84", "85+")</f>
        <v>25-29</v>
      </c>
      <c r="D8149" t="s">
        <v>8</v>
      </c>
    </row>
    <row r="8150" spans="1:4">
      <c r="A8150" t="s">
        <v>6</v>
      </c>
      <c r="B8150">
        <v>44</v>
      </c>
      <c r="C8150" t="str">
        <f>CHOOSE(MATCH(B8150, {20,25,30,35,40,45,50,55,60,65,70,75,80,85}, 1), "20-24", "25-29", "30-34", "35-39", "40-44", "45-49", "50-54", "55-59", "60-64", "65-69", "70-74", "75-79", "80-84", "85+")</f>
        <v>40-44</v>
      </c>
      <c r="D8150" t="s">
        <v>8</v>
      </c>
    </row>
    <row r="8151" spans="1:4">
      <c r="A8151" t="s">
        <v>6</v>
      </c>
      <c r="B8151">
        <v>26</v>
      </c>
      <c r="C8151" t="str">
        <f>CHOOSE(MATCH(B8151, {20,25,30,35,40,45,50,55,60,65,70,75,80,85}, 1), "20-24", "25-29", "30-34", "35-39", "40-44", "45-49", "50-54", "55-59", "60-64", "65-69", "70-74", "75-79", "80-84", "85+")</f>
        <v>25-29</v>
      </c>
      <c r="D8151" t="s">
        <v>8</v>
      </c>
    </row>
    <row r="8152" spans="1:4">
      <c r="A8152" t="s">
        <v>6</v>
      </c>
      <c r="B8152">
        <v>25</v>
      </c>
      <c r="C8152" t="str">
        <f>CHOOSE(MATCH(B8152, {20,25,30,35,40,45,50,55,60,65,70,75,80,85}, 1), "20-24", "25-29", "30-34", "35-39", "40-44", "45-49", "50-54", "55-59", "60-64", "65-69", "70-74", "75-79", "80-84", "85+")</f>
        <v>25-29</v>
      </c>
      <c r="D8152" t="s">
        <v>7</v>
      </c>
    </row>
    <row r="8153" spans="1:4">
      <c r="A8153" t="s">
        <v>6</v>
      </c>
      <c r="B8153">
        <v>46</v>
      </c>
      <c r="C8153" t="str">
        <f>CHOOSE(MATCH(B8153, {20,25,30,35,40,45,50,55,60,65,70,75,80,85}, 1), "20-24", "25-29", "30-34", "35-39", "40-44", "45-49", "50-54", "55-59", "60-64", "65-69", "70-74", "75-79", "80-84", "85+")</f>
        <v>45-49</v>
      </c>
      <c r="D8153" t="s">
        <v>7</v>
      </c>
    </row>
    <row r="8154" spans="1:4">
      <c r="A8154" t="s">
        <v>6</v>
      </c>
      <c r="B8154">
        <v>47</v>
      </c>
      <c r="C8154" t="str">
        <f>CHOOSE(MATCH(B8154, {20,25,30,35,40,45,50,55,60,65,70,75,80,85}, 1), "20-24", "25-29", "30-34", "35-39", "40-44", "45-49", "50-54", "55-59", "60-64", "65-69", "70-74", "75-79", "80-84", "85+")</f>
        <v>45-49</v>
      </c>
      <c r="D8154" t="s">
        <v>8</v>
      </c>
    </row>
    <row r="8155" spans="1:4">
      <c r="A8155" t="s">
        <v>6</v>
      </c>
      <c r="B8155">
        <v>36</v>
      </c>
      <c r="C8155" t="str">
        <f>CHOOSE(MATCH(B8155, {20,25,30,35,40,45,50,55,60,65,70,75,80,85}, 1), "20-24", "25-29", "30-34", "35-39", "40-44", "45-49", "50-54", "55-59", "60-64", "65-69", "70-74", "75-79", "80-84", "85+")</f>
        <v>35-39</v>
      </c>
      <c r="D8155" t="s">
        <v>7</v>
      </c>
    </row>
    <row r="8156" spans="1:4">
      <c r="A8156" t="s">
        <v>6</v>
      </c>
      <c r="B8156">
        <v>67</v>
      </c>
      <c r="C8156" t="str">
        <f>CHOOSE(MATCH(B8156, {20,25,30,35,40,45,50,55,60,65,70,75,80,85}, 1), "20-24", "25-29", "30-34", "35-39", "40-44", "45-49", "50-54", "55-59", "60-64", "65-69", "70-74", "75-79", "80-84", "85+")</f>
        <v>65-69</v>
      </c>
      <c r="D8156" t="s">
        <v>7</v>
      </c>
    </row>
    <row r="8157" spans="1:4">
      <c r="A8157" t="s">
        <v>6</v>
      </c>
      <c r="B8157">
        <v>36</v>
      </c>
      <c r="C8157" t="str">
        <f>CHOOSE(MATCH(B8157, {20,25,30,35,40,45,50,55,60,65,70,75,80,85}, 1), "20-24", "25-29", "30-34", "35-39", "40-44", "45-49", "50-54", "55-59", "60-64", "65-69", "70-74", "75-79", "80-84", "85+")</f>
        <v>35-39</v>
      </c>
      <c r="D8157" t="s">
        <v>8</v>
      </c>
    </row>
    <row r="8158" spans="1:4">
      <c r="A8158" t="s">
        <v>6</v>
      </c>
      <c r="B8158">
        <v>30</v>
      </c>
      <c r="C8158" t="str">
        <f>CHOOSE(MATCH(B8158, {20,25,30,35,40,45,50,55,60,65,70,75,80,85}, 1), "20-24", "25-29", "30-34", "35-39", "40-44", "45-49", "50-54", "55-59", "60-64", "65-69", "70-74", "75-79", "80-84", "85+")</f>
        <v>30-34</v>
      </c>
      <c r="D8158" t="s">
        <v>8</v>
      </c>
    </row>
    <row r="8159" spans="1:4">
      <c r="A8159" t="s">
        <v>6</v>
      </c>
      <c r="B8159">
        <v>41</v>
      </c>
      <c r="C8159" t="str">
        <f>CHOOSE(MATCH(B8159, {20,25,30,35,40,45,50,55,60,65,70,75,80,85}, 1), "20-24", "25-29", "30-34", "35-39", "40-44", "45-49", "50-54", "55-59", "60-64", "65-69", "70-74", "75-79", "80-84", "85+")</f>
        <v>40-44</v>
      </c>
      <c r="D8159" t="s">
        <v>7</v>
      </c>
    </row>
    <row r="8160" spans="1:4">
      <c r="A8160" t="s">
        <v>6</v>
      </c>
      <c r="B8160">
        <v>35</v>
      </c>
      <c r="C8160" t="str">
        <f>CHOOSE(MATCH(B8160, {20,25,30,35,40,45,50,55,60,65,70,75,80,85}, 1), "20-24", "25-29", "30-34", "35-39", "40-44", "45-49", "50-54", "55-59", "60-64", "65-69", "70-74", "75-79", "80-84", "85+")</f>
        <v>35-39</v>
      </c>
      <c r="D8160" t="s">
        <v>7</v>
      </c>
    </row>
    <row r="8161" spans="1:4">
      <c r="A8161" t="s">
        <v>6</v>
      </c>
      <c r="B8161">
        <v>31</v>
      </c>
      <c r="C8161" t="str">
        <f>CHOOSE(MATCH(B8161, {20,25,30,35,40,45,50,55,60,65,70,75,80,85}, 1), "20-24", "25-29", "30-34", "35-39", "40-44", "45-49", "50-54", "55-59", "60-64", "65-69", "70-74", "75-79", "80-84", "85+")</f>
        <v>30-34</v>
      </c>
      <c r="D8161" t="s">
        <v>7</v>
      </c>
    </row>
    <row r="8162" spans="1:4">
      <c r="A8162" t="s">
        <v>6</v>
      </c>
      <c r="B8162">
        <v>39</v>
      </c>
      <c r="C8162" t="str">
        <f>CHOOSE(MATCH(B8162, {20,25,30,35,40,45,50,55,60,65,70,75,80,85}, 1), "20-24", "25-29", "30-34", "35-39", "40-44", "45-49", "50-54", "55-59", "60-64", "65-69", "70-74", "75-79", "80-84", "85+")</f>
        <v>35-39</v>
      </c>
      <c r="D8162" t="s">
        <v>7</v>
      </c>
    </row>
    <row r="8163" spans="1:4">
      <c r="A8163" t="s">
        <v>6</v>
      </c>
      <c r="B8163">
        <v>21</v>
      </c>
      <c r="C8163" t="str">
        <f>CHOOSE(MATCH(B8163, {20,25,30,35,40,45,50,55,60,65,70,75,80,85}, 1), "20-24", "25-29", "30-34", "35-39", "40-44", "45-49", "50-54", "55-59", "60-64", "65-69", "70-74", "75-79", "80-84", "85+")</f>
        <v>20-24</v>
      </c>
      <c r="D8163" t="s">
        <v>8</v>
      </c>
    </row>
    <row r="8164" spans="1:4">
      <c r="A8164" t="s">
        <v>6</v>
      </c>
      <c r="B8164">
        <v>30</v>
      </c>
      <c r="C8164" t="str">
        <f>CHOOSE(MATCH(B8164, {20,25,30,35,40,45,50,55,60,65,70,75,80,85}, 1), "20-24", "25-29", "30-34", "35-39", "40-44", "45-49", "50-54", "55-59", "60-64", "65-69", "70-74", "75-79", "80-84", "85+")</f>
        <v>30-34</v>
      </c>
      <c r="D8164" t="s">
        <v>8</v>
      </c>
    </row>
    <row r="8165" spans="1:4">
      <c r="A8165" t="s">
        <v>6</v>
      </c>
      <c r="B8165">
        <v>33</v>
      </c>
      <c r="C8165" t="str">
        <f>CHOOSE(MATCH(B8165, {20,25,30,35,40,45,50,55,60,65,70,75,80,85}, 1), "20-24", "25-29", "30-34", "35-39", "40-44", "45-49", "50-54", "55-59", "60-64", "65-69", "70-74", "75-79", "80-84", "85+")</f>
        <v>30-34</v>
      </c>
      <c r="D8165" t="s">
        <v>8</v>
      </c>
    </row>
    <row r="8166" spans="1:4">
      <c r="A8166" t="s">
        <v>6</v>
      </c>
      <c r="B8166">
        <v>40</v>
      </c>
      <c r="C8166" t="str">
        <f>CHOOSE(MATCH(B8166, {20,25,30,35,40,45,50,55,60,65,70,75,80,85}, 1), "20-24", "25-29", "30-34", "35-39", "40-44", "45-49", "50-54", "55-59", "60-64", "65-69", "70-74", "75-79", "80-84", "85+")</f>
        <v>40-44</v>
      </c>
      <c r="D8166" t="s">
        <v>7</v>
      </c>
    </row>
    <row r="8167" spans="1:4">
      <c r="A8167" t="s">
        <v>6</v>
      </c>
      <c r="B8167">
        <v>39</v>
      </c>
      <c r="C8167" t="str">
        <f>CHOOSE(MATCH(B8167, {20,25,30,35,40,45,50,55,60,65,70,75,80,85}, 1), "20-24", "25-29", "30-34", "35-39", "40-44", "45-49", "50-54", "55-59", "60-64", "65-69", "70-74", "75-79", "80-84", "85+")</f>
        <v>35-39</v>
      </c>
      <c r="D8167" t="s">
        <v>7</v>
      </c>
    </row>
    <row r="8168" spans="1:4">
      <c r="A8168" t="s">
        <v>6</v>
      </c>
      <c r="B8168">
        <v>49</v>
      </c>
      <c r="C8168" t="str">
        <f>CHOOSE(MATCH(B8168, {20,25,30,35,40,45,50,55,60,65,70,75,80,85}, 1), "20-24", "25-29", "30-34", "35-39", "40-44", "45-49", "50-54", "55-59", "60-64", "65-69", "70-74", "75-79", "80-84", "85+")</f>
        <v>45-49</v>
      </c>
      <c r="D8168" t="s">
        <v>7</v>
      </c>
    </row>
    <row r="8169" spans="1:4">
      <c r="A8169" t="s">
        <v>6</v>
      </c>
      <c r="B8169">
        <v>22</v>
      </c>
      <c r="C8169" t="str">
        <f>CHOOSE(MATCH(B8169, {20,25,30,35,40,45,50,55,60,65,70,75,80,85}, 1), "20-24", "25-29", "30-34", "35-39", "40-44", "45-49", "50-54", "55-59", "60-64", "65-69", "70-74", "75-79", "80-84", "85+")</f>
        <v>20-24</v>
      </c>
      <c r="D8169" t="s">
        <v>7</v>
      </c>
    </row>
    <row r="8170" spans="1:4">
      <c r="A8170" t="s">
        <v>6</v>
      </c>
      <c r="B8170">
        <v>35</v>
      </c>
      <c r="C8170" t="str">
        <f>CHOOSE(MATCH(B8170, {20,25,30,35,40,45,50,55,60,65,70,75,80,85}, 1), "20-24", "25-29", "30-34", "35-39", "40-44", "45-49", "50-54", "55-59", "60-64", "65-69", "70-74", "75-79", "80-84", "85+")</f>
        <v>35-39</v>
      </c>
      <c r="D8170" t="s">
        <v>7</v>
      </c>
    </row>
    <row r="8171" spans="1:4">
      <c r="A8171" t="s">
        <v>6</v>
      </c>
      <c r="B8171">
        <v>47</v>
      </c>
      <c r="C8171" t="str">
        <f>CHOOSE(MATCH(B8171, {20,25,30,35,40,45,50,55,60,65,70,75,80,85}, 1), "20-24", "25-29", "30-34", "35-39", "40-44", "45-49", "50-54", "55-59", "60-64", "65-69", "70-74", "75-79", "80-84", "85+")</f>
        <v>45-49</v>
      </c>
      <c r="D8171" t="s">
        <v>8</v>
      </c>
    </row>
    <row r="8172" spans="1:4">
      <c r="A8172" t="s">
        <v>6</v>
      </c>
      <c r="B8172">
        <v>69</v>
      </c>
      <c r="C8172" t="str">
        <f>CHOOSE(MATCH(B8172, {20,25,30,35,40,45,50,55,60,65,70,75,80,85}, 1), "20-24", "25-29", "30-34", "35-39", "40-44", "45-49", "50-54", "55-59", "60-64", "65-69", "70-74", "75-79", "80-84", "85+")</f>
        <v>65-69</v>
      </c>
      <c r="D8172" t="s">
        <v>7</v>
      </c>
    </row>
    <row r="8173" spans="1:4">
      <c r="A8173" t="s">
        <v>6</v>
      </c>
      <c r="B8173">
        <v>29</v>
      </c>
      <c r="C8173" t="str">
        <f>CHOOSE(MATCH(B8173, {20,25,30,35,40,45,50,55,60,65,70,75,80,85}, 1), "20-24", "25-29", "30-34", "35-39", "40-44", "45-49", "50-54", "55-59", "60-64", "65-69", "70-74", "75-79", "80-84", "85+")</f>
        <v>25-29</v>
      </c>
      <c r="D8173" t="s">
        <v>8</v>
      </c>
    </row>
    <row r="8174" spans="1:4">
      <c r="A8174" t="s">
        <v>6</v>
      </c>
      <c r="B8174">
        <v>34</v>
      </c>
      <c r="C8174" t="str">
        <f>CHOOSE(MATCH(B8174, {20,25,30,35,40,45,50,55,60,65,70,75,80,85}, 1), "20-24", "25-29", "30-34", "35-39", "40-44", "45-49", "50-54", "55-59", "60-64", "65-69", "70-74", "75-79", "80-84", "85+")</f>
        <v>30-34</v>
      </c>
      <c r="D8174" t="s">
        <v>7</v>
      </c>
    </row>
    <row r="8175" spans="1:4">
      <c r="A8175" t="s">
        <v>6</v>
      </c>
      <c r="B8175">
        <v>49</v>
      </c>
      <c r="C8175" t="str">
        <f>CHOOSE(MATCH(B8175, {20,25,30,35,40,45,50,55,60,65,70,75,80,85}, 1), "20-24", "25-29", "30-34", "35-39", "40-44", "45-49", "50-54", "55-59", "60-64", "65-69", "70-74", "75-79", "80-84", "85+")</f>
        <v>45-49</v>
      </c>
      <c r="D8175" t="s">
        <v>7</v>
      </c>
    </row>
    <row r="8176" spans="1:4">
      <c r="A8176" t="s">
        <v>6</v>
      </c>
      <c r="B8176">
        <v>77</v>
      </c>
      <c r="C8176" t="str">
        <f>CHOOSE(MATCH(B8176, {20,25,30,35,40,45,50,55,60,65,70,75,80,85}, 1), "20-24", "25-29", "30-34", "35-39", "40-44", "45-49", "50-54", "55-59", "60-64", "65-69", "70-74", "75-79", "80-84", "85+")</f>
        <v>75-79</v>
      </c>
      <c r="D8176" t="s">
        <v>7</v>
      </c>
    </row>
    <row r="8177" spans="1:4">
      <c r="A8177" t="s">
        <v>6</v>
      </c>
      <c r="B8177">
        <v>37</v>
      </c>
      <c r="C8177" t="str">
        <f>CHOOSE(MATCH(B8177, {20,25,30,35,40,45,50,55,60,65,70,75,80,85}, 1), "20-24", "25-29", "30-34", "35-39", "40-44", "45-49", "50-54", "55-59", "60-64", "65-69", "70-74", "75-79", "80-84", "85+")</f>
        <v>35-39</v>
      </c>
      <c r="D8177" t="s">
        <v>7</v>
      </c>
    </row>
    <row r="8178" spans="1:4">
      <c r="A8178" t="s">
        <v>6</v>
      </c>
      <c r="B8178">
        <v>45</v>
      </c>
      <c r="C8178" t="str">
        <f>CHOOSE(MATCH(B8178, {20,25,30,35,40,45,50,55,60,65,70,75,80,85}, 1), "20-24", "25-29", "30-34", "35-39", "40-44", "45-49", "50-54", "55-59", "60-64", "65-69", "70-74", "75-79", "80-84", "85+")</f>
        <v>45-49</v>
      </c>
      <c r="D8178" t="s">
        <v>7</v>
      </c>
    </row>
    <row r="8179" spans="1:4">
      <c r="A8179" t="s">
        <v>6</v>
      </c>
      <c r="B8179">
        <v>74</v>
      </c>
      <c r="C8179" t="str">
        <f>CHOOSE(MATCH(B8179, {20,25,30,35,40,45,50,55,60,65,70,75,80,85}, 1), "20-24", "25-29", "30-34", "35-39", "40-44", "45-49", "50-54", "55-59", "60-64", "65-69", "70-74", "75-79", "80-84", "85+")</f>
        <v>70-74</v>
      </c>
      <c r="D8179" t="s">
        <v>7</v>
      </c>
    </row>
    <row r="8180" spans="1:4">
      <c r="A8180" t="s">
        <v>6</v>
      </c>
      <c r="B8180">
        <v>78</v>
      </c>
      <c r="C8180" t="str">
        <f>CHOOSE(MATCH(B8180, {20,25,30,35,40,45,50,55,60,65,70,75,80,85}, 1), "20-24", "25-29", "30-34", "35-39", "40-44", "45-49", "50-54", "55-59", "60-64", "65-69", "70-74", "75-79", "80-84", "85+")</f>
        <v>75-79</v>
      </c>
      <c r="D8180" t="s">
        <v>7</v>
      </c>
    </row>
    <row r="8181" spans="1:4">
      <c r="A8181" t="s">
        <v>6</v>
      </c>
      <c r="B8181">
        <v>35</v>
      </c>
      <c r="C8181" t="str">
        <f>CHOOSE(MATCH(B8181, {20,25,30,35,40,45,50,55,60,65,70,75,80,85}, 1), "20-24", "25-29", "30-34", "35-39", "40-44", "45-49", "50-54", "55-59", "60-64", "65-69", "70-74", "75-79", "80-84", "85+")</f>
        <v>35-39</v>
      </c>
      <c r="D8181" t="s">
        <v>7</v>
      </c>
    </row>
    <row r="8182" spans="1:4">
      <c r="A8182" t="s">
        <v>6</v>
      </c>
      <c r="B8182">
        <v>36</v>
      </c>
      <c r="C8182" t="str">
        <f>CHOOSE(MATCH(B8182, {20,25,30,35,40,45,50,55,60,65,70,75,80,85}, 1), "20-24", "25-29", "30-34", "35-39", "40-44", "45-49", "50-54", "55-59", "60-64", "65-69", "70-74", "75-79", "80-84", "85+")</f>
        <v>35-39</v>
      </c>
      <c r="D8182" t="s">
        <v>7</v>
      </c>
    </row>
    <row r="8183" spans="1:4">
      <c r="A8183" t="s">
        <v>6</v>
      </c>
      <c r="B8183">
        <v>53</v>
      </c>
      <c r="C8183" t="str">
        <f>CHOOSE(MATCH(B8183, {20,25,30,35,40,45,50,55,60,65,70,75,80,85}, 1), "20-24", "25-29", "30-34", "35-39", "40-44", "45-49", "50-54", "55-59", "60-64", "65-69", "70-74", "75-79", "80-84", "85+")</f>
        <v>50-54</v>
      </c>
      <c r="D8183" t="s">
        <v>7</v>
      </c>
    </row>
    <row r="8184" spans="1:4">
      <c r="A8184" t="s">
        <v>6</v>
      </c>
      <c r="B8184">
        <v>30</v>
      </c>
      <c r="C8184" t="str">
        <f>CHOOSE(MATCH(B8184, {20,25,30,35,40,45,50,55,60,65,70,75,80,85}, 1), "20-24", "25-29", "30-34", "35-39", "40-44", "45-49", "50-54", "55-59", "60-64", "65-69", "70-74", "75-79", "80-84", "85+")</f>
        <v>30-34</v>
      </c>
      <c r="D8184" t="s">
        <v>8</v>
      </c>
    </row>
    <row r="8185" spans="1:4">
      <c r="A8185" t="s">
        <v>6</v>
      </c>
      <c r="B8185">
        <v>27</v>
      </c>
      <c r="C8185" t="str">
        <f>CHOOSE(MATCH(B8185, {20,25,30,35,40,45,50,55,60,65,70,75,80,85}, 1), "20-24", "25-29", "30-34", "35-39", "40-44", "45-49", "50-54", "55-59", "60-64", "65-69", "70-74", "75-79", "80-84", "85+")</f>
        <v>25-29</v>
      </c>
      <c r="D8185" t="s">
        <v>7</v>
      </c>
    </row>
    <row r="8186" spans="1:4">
      <c r="A8186" t="s">
        <v>6</v>
      </c>
      <c r="B8186">
        <v>35</v>
      </c>
      <c r="C8186" t="str">
        <f>CHOOSE(MATCH(B8186, {20,25,30,35,40,45,50,55,60,65,70,75,80,85}, 1), "20-24", "25-29", "30-34", "35-39", "40-44", "45-49", "50-54", "55-59", "60-64", "65-69", "70-74", "75-79", "80-84", "85+")</f>
        <v>35-39</v>
      </c>
      <c r="D8186" t="s">
        <v>8</v>
      </c>
    </row>
    <row r="8187" spans="1:4">
      <c r="A8187" t="s">
        <v>6</v>
      </c>
      <c r="B8187">
        <v>60</v>
      </c>
      <c r="C8187" t="str">
        <f>CHOOSE(MATCH(B8187, {20,25,30,35,40,45,50,55,60,65,70,75,80,85}, 1), "20-24", "25-29", "30-34", "35-39", "40-44", "45-49", "50-54", "55-59", "60-64", "65-69", "70-74", "75-79", "80-84", "85+")</f>
        <v>60-64</v>
      </c>
      <c r="D8187" t="s">
        <v>7</v>
      </c>
    </row>
    <row r="8188" spans="1:4">
      <c r="A8188" t="s">
        <v>6</v>
      </c>
      <c r="B8188">
        <v>46</v>
      </c>
      <c r="C8188" t="str">
        <f>CHOOSE(MATCH(B8188, {20,25,30,35,40,45,50,55,60,65,70,75,80,85}, 1), "20-24", "25-29", "30-34", "35-39", "40-44", "45-49", "50-54", "55-59", "60-64", "65-69", "70-74", "75-79", "80-84", "85+")</f>
        <v>45-49</v>
      </c>
      <c r="D8188" t="s">
        <v>8</v>
      </c>
    </row>
    <row r="8189" spans="1:4">
      <c r="A8189" t="s">
        <v>6</v>
      </c>
      <c r="B8189">
        <v>26</v>
      </c>
      <c r="C8189" t="str">
        <f>CHOOSE(MATCH(B8189, {20,25,30,35,40,45,50,55,60,65,70,75,80,85}, 1), "20-24", "25-29", "30-34", "35-39", "40-44", "45-49", "50-54", "55-59", "60-64", "65-69", "70-74", "75-79", "80-84", "85+")</f>
        <v>25-29</v>
      </c>
      <c r="D8189" t="s">
        <v>7</v>
      </c>
    </row>
    <row r="8190" spans="1:4">
      <c r="A8190" t="s">
        <v>6</v>
      </c>
      <c r="B8190">
        <v>59</v>
      </c>
      <c r="C8190" t="str">
        <f>CHOOSE(MATCH(B8190, {20,25,30,35,40,45,50,55,60,65,70,75,80,85}, 1), "20-24", "25-29", "30-34", "35-39", "40-44", "45-49", "50-54", "55-59", "60-64", "65-69", "70-74", "75-79", "80-84", "85+")</f>
        <v>55-59</v>
      </c>
      <c r="D8190" t="s">
        <v>8</v>
      </c>
    </row>
    <row r="8191" spans="1:4">
      <c r="A8191" t="s">
        <v>6</v>
      </c>
      <c r="B8191">
        <v>37</v>
      </c>
      <c r="C8191" t="str">
        <f>CHOOSE(MATCH(B8191, {20,25,30,35,40,45,50,55,60,65,70,75,80,85}, 1), "20-24", "25-29", "30-34", "35-39", "40-44", "45-49", "50-54", "55-59", "60-64", "65-69", "70-74", "75-79", "80-84", "85+")</f>
        <v>35-39</v>
      </c>
      <c r="D8191" t="s">
        <v>7</v>
      </c>
    </row>
    <row r="8192" spans="1:4">
      <c r="A8192" t="s">
        <v>6</v>
      </c>
      <c r="B8192">
        <v>49</v>
      </c>
      <c r="C8192" t="str">
        <f>CHOOSE(MATCH(B8192, {20,25,30,35,40,45,50,55,60,65,70,75,80,85}, 1), "20-24", "25-29", "30-34", "35-39", "40-44", "45-49", "50-54", "55-59", "60-64", "65-69", "70-74", "75-79", "80-84", "85+")</f>
        <v>45-49</v>
      </c>
      <c r="D8192" t="s">
        <v>7</v>
      </c>
    </row>
    <row r="8193" spans="1:4">
      <c r="A8193" t="s">
        <v>6</v>
      </c>
      <c r="B8193">
        <v>36</v>
      </c>
      <c r="C8193" t="str">
        <f>CHOOSE(MATCH(B8193, {20,25,30,35,40,45,50,55,60,65,70,75,80,85}, 1), "20-24", "25-29", "30-34", "35-39", "40-44", "45-49", "50-54", "55-59", "60-64", "65-69", "70-74", "75-79", "80-84", "85+")</f>
        <v>35-39</v>
      </c>
      <c r="D8193" t="s">
        <v>7</v>
      </c>
    </row>
    <row r="8194" spans="1:4">
      <c r="A8194" t="s">
        <v>6</v>
      </c>
      <c r="B8194">
        <v>47</v>
      </c>
      <c r="C8194" t="str">
        <f>CHOOSE(MATCH(B8194, {20,25,30,35,40,45,50,55,60,65,70,75,80,85}, 1), "20-24", "25-29", "30-34", "35-39", "40-44", "45-49", "50-54", "55-59", "60-64", "65-69", "70-74", "75-79", "80-84", "85+")</f>
        <v>45-49</v>
      </c>
      <c r="D8194" t="s">
        <v>7</v>
      </c>
    </row>
    <row r="8195" spans="1:4">
      <c r="A8195" t="s">
        <v>6</v>
      </c>
      <c r="B8195">
        <v>27</v>
      </c>
      <c r="C8195" t="str">
        <f>CHOOSE(MATCH(B8195, {20,25,30,35,40,45,50,55,60,65,70,75,80,85}, 1), "20-24", "25-29", "30-34", "35-39", "40-44", "45-49", "50-54", "55-59", "60-64", "65-69", "70-74", "75-79", "80-84", "85+")</f>
        <v>25-29</v>
      </c>
      <c r="D8195" t="s">
        <v>8</v>
      </c>
    </row>
    <row r="8196" spans="1:4">
      <c r="A8196" t="s">
        <v>6</v>
      </c>
      <c r="B8196">
        <v>50</v>
      </c>
      <c r="C8196" t="str">
        <f>CHOOSE(MATCH(B8196, {20,25,30,35,40,45,50,55,60,65,70,75,80,85}, 1), "20-24", "25-29", "30-34", "35-39", "40-44", "45-49", "50-54", "55-59", "60-64", "65-69", "70-74", "75-79", "80-84", "85+")</f>
        <v>50-54</v>
      </c>
      <c r="D8196" t="s">
        <v>8</v>
      </c>
    </row>
    <row r="8197" spans="1:4">
      <c r="A8197" t="s">
        <v>6</v>
      </c>
      <c r="B8197">
        <v>31</v>
      </c>
      <c r="C8197" t="str">
        <f>CHOOSE(MATCH(B8197, {20,25,30,35,40,45,50,55,60,65,70,75,80,85}, 1), "20-24", "25-29", "30-34", "35-39", "40-44", "45-49", "50-54", "55-59", "60-64", "65-69", "70-74", "75-79", "80-84", "85+")</f>
        <v>30-34</v>
      </c>
      <c r="D8197" t="s">
        <v>7</v>
      </c>
    </row>
    <row r="8198" spans="1:4">
      <c r="A8198" t="s">
        <v>6</v>
      </c>
      <c r="B8198">
        <v>36</v>
      </c>
      <c r="C8198" t="str">
        <f>CHOOSE(MATCH(B8198, {20,25,30,35,40,45,50,55,60,65,70,75,80,85}, 1), "20-24", "25-29", "30-34", "35-39", "40-44", "45-49", "50-54", "55-59", "60-64", "65-69", "70-74", "75-79", "80-84", "85+")</f>
        <v>35-39</v>
      </c>
      <c r="D8198" t="s">
        <v>7</v>
      </c>
    </row>
    <row r="8199" spans="1:4">
      <c r="A8199" t="s">
        <v>6</v>
      </c>
      <c r="B8199">
        <v>62</v>
      </c>
      <c r="C8199" t="str">
        <f>CHOOSE(MATCH(B8199, {20,25,30,35,40,45,50,55,60,65,70,75,80,85}, 1), "20-24", "25-29", "30-34", "35-39", "40-44", "45-49", "50-54", "55-59", "60-64", "65-69", "70-74", "75-79", "80-84", "85+")</f>
        <v>60-64</v>
      </c>
      <c r="D8199" t="s">
        <v>8</v>
      </c>
    </row>
    <row r="8200" spans="1:4">
      <c r="A8200" t="s">
        <v>6</v>
      </c>
      <c r="B8200">
        <v>61</v>
      </c>
      <c r="C8200" t="str">
        <f>CHOOSE(MATCH(B8200, {20,25,30,35,40,45,50,55,60,65,70,75,80,85}, 1), "20-24", "25-29", "30-34", "35-39", "40-44", "45-49", "50-54", "55-59", "60-64", "65-69", "70-74", "75-79", "80-84", "85+")</f>
        <v>60-64</v>
      </c>
      <c r="D8200" t="s">
        <v>8</v>
      </c>
    </row>
    <row r="8201" spans="1:4">
      <c r="A8201" t="s">
        <v>6</v>
      </c>
      <c r="B8201">
        <v>39</v>
      </c>
      <c r="C8201" t="str">
        <f>CHOOSE(MATCH(B8201, {20,25,30,35,40,45,50,55,60,65,70,75,80,85}, 1), "20-24", "25-29", "30-34", "35-39", "40-44", "45-49", "50-54", "55-59", "60-64", "65-69", "70-74", "75-79", "80-84", "85+")</f>
        <v>35-39</v>
      </c>
      <c r="D8201" t="s">
        <v>8</v>
      </c>
    </row>
    <row r="8202" spans="1:4">
      <c r="A8202" t="s">
        <v>6</v>
      </c>
      <c r="B8202">
        <v>50</v>
      </c>
      <c r="C8202" t="str">
        <f>CHOOSE(MATCH(B8202, {20,25,30,35,40,45,50,55,60,65,70,75,80,85}, 1), "20-24", "25-29", "30-34", "35-39", "40-44", "45-49", "50-54", "55-59", "60-64", "65-69", "70-74", "75-79", "80-84", "85+")</f>
        <v>50-54</v>
      </c>
      <c r="D8202" t="s">
        <v>7</v>
      </c>
    </row>
    <row r="8203" spans="1:4">
      <c r="A8203" t="s">
        <v>6</v>
      </c>
      <c r="B8203">
        <v>45</v>
      </c>
      <c r="C8203" t="str">
        <f>CHOOSE(MATCH(B8203, {20,25,30,35,40,45,50,55,60,65,70,75,80,85}, 1), "20-24", "25-29", "30-34", "35-39", "40-44", "45-49", "50-54", "55-59", "60-64", "65-69", "70-74", "75-79", "80-84", "85+")</f>
        <v>45-49</v>
      </c>
      <c r="D8203" t="s">
        <v>7</v>
      </c>
    </row>
    <row r="8204" spans="1:4">
      <c r="A8204" t="s">
        <v>6</v>
      </c>
      <c r="B8204">
        <v>46</v>
      </c>
      <c r="C8204" t="str">
        <f>CHOOSE(MATCH(B8204, {20,25,30,35,40,45,50,55,60,65,70,75,80,85}, 1), "20-24", "25-29", "30-34", "35-39", "40-44", "45-49", "50-54", "55-59", "60-64", "65-69", "70-74", "75-79", "80-84", "85+")</f>
        <v>45-49</v>
      </c>
      <c r="D8204" t="s">
        <v>7</v>
      </c>
    </row>
    <row r="8205" spans="1:4">
      <c r="A8205" t="s">
        <v>6</v>
      </c>
      <c r="B8205">
        <v>36</v>
      </c>
      <c r="C8205" t="str">
        <f>CHOOSE(MATCH(B8205, {20,25,30,35,40,45,50,55,60,65,70,75,80,85}, 1), "20-24", "25-29", "30-34", "35-39", "40-44", "45-49", "50-54", "55-59", "60-64", "65-69", "70-74", "75-79", "80-84", "85+")</f>
        <v>35-39</v>
      </c>
      <c r="D8205" t="s">
        <v>7</v>
      </c>
    </row>
    <row r="8206" spans="1:4">
      <c r="A8206" t="s">
        <v>6</v>
      </c>
      <c r="B8206">
        <v>49</v>
      </c>
      <c r="C8206" t="str">
        <f>CHOOSE(MATCH(B8206, {20,25,30,35,40,45,50,55,60,65,70,75,80,85}, 1), "20-24", "25-29", "30-34", "35-39", "40-44", "45-49", "50-54", "55-59", "60-64", "65-69", "70-74", "75-79", "80-84", "85+")</f>
        <v>45-49</v>
      </c>
      <c r="D8206" t="s">
        <v>8</v>
      </c>
    </row>
    <row r="8207" spans="1:4">
      <c r="A8207" t="s">
        <v>6</v>
      </c>
      <c r="B8207">
        <v>37</v>
      </c>
      <c r="C8207" t="str">
        <f>CHOOSE(MATCH(B8207, {20,25,30,35,40,45,50,55,60,65,70,75,80,85}, 1), "20-24", "25-29", "30-34", "35-39", "40-44", "45-49", "50-54", "55-59", "60-64", "65-69", "70-74", "75-79", "80-84", "85+")</f>
        <v>35-39</v>
      </c>
      <c r="D8207" t="s">
        <v>7</v>
      </c>
    </row>
    <row r="8208" spans="1:4">
      <c r="A8208" t="s">
        <v>6</v>
      </c>
      <c r="B8208">
        <v>29</v>
      </c>
      <c r="C8208" t="str">
        <f>CHOOSE(MATCH(B8208, {20,25,30,35,40,45,50,55,60,65,70,75,80,85}, 1), "20-24", "25-29", "30-34", "35-39", "40-44", "45-49", "50-54", "55-59", "60-64", "65-69", "70-74", "75-79", "80-84", "85+")</f>
        <v>25-29</v>
      </c>
      <c r="D8208" t="s">
        <v>7</v>
      </c>
    </row>
    <row r="8209" spans="1:4">
      <c r="A8209" t="s">
        <v>6</v>
      </c>
      <c r="B8209">
        <v>24</v>
      </c>
      <c r="C8209" t="str">
        <f>CHOOSE(MATCH(B8209, {20,25,30,35,40,45,50,55,60,65,70,75,80,85}, 1), "20-24", "25-29", "30-34", "35-39", "40-44", "45-49", "50-54", "55-59", "60-64", "65-69", "70-74", "75-79", "80-84", "85+")</f>
        <v>20-24</v>
      </c>
      <c r="D8209" t="s">
        <v>8</v>
      </c>
    </row>
    <row r="8210" spans="1:4">
      <c r="A8210" t="s">
        <v>6</v>
      </c>
      <c r="B8210">
        <v>60</v>
      </c>
      <c r="C8210" t="str">
        <f>CHOOSE(MATCH(B8210, {20,25,30,35,40,45,50,55,60,65,70,75,80,85}, 1), "20-24", "25-29", "30-34", "35-39", "40-44", "45-49", "50-54", "55-59", "60-64", "65-69", "70-74", "75-79", "80-84", "85+")</f>
        <v>60-64</v>
      </c>
      <c r="D8210" t="s">
        <v>7</v>
      </c>
    </row>
    <row r="8211" spans="1:4">
      <c r="A8211" t="s">
        <v>6</v>
      </c>
      <c r="B8211">
        <v>37</v>
      </c>
      <c r="C8211" t="str">
        <f>CHOOSE(MATCH(B8211, {20,25,30,35,40,45,50,55,60,65,70,75,80,85}, 1), "20-24", "25-29", "30-34", "35-39", "40-44", "45-49", "50-54", "55-59", "60-64", "65-69", "70-74", "75-79", "80-84", "85+")</f>
        <v>35-39</v>
      </c>
      <c r="D8211" t="s">
        <v>7</v>
      </c>
    </row>
    <row r="8212" spans="1:4">
      <c r="A8212" t="s">
        <v>6</v>
      </c>
      <c r="B8212">
        <v>40</v>
      </c>
      <c r="C8212" t="str">
        <f>CHOOSE(MATCH(B8212, {20,25,30,35,40,45,50,55,60,65,70,75,80,85}, 1), "20-24", "25-29", "30-34", "35-39", "40-44", "45-49", "50-54", "55-59", "60-64", "65-69", "70-74", "75-79", "80-84", "85+")</f>
        <v>40-44</v>
      </c>
      <c r="D8212" t="s">
        <v>8</v>
      </c>
    </row>
    <row r="8213" spans="1:4">
      <c r="A8213" t="s">
        <v>6</v>
      </c>
      <c r="B8213">
        <v>38</v>
      </c>
      <c r="C8213" t="str">
        <f>CHOOSE(MATCH(B8213, {20,25,30,35,40,45,50,55,60,65,70,75,80,85}, 1), "20-24", "25-29", "30-34", "35-39", "40-44", "45-49", "50-54", "55-59", "60-64", "65-69", "70-74", "75-79", "80-84", "85+")</f>
        <v>35-39</v>
      </c>
      <c r="D8213" t="s">
        <v>7</v>
      </c>
    </row>
    <row r="8214" spans="1:4">
      <c r="A8214" t="s">
        <v>6</v>
      </c>
      <c r="B8214">
        <v>49</v>
      </c>
      <c r="C8214" t="str">
        <f>CHOOSE(MATCH(B8214, {20,25,30,35,40,45,50,55,60,65,70,75,80,85}, 1), "20-24", "25-29", "30-34", "35-39", "40-44", "45-49", "50-54", "55-59", "60-64", "65-69", "70-74", "75-79", "80-84", "85+")</f>
        <v>45-49</v>
      </c>
      <c r="D8214" t="s">
        <v>7</v>
      </c>
    </row>
    <row r="8215" spans="1:4">
      <c r="A8215" t="s">
        <v>6</v>
      </c>
      <c r="B8215">
        <v>43</v>
      </c>
      <c r="C8215" t="str">
        <f>CHOOSE(MATCH(B8215, {20,25,30,35,40,45,50,55,60,65,70,75,80,85}, 1), "20-24", "25-29", "30-34", "35-39", "40-44", "45-49", "50-54", "55-59", "60-64", "65-69", "70-74", "75-79", "80-84", "85+")</f>
        <v>40-44</v>
      </c>
      <c r="D8215" t="s">
        <v>8</v>
      </c>
    </row>
    <row r="8216" spans="1:4">
      <c r="A8216" t="s">
        <v>6</v>
      </c>
      <c r="B8216">
        <v>84</v>
      </c>
      <c r="C8216" t="str">
        <f>CHOOSE(MATCH(B8216, {20,25,30,35,40,45,50,55,60,65,70,75,80,85}, 1), "20-24", "25-29", "30-34", "35-39", "40-44", "45-49", "50-54", "55-59", "60-64", "65-69", "70-74", "75-79", "80-84", "85+")</f>
        <v>80-84</v>
      </c>
      <c r="D8216" t="s">
        <v>8</v>
      </c>
    </row>
    <row r="8217" spans="1:4">
      <c r="A8217" t="s">
        <v>6</v>
      </c>
      <c r="B8217">
        <v>57</v>
      </c>
      <c r="C8217" t="str">
        <f>CHOOSE(MATCH(B8217, {20,25,30,35,40,45,50,55,60,65,70,75,80,85}, 1), "20-24", "25-29", "30-34", "35-39", "40-44", "45-49", "50-54", "55-59", "60-64", "65-69", "70-74", "75-79", "80-84", "85+")</f>
        <v>55-59</v>
      </c>
      <c r="D8217" t="s">
        <v>7</v>
      </c>
    </row>
    <row r="8218" spans="1:4">
      <c r="A8218" t="s">
        <v>6</v>
      </c>
      <c r="B8218">
        <v>75</v>
      </c>
      <c r="C8218" t="str">
        <f>CHOOSE(MATCH(B8218, {20,25,30,35,40,45,50,55,60,65,70,75,80,85}, 1), "20-24", "25-29", "30-34", "35-39", "40-44", "45-49", "50-54", "55-59", "60-64", "65-69", "70-74", "75-79", "80-84", "85+")</f>
        <v>75-79</v>
      </c>
      <c r="D8218" t="s">
        <v>7</v>
      </c>
    </row>
    <row r="8219" spans="1:4">
      <c r="A8219" t="s">
        <v>6</v>
      </c>
      <c r="B8219">
        <v>30</v>
      </c>
      <c r="C8219" t="str">
        <f>CHOOSE(MATCH(B8219, {20,25,30,35,40,45,50,55,60,65,70,75,80,85}, 1), "20-24", "25-29", "30-34", "35-39", "40-44", "45-49", "50-54", "55-59", "60-64", "65-69", "70-74", "75-79", "80-84", "85+")</f>
        <v>30-34</v>
      </c>
      <c r="D8219" t="s">
        <v>8</v>
      </c>
    </row>
    <row r="8220" spans="1:4">
      <c r="A8220" t="s">
        <v>6</v>
      </c>
      <c r="B8220">
        <v>38</v>
      </c>
      <c r="C8220" t="str">
        <f>CHOOSE(MATCH(B8220, {20,25,30,35,40,45,50,55,60,65,70,75,80,85}, 1), "20-24", "25-29", "30-34", "35-39", "40-44", "45-49", "50-54", "55-59", "60-64", "65-69", "70-74", "75-79", "80-84", "85+")</f>
        <v>35-39</v>
      </c>
      <c r="D8220" t="s">
        <v>7</v>
      </c>
    </row>
    <row r="8221" spans="1:4">
      <c r="A8221" t="s">
        <v>6</v>
      </c>
      <c r="B8221">
        <v>40</v>
      </c>
      <c r="C8221" t="str">
        <f>CHOOSE(MATCH(B8221, {20,25,30,35,40,45,50,55,60,65,70,75,80,85}, 1), "20-24", "25-29", "30-34", "35-39", "40-44", "45-49", "50-54", "55-59", "60-64", "65-69", "70-74", "75-79", "80-84", "85+")</f>
        <v>40-44</v>
      </c>
      <c r="D8221" t="s">
        <v>8</v>
      </c>
    </row>
    <row r="8222" spans="1:4">
      <c r="A8222" t="s">
        <v>6</v>
      </c>
      <c r="B8222">
        <v>28</v>
      </c>
      <c r="C8222" t="str">
        <f>CHOOSE(MATCH(B8222, {20,25,30,35,40,45,50,55,60,65,70,75,80,85}, 1), "20-24", "25-29", "30-34", "35-39", "40-44", "45-49", "50-54", "55-59", "60-64", "65-69", "70-74", "75-79", "80-84", "85+")</f>
        <v>25-29</v>
      </c>
      <c r="D8222" t="s">
        <v>8</v>
      </c>
    </row>
    <row r="8223" spans="1:4">
      <c r="A8223" t="s">
        <v>6</v>
      </c>
      <c r="B8223">
        <v>49</v>
      </c>
      <c r="C8223" t="str">
        <f>CHOOSE(MATCH(B8223, {20,25,30,35,40,45,50,55,60,65,70,75,80,85}, 1), "20-24", "25-29", "30-34", "35-39", "40-44", "45-49", "50-54", "55-59", "60-64", "65-69", "70-74", "75-79", "80-84", "85+")</f>
        <v>45-49</v>
      </c>
      <c r="D8223" t="s">
        <v>7</v>
      </c>
    </row>
    <row r="8224" spans="1:4">
      <c r="A8224" t="s">
        <v>6</v>
      </c>
      <c r="B8224">
        <v>46</v>
      </c>
      <c r="C8224" t="str">
        <f>CHOOSE(MATCH(B8224, {20,25,30,35,40,45,50,55,60,65,70,75,80,85}, 1), "20-24", "25-29", "30-34", "35-39", "40-44", "45-49", "50-54", "55-59", "60-64", "65-69", "70-74", "75-79", "80-84", "85+")</f>
        <v>45-49</v>
      </c>
      <c r="D8224" t="s">
        <v>7</v>
      </c>
    </row>
    <row r="8225" spans="1:4">
      <c r="A8225" t="s">
        <v>6</v>
      </c>
      <c r="B8225">
        <v>55</v>
      </c>
      <c r="C8225" t="str">
        <f>CHOOSE(MATCH(B8225, {20,25,30,35,40,45,50,55,60,65,70,75,80,85}, 1), "20-24", "25-29", "30-34", "35-39", "40-44", "45-49", "50-54", "55-59", "60-64", "65-69", "70-74", "75-79", "80-84", "85+")</f>
        <v>55-59</v>
      </c>
      <c r="D8225" t="s">
        <v>8</v>
      </c>
    </row>
    <row r="8226" spans="1:4">
      <c r="A8226" t="s">
        <v>6</v>
      </c>
      <c r="B8226">
        <v>74</v>
      </c>
      <c r="C8226" t="str">
        <f>CHOOSE(MATCH(B8226, {20,25,30,35,40,45,50,55,60,65,70,75,80,85}, 1), "20-24", "25-29", "30-34", "35-39", "40-44", "45-49", "50-54", "55-59", "60-64", "65-69", "70-74", "75-79", "80-84", "85+")</f>
        <v>70-74</v>
      </c>
      <c r="D8226" t="s">
        <v>8</v>
      </c>
    </row>
    <row r="8227" spans="1:4">
      <c r="A8227" t="s">
        <v>6</v>
      </c>
      <c r="B8227">
        <v>49</v>
      </c>
      <c r="C8227" t="str">
        <f>CHOOSE(MATCH(B8227, {20,25,30,35,40,45,50,55,60,65,70,75,80,85}, 1), "20-24", "25-29", "30-34", "35-39", "40-44", "45-49", "50-54", "55-59", "60-64", "65-69", "70-74", "75-79", "80-84", "85+")</f>
        <v>45-49</v>
      </c>
      <c r="D8227" t="s">
        <v>7</v>
      </c>
    </row>
    <row r="8228" spans="1:4">
      <c r="A8228" t="s">
        <v>6</v>
      </c>
      <c r="B8228">
        <v>27</v>
      </c>
      <c r="C8228" t="str">
        <f>CHOOSE(MATCH(B8228, {20,25,30,35,40,45,50,55,60,65,70,75,80,85}, 1), "20-24", "25-29", "30-34", "35-39", "40-44", "45-49", "50-54", "55-59", "60-64", "65-69", "70-74", "75-79", "80-84", "85+")</f>
        <v>25-29</v>
      </c>
      <c r="D8228" t="s">
        <v>7</v>
      </c>
    </row>
    <row r="8229" spans="1:4">
      <c r="A8229" t="s">
        <v>6</v>
      </c>
      <c r="B8229">
        <v>70</v>
      </c>
      <c r="C8229" t="str">
        <f>CHOOSE(MATCH(B8229, {20,25,30,35,40,45,50,55,60,65,70,75,80,85}, 1), "20-24", "25-29", "30-34", "35-39", "40-44", "45-49", "50-54", "55-59", "60-64", "65-69", "70-74", "75-79", "80-84", "85+")</f>
        <v>70-74</v>
      </c>
      <c r="D8229" t="s">
        <v>7</v>
      </c>
    </row>
    <row r="8230" spans="1:4">
      <c r="A8230" t="s">
        <v>6</v>
      </c>
      <c r="B8230">
        <v>66</v>
      </c>
      <c r="C8230" t="str">
        <f>CHOOSE(MATCH(B8230, {20,25,30,35,40,45,50,55,60,65,70,75,80,85}, 1), "20-24", "25-29", "30-34", "35-39", "40-44", "45-49", "50-54", "55-59", "60-64", "65-69", "70-74", "75-79", "80-84", "85+")</f>
        <v>65-69</v>
      </c>
      <c r="D8230" t="s">
        <v>8</v>
      </c>
    </row>
    <row r="8231" spans="1:4">
      <c r="A8231" t="s">
        <v>6</v>
      </c>
      <c r="B8231">
        <v>49</v>
      </c>
      <c r="C8231" t="str">
        <f>CHOOSE(MATCH(B8231, {20,25,30,35,40,45,50,55,60,65,70,75,80,85}, 1), "20-24", "25-29", "30-34", "35-39", "40-44", "45-49", "50-54", "55-59", "60-64", "65-69", "70-74", "75-79", "80-84", "85+")</f>
        <v>45-49</v>
      </c>
      <c r="D8231" t="s">
        <v>7</v>
      </c>
    </row>
    <row r="8232" spans="1:4">
      <c r="A8232" t="s">
        <v>6</v>
      </c>
      <c r="B8232">
        <v>52</v>
      </c>
      <c r="C8232" t="str">
        <f>CHOOSE(MATCH(B8232, {20,25,30,35,40,45,50,55,60,65,70,75,80,85}, 1), "20-24", "25-29", "30-34", "35-39", "40-44", "45-49", "50-54", "55-59", "60-64", "65-69", "70-74", "75-79", "80-84", "85+")</f>
        <v>50-54</v>
      </c>
      <c r="D8232" t="s">
        <v>7</v>
      </c>
    </row>
    <row r="8233" spans="1:4">
      <c r="A8233" t="s">
        <v>6</v>
      </c>
      <c r="B8233">
        <v>32</v>
      </c>
      <c r="C8233" t="str">
        <f>CHOOSE(MATCH(B8233, {20,25,30,35,40,45,50,55,60,65,70,75,80,85}, 1), "20-24", "25-29", "30-34", "35-39", "40-44", "45-49", "50-54", "55-59", "60-64", "65-69", "70-74", "75-79", "80-84", "85+")</f>
        <v>30-34</v>
      </c>
      <c r="D8233" t="s">
        <v>8</v>
      </c>
    </row>
    <row r="8234" spans="1:4">
      <c r="A8234" t="s">
        <v>6</v>
      </c>
      <c r="B8234">
        <v>47</v>
      </c>
      <c r="C8234" t="str">
        <f>CHOOSE(MATCH(B8234, {20,25,30,35,40,45,50,55,60,65,70,75,80,85}, 1), "20-24", "25-29", "30-34", "35-39", "40-44", "45-49", "50-54", "55-59", "60-64", "65-69", "70-74", "75-79", "80-84", "85+")</f>
        <v>45-49</v>
      </c>
      <c r="D8234" t="s">
        <v>8</v>
      </c>
    </row>
    <row r="8235" spans="1:4">
      <c r="A8235" t="s">
        <v>6</v>
      </c>
      <c r="B8235">
        <v>39</v>
      </c>
      <c r="C8235" t="str">
        <f>CHOOSE(MATCH(B8235, {20,25,30,35,40,45,50,55,60,65,70,75,80,85}, 1), "20-24", "25-29", "30-34", "35-39", "40-44", "45-49", "50-54", "55-59", "60-64", "65-69", "70-74", "75-79", "80-84", "85+")</f>
        <v>35-39</v>
      </c>
      <c r="D8235" t="s">
        <v>8</v>
      </c>
    </row>
    <row r="8236" spans="1:4">
      <c r="A8236" t="s">
        <v>6</v>
      </c>
      <c r="B8236">
        <v>40</v>
      </c>
      <c r="C8236" t="str">
        <f>CHOOSE(MATCH(B8236, {20,25,30,35,40,45,50,55,60,65,70,75,80,85}, 1), "20-24", "25-29", "30-34", "35-39", "40-44", "45-49", "50-54", "55-59", "60-64", "65-69", "70-74", "75-79", "80-84", "85+")</f>
        <v>40-44</v>
      </c>
      <c r="D8236" t="s">
        <v>7</v>
      </c>
    </row>
    <row r="8237" spans="1:4">
      <c r="A8237" t="s">
        <v>6</v>
      </c>
      <c r="B8237">
        <v>64</v>
      </c>
      <c r="C8237" t="str">
        <f>CHOOSE(MATCH(B8237, {20,25,30,35,40,45,50,55,60,65,70,75,80,85}, 1), "20-24", "25-29", "30-34", "35-39", "40-44", "45-49", "50-54", "55-59", "60-64", "65-69", "70-74", "75-79", "80-84", "85+")</f>
        <v>60-64</v>
      </c>
      <c r="D8237" t="s">
        <v>7</v>
      </c>
    </row>
    <row r="8238" spans="1:4">
      <c r="A8238" t="s">
        <v>6</v>
      </c>
      <c r="B8238">
        <v>36</v>
      </c>
      <c r="C8238" t="str">
        <f>CHOOSE(MATCH(B8238, {20,25,30,35,40,45,50,55,60,65,70,75,80,85}, 1), "20-24", "25-29", "30-34", "35-39", "40-44", "45-49", "50-54", "55-59", "60-64", "65-69", "70-74", "75-79", "80-84", "85+")</f>
        <v>35-39</v>
      </c>
      <c r="D8238" t="s">
        <v>7</v>
      </c>
    </row>
    <row r="8239" spans="1:4">
      <c r="A8239" t="s">
        <v>6</v>
      </c>
      <c r="B8239">
        <v>49</v>
      </c>
      <c r="C8239" t="str">
        <f>CHOOSE(MATCH(B8239, {20,25,30,35,40,45,50,55,60,65,70,75,80,85}, 1), "20-24", "25-29", "30-34", "35-39", "40-44", "45-49", "50-54", "55-59", "60-64", "65-69", "70-74", "75-79", "80-84", "85+")</f>
        <v>45-49</v>
      </c>
      <c r="D8239" t="s">
        <v>7</v>
      </c>
    </row>
    <row r="8240" spans="1:4">
      <c r="A8240" t="s">
        <v>6</v>
      </c>
      <c r="B8240">
        <v>29</v>
      </c>
      <c r="C8240" t="str">
        <f>CHOOSE(MATCH(B8240, {20,25,30,35,40,45,50,55,60,65,70,75,80,85}, 1), "20-24", "25-29", "30-34", "35-39", "40-44", "45-49", "50-54", "55-59", "60-64", "65-69", "70-74", "75-79", "80-84", "85+")</f>
        <v>25-29</v>
      </c>
      <c r="D8240" t="s">
        <v>7</v>
      </c>
    </row>
    <row r="8241" spans="1:4">
      <c r="A8241" t="s">
        <v>6</v>
      </c>
      <c r="B8241">
        <v>28</v>
      </c>
      <c r="C8241" t="str">
        <f>CHOOSE(MATCH(B8241, {20,25,30,35,40,45,50,55,60,65,70,75,80,85}, 1), "20-24", "25-29", "30-34", "35-39", "40-44", "45-49", "50-54", "55-59", "60-64", "65-69", "70-74", "75-79", "80-84", "85+")</f>
        <v>25-29</v>
      </c>
      <c r="D8241" t="s">
        <v>7</v>
      </c>
    </row>
    <row r="8242" spans="1:4">
      <c r="A8242" t="s">
        <v>6</v>
      </c>
      <c r="B8242">
        <v>56</v>
      </c>
      <c r="C8242" t="str">
        <f>CHOOSE(MATCH(B8242, {20,25,30,35,40,45,50,55,60,65,70,75,80,85}, 1), "20-24", "25-29", "30-34", "35-39", "40-44", "45-49", "50-54", "55-59", "60-64", "65-69", "70-74", "75-79", "80-84", "85+")</f>
        <v>55-59</v>
      </c>
      <c r="D8242" t="s">
        <v>7</v>
      </c>
    </row>
    <row r="8243" spans="1:4">
      <c r="A8243" t="s">
        <v>6</v>
      </c>
      <c r="B8243">
        <v>31</v>
      </c>
      <c r="C8243" t="str">
        <f>CHOOSE(MATCH(B8243, {20,25,30,35,40,45,50,55,60,65,70,75,80,85}, 1), "20-24", "25-29", "30-34", "35-39", "40-44", "45-49", "50-54", "55-59", "60-64", "65-69", "70-74", "75-79", "80-84", "85+")</f>
        <v>30-34</v>
      </c>
      <c r="D8243" t="s">
        <v>7</v>
      </c>
    </row>
    <row r="8244" spans="1:4">
      <c r="A8244" t="s">
        <v>6</v>
      </c>
      <c r="B8244">
        <v>32</v>
      </c>
      <c r="C8244" t="str">
        <f>CHOOSE(MATCH(B8244, {20,25,30,35,40,45,50,55,60,65,70,75,80,85}, 1), "20-24", "25-29", "30-34", "35-39", "40-44", "45-49", "50-54", "55-59", "60-64", "65-69", "70-74", "75-79", "80-84", "85+")</f>
        <v>30-34</v>
      </c>
      <c r="D8244" t="s">
        <v>7</v>
      </c>
    </row>
    <row r="8245" spans="1:4">
      <c r="A8245" t="s">
        <v>6</v>
      </c>
      <c r="B8245">
        <v>25</v>
      </c>
      <c r="C8245" t="str">
        <f>CHOOSE(MATCH(B8245, {20,25,30,35,40,45,50,55,60,65,70,75,80,85}, 1), "20-24", "25-29", "30-34", "35-39", "40-44", "45-49", "50-54", "55-59", "60-64", "65-69", "70-74", "75-79", "80-84", "85+")</f>
        <v>25-29</v>
      </c>
      <c r="D8245" t="s">
        <v>7</v>
      </c>
    </row>
    <row r="8246" spans="1:4">
      <c r="A8246" t="s">
        <v>6</v>
      </c>
      <c r="B8246">
        <v>33</v>
      </c>
      <c r="C8246" t="str">
        <f>CHOOSE(MATCH(B8246, {20,25,30,35,40,45,50,55,60,65,70,75,80,85}, 1), "20-24", "25-29", "30-34", "35-39", "40-44", "45-49", "50-54", "55-59", "60-64", "65-69", "70-74", "75-79", "80-84", "85+")</f>
        <v>30-34</v>
      </c>
      <c r="D8246" t="s">
        <v>8</v>
      </c>
    </row>
    <row r="8247" spans="1:4">
      <c r="A8247" t="s">
        <v>6</v>
      </c>
      <c r="B8247">
        <v>24</v>
      </c>
      <c r="C8247" t="str">
        <f>CHOOSE(MATCH(B8247, {20,25,30,35,40,45,50,55,60,65,70,75,80,85}, 1), "20-24", "25-29", "30-34", "35-39", "40-44", "45-49", "50-54", "55-59", "60-64", "65-69", "70-74", "75-79", "80-84", "85+")</f>
        <v>20-24</v>
      </c>
      <c r="D8247" t="s">
        <v>7</v>
      </c>
    </row>
    <row r="8248" spans="1:4">
      <c r="A8248" t="s">
        <v>6</v>
      </c>
      <c r="B8248">
        <v>41</v>
      </c>
      <c r="C8248" t="str">
        <f>CHOOSE(MATCH(B8248, {20,25,30,35,40,45,50,55,60,65,70,75,80,85}, 1), "20-24", "25-29", "30-34", "35-39", "40-44", "45-49", "50-54", "55-59", "60-64", "65-69", "70-74", "75-79", "80-84", "85+")</f>
        <v>40-44</v>
      </c>
      <c r="D8248" t="s">
        <v>8</v>
      </c>
    </row>
    <row r="8249" spans="1:4">
      <c r="A8249" t="s">
        <v>6</v>
      </c>
      <c r="B8249">
        <v>33</v>
      </c>
      <c r="C8249" t="str">
        <f>CHOOSE(MATCH(B8249, {20,25,30,35,40,45,50,55,60,65,70,75,80,85}, 1), "20-24", "25-29", "30-34", "35-39", "40-44", "45-49", "50-54", "55-59", "60-64", "65-69", "70-74", "75-79", "80-84", "85+")</f>
        <v>30-34</v>
      </c>
      <c r="D8249" t="s">
        <v>8</v>
      </c>
    </row>
    <row r="8250" spans="1:4">
      <c r="A8250" t="s">
        <v>6</v>
      </c>
      <c r="B8250">
        <v>69</v>
      </c>
      <c r="C8250" t="str">
        <f>CHOOSE(MATCH(B8250, {20,25,30,35,40,45,50,55,60,65,70,75,80,85}, 1), "20-24", "25-29", "30-34", "35-39", "40-44", "45-49", "50-54", "55-59", "60-64", "65-69", "70-74", "75-79", "80-84", "85+")</f>
        <v>65-69</v>
      </c>
      <c r="D8250" t="s">
        <v>7</v>
      </c>
    </row>
    <row r="8251" spans="1:4">
      <c r="A8251" t="s">
        <v>6</v>
      </c>
      <c r="B8251">
        <v>32</v>
      </c>
      <c r="C8251" t="str">
        <f>CHOOSE(MATCH(B8251, {20,25,30,35,40,45,50,55,60,65,70,75,80,85}, 1), "20-24", "25-29", "30-34", "35-39", "40-44", "45-49", "50-54", "55-59", "60-64", "65-69", "70-74", "75-79", "80-84", "85+")</f>
        <v>30-34</v>
      </c>
      <c r="D8251" t="s">
        <v>8</v>
      </c>
    </row>
    <row r="8252" spans="1:4">
      <c r="A8252" t="s">
        <v>6</v>
      </c>
      <c r="B8252">
        <v>44</v>
      </c>
      <c r="C8252" t="str">
        <f>CHOOSE(MATCH(B8252, {20,25,30,35,40,45,50,55,60,65,70,75,80,85}, 1), "20-24", "25-29", "30-34", "35-39", "40-44", "45-49", "50-54", "55-59", "60-64", "65-69", "70-74", "75-79", "80-84", "85+")</f>
        <v>40-44</v>
      </c>
      <c r="D8252" t="s">
        <v>8</v>
      </c>
    </row>
    <row r="8253" spans="1:4">
      <c r="A8253" t="s">
        <v>6</v>
      </c>
      <c r="B8253">
        <v>29</v>
      </c>
      <c r="C8253" t="str">
        <f>CHOOSE(MATCH(B8253, {20,25,30,35,40,45,50,55,60,65,70,75,80,85}, 1), "20-24", "25-29", "30-34", "35-39", "40-44", "45-49", "50-54", "55-59", "60-64", "65-69", "70-74", "75-79", "80-84", "85+")</f>
        <v>25-29</v>
      </c>
      <c r="D8253" t="s">
        <v>7</v>
      </c>
    </row>
    <row r="8254" spans="1:4">
      <c r="A8254" t="s">
        <v>6</v>
      </c>
      <c r="B8254">
        <v>51</v>
      </c>
      <c r="C8254" t="str">
        <f>CHOOSE(MATCH(B8254, {20,25,30,35,40,45,50,55,60,65,70,75,80,85}, 1), "20-24", "25-29", "30-34", "35-39", "40-44", "45-49", "50-54", "55-59", "60-64", "65-69", "70-74", "75-79", "80-84", "85+")</f>
        <v>50-54</v>
      </c>
      <c r="D8254" t="s">
        <v>8</v>
      </c>
    </row>
    <row r="8255" spans="1:4">
      <c r="A8255" t="s">
        <v>6</v>
      </c>
      <c r="B8255">
        <v>53</v>
      </c>
      <c r="C8255" t="str">
        <f>CHOOSE(MATCH(B8255, {20,25,30,35,40,45,50,55,60,65,70,75,80,85}, 1), "20-24", "25-29", "30-34", "35-39", "40-44", "45-49", "50-54", "55-59", "60-64", "65-69", "70-74", "75-79", "80-84", "85+")</f>
        <v>50-54</v>
      </c>
      <c r="D8255" t="s">
        <v>7</v>
      </c>
    </row>
    <row r="8256" spans="1:4">
      <c r="A8256" t="s">
        <v>6</v>
      </c>
      <c r="B8256">
        <v>54</v>
      </c>
      <c r="C8256" t="str">
        <f>CHOOSE(MATCH(B8256, {20,25,30,35,40,45,50,55,60,65,70,75,80,85}, 1), "20-24", "25-29", "30-34", "35-39", "40-44", "45-49", "50-54", "55-59", "60-64", "65-69", "70-74", "75-79", "80-84", "85+")</f>
        <v>50-54</v>
      </c>
      <c r="D8256" t="s">
        <v>8</v>
      </c>
    </row>
    <row r="8257" spans="1:4">
      <c r="A8257" t="s">
        <v>6</v>
      </c>
      <c r="B8257">
        <v>44</v>
      </c>
      <c r="C8257" t="str">
        <f>CHOOSE(MATCH(B8257, {20,25,30,35,40,45,50,55,60,65,70,75,80,85}, 1), "20-24", "25-29", "30-34", "35-39", "40-44", "45-49", "50-54", "55-59", "60-64", "65-69", "70-74", "75-79", "80-84", "85+")</f>
        <v>40-44</v>
      </c>
      <c r="D8257" t="s">
        <v>7</v>
      </c>
    </row>
    <row r="8258" spans="1:4">
      <c r="A8258" t="s">
        <v>6</v>
      </c>
      <c r="B8258">
        <v>26</v>
      </c>
      <c r="C8258" t="str">
        <f>CHOOSE(MATCH(B8258, {20,25,30,35,40,45,50,55,60,65,70,75,80,85}, 1), "20-24", "25-29", "30-34", "35-39", "40-44", "45-49", "50-54", "55-59", "60-64", "65-69", "70-74", "75-79", "80-84", "85+")</f>
        <v>25-29</v>
      </c>
      <c r="D8258" t="s">
        <v>8</v>
      </c>
    </row>
    <row r="8259" spans="1:4">
      <c r="A8259" t="s">
        <v>6</v>
      </c>
      <c r="B8259">
        <v>23</v>
      </c>
      <c r="C8259" t="str">
        <f>CHOOSE(MATCH(B8259, {20,25,30,35,40,45,50,55,60,65,70,75,80,85}, 1), "20-24", "25-29", "30-34", "35-39", "40-44", "45-49", "50-54", "55-59", "60-64", "65-69", "70-74", "75-79", "80-84", "85+")</f>
        <v>20-24</v>
      </c>
      <c r="D8259" t="s">
        <v>8</v>
      </c>
    </row>
    <row r="8260" spans="1:4">
      <c r="A8260" t="s">
        <v>6</v>
      </c>
      <c r="B8260">
        <v>34</v>
      </c>
      <c r="C8260" t="str">
        <f>CHOOSE(MATCH(B8260, {20,25,30,35,40,45,50,55,60,65,70,75,80,85}, 1), "20-24", "25-29", "30-34", "35-39", "40-44", "45-49", "50-54", "55-59", "60-64", "65-69", "70-74", "75-79", "80-84", "85+")</f>
        <v>30-34</v>
      </c>
      <c r="D8260" t="s">
        <v>7</v>
      </c>
    </row>
    <row r="8261" spans="1:4">
      <c r="A8261" t="s">
        <v>6</v>
      </c>
      <c r="B8261">
        <v>40</v>
      </c>
      <c r="C8261" t="str">
        <f>CHOOSE(MATCH(B8261, {20,25,30,35,40,45,50,55,60,65,70,75,80,85}, 1), "20-24", "25-29", "30-34", "35-39", "40-44", "45-49", "50-54", "55-59", "60-64", "65-69", "70-74", "75-79", "80-84", "85+")</f>
        <v>40-44</v>
      </c>
      <c r="D8261" t="s">
        <v>8</v>
      </c>
    </row>
    <row r="8262" spans="1:4">
      <c r="A8262" t="s">
        <v>6</v>
      </c>
      <c r="B8262">
        <v>31</v>
      </c>
      <c r="C8262" t="str">
        <f>CHOOSE(MATCH(B8262, {20,25,30,35,40,45,50,55,60,65,70,75,80,85}, 1), "20-24", "25-29", "30-34", "35-39", "40-44", "45-49", "50-54", "55-59", "60-64", "65-69", "70-74", "75-79", "80-84", "85+")</f>
        <v>30-34</v>
      </c>
      <c r="D8262" t="s">
        <v>7</v>
      </c>
    </row>
    <row r="8263" spans="1:4">
      <c r="A8263" t="s">
        <v>6</v>
      </c>
      <c r="B8263">
        <v>65</v>
      </c>
      <c r="C8263" t="str">
        <f>CHOOSE(MATCH(B8263, {20,25,30,35,40,45,50,55,60,65,70,75,80,85}, 1), "20-24", "25-29", "30-34", "35-39", "40-44", "45-49", "50-54", "55-59", "60-64", "65-69", "70-74", "75-79", "80-84", "85+")</f>
        <v>65-69</v>
      </c>
      <c r="D8263" t="s">
        <v>7</v>
      </c>
    </row>
    <row r="8264" spans="1:4">
      <c r="A8264" t="s">
        <v>6</v>
      </c>
      <c r="B8264">
        <v>36</v>
      </c>
      <c r="C8264" t="str">
        <f>CHOOSE(MATCH(B8264, {20,25,30,35,40,45,50,55,60,65,70,75,80,85}, 1), "20-24", "25-29", "30-34", "35-39", "40-44", "45-49", "50-54", "55-59", "60-64", "65-69", "70-74", "75-79", "80-84", "85+")</f>
        <v>35-39</v>
      </c>
      <c r="D8264" t="s">
        <v>8</v>
      </c>
    </row>
    <row r="8265" spans="1:4">
      <c r="A8265" t="s">
        <v>6</v>
      </c>
      <c r="B8265">
        <v>21</v>
      </c>
      <c r="C8265" t="str">
        <f>CHOOSE(MATCH(B8265, {20,25,30,35,40,45,50,55,60,65,70,75,80,85}, 1), "20-24", "25-29", "30-34", "35-39", "40-44", "45-49", "50-54", "55-59", "60-64", "65-69", "70-74", "75-79", "80-84", "85+")</f>
        <v>20-24</v>
      </c>
      <c r="D8265" t="s">
        <v>7</v>
      </c>
    </row>
    <row r="8266" spans="1:4">
      <c r="A8266" t="s">
        <v>6</v>
      </c>
      <c r="B8266">
        <v>34</v>
      </c>
      <c r="C8266" t="str">
        <f>CHOOSE(MATCH(B8266, {20,25,30,35,40,45,50,55,60,65,70,75,80,85}, 1), "20-24", "25-29", "30-34", "35-39", "40-44", "45-49", "50-54", "55-59", "60-64", "65-69", "70-74", "75-79", "80-84", "85+")</f>
        <v>30-34</v>
      </c>
      <c r="D8266" t="s">
        <v>7</v>
      </c>
    </row>
    <row r="8267" spans="1:4">
      <c r="A8267" t="s">
        <v>6</v>
      </c>
      <c r="B8267">
        <v>37</v>
      </c>
      <c r="C8267" t="str">
        <f>CHOOSE(MATCH(B8267, {20,25,30,35,40,45,50,55,60,65,70,75,80,85}, 1), "20-24", "25-29", "30-34", "35-39", "40-44", "45-49", "50-54", "55-59", "60-64", "65-69", "70-74", "75-79", "80-84", "85+")</f>
        <v>35-39</v>
      </c>
      <c r="D8267" t="s">
        <v>7</v>
      </c>
    </row>
    <row r="8268" spans="1:4">
      <c r="A8268" t="s">
        <v>6</v>
      </c>
      <c r="B8268">
        <v>38</v>
      </c>
      <c r="C8268" t="str">
        <f>CHOOSE(MATCH(B8268, {20,25,30,35,40,45,50,55,60,65,70,75,80,85}, 1), "20-24", "25-29", "30-34", "35-39", "40-44", "45-49", "50-54", "55-59", "60-64", "65-69", "70-74", "75-79", "80-84", "85+")</f>
        <v>35-39</v>
      </c>
      <c r="D8268" t="s">
        <v>8</v>
      </c>
    </row>
    <row r="8269" spans="1:4">
      <c r="A8269" t="s">
        <v>6</v>
      </c>
      <c r="B8269">
        <v>43</v>
      </c>
      <c r="C8269" t="str">
        <f>CHOOSE(MATCH(B8269, {20,25,30,35,40,45,50,55,60,65,70,75,80,85}, 1), "20-24", "25-29", "30-34", "35-39", "40-44", "45-49", "50-54", "55-59", "60-64", "65-69", "70-74", "75-79", "80-84", "85+")</f>
        <v>40-44</v>
      </c>
      <c r="D8269" t="s">
        <v>8</v>
      </c>
    </row>
    <row r="8270" spans="1:4">
      <c r="A8270" t="s">
        <v>6</v>
      </c>
      <c r="B8270">
        <v>56</v>
      </c>
      <c r="C8270" t="str">
        <f>CHOOSE(MATCH(B8270, {20,25,30,35,40,45,50,55,60,65,70,75,80,85}, 1), "20-24", "25-29", "30-34", "35-39", "40-44", "45-49", "50-54", "55-59", "60-64", "65-69", "70-74", "75-79", "80-84", "85+")</f>
        <v>55-59</v>
      </c>
      <c r="D8270" t="s">
        <v>8</v>
      </c>
    </row>
    <row r="8271" spans="1:4">
      <c r="A8271" t="s">
        <v>6</v>
      </c>
      <c r="B8271">
        <v>37</v>
      </c>
      <c r="C8271" t="str">
        <f>CHOOSE(MATCH(B8271, {20,25,30,35,40,45,50,55,60,65,70,75,80,85}, 1), "20-24", "25-29", "30-34", "35-39", "40-44", "45-49", "50-54", "55-59", "60-64", "65-69", "70-74", "75-79", "80-84", "85+")</f>
        <v>35-39</v>
      </c>
      <c r="D8271" t="s">
        <v>7</v>
      </c>
    </row>
    <row r="8272" spans="1:4">
      <c r="A8272" t="s">
        <v>6</v>
      </c>
      <c r="B8272">
        <v>40</v>
      </c>
      <c r="C8272" t="str">
        <f>CHOOSE(MATCH(B8272, {20,25,30,35,40,45,50,55,60,65,70,75,80,85}, 1), "20-24", "25-29", "30-34", "35-39", "40-44", "45-49", "50-54", "55-59", "60-64", "65-69", "70-74", "75-79", "80-84", "85+")</f>
        <v>40-44</v>
      </c>
      <c r="D8272" t="s">
        <v>8</v>
      </c>
    </row>
    <row r="8273" spans="1:4">
      <c r="A8273" t="s">
        <v>6</v>
      </c>
      <c r="B8273">
        <v>48</v>
      </c>
      <c r="C8273" t="str">
        <f>CHOOSE(MATCH(B8273, {20,25,30,35,40,45,50,55,60,65,70,75,80,85}, 1), "20-24", "25-29", "30-34", "35-39", "40-44", "45-49", "50-54", "55-59", "60-64", "65-69", "70-74", "75-79", "80-84", "85+")</f>
        <v>45-49</v>
      </c>
      <c r="D8273" t="s">
        <v>7</v>
      </c>
    </row>
    <row r="8274" spans="1:4">
      <c r="A8274" t="s">
        <v>6</v>
      </c>
      <c r="B8274">
        <v>61</v>
      </c>
      <c r="C8274" t="str">
        <f>CHOOSE(MATCH(B8274, {20,25,30,35,40,45,50,55,60,65,70,75,80,85}, 1), "20-24", "25-29", "30-34", "35-39", "40-44", "45-49", "50-54", "55-59", "60-64", "65-69", "70-74", "75-79", "80-84", "85+")</f>
        <v>60-64</v>
      </c>
      <c r="D8274" t="s">
        <v>8</v>
      </c>
    </row>
    <row r="8275" spans="1:4">
      <c r="A8275" t="s">
        <v>6</v>
      </c>
      <c r="B8275">
        <v>63</v>
      </c>
      <c r="C8275" t="str">
        <f>CHOOSE(MATCH(B8275, {20,25,30,35,40,45,50,55,60,65,70,75,80,85}, 1), "20-24", "25-29", "30-34", "35-39", "40-44", "45-49", "50-54", "55-59", "60-64", "65-69", "70-74", "75-79", "80-84", "85+")</f>
        <v>60-64</v>
      </c>
      <c r="D8275" t="s">
        <v>7</v>
      </c>
    </row>
    <row r="8276" spans="1:4">
      <c r="A8276" t="s">
        <v>6</v>
      </c>
      <c r="B8276">
        <v>29</v>
      </c>
      <c r="C8276" t="str">
        <f>CHOOSE(MATCH(B8276, {20,25,30,35,40,45,50,55,60,65,70,75,80,85}, 1), "20-24", "25-29", "30-34", "35-39", "40-44", "45-49", "50-54", "55-59", "60-64", "65-69", "70-74", "75-79", "80-84", "85+")</f>
        <v>25-29</v>
      </c>
      <c r="D8276" t="s">
        <v>8</v>
      </c>
    </row>
    <row r="8277" spans="1:4">
      <c r="A8277" t="s">
        <v>6</v>
      </c>
      <c r="B8277">
        <v>61</v>
      </c>
      <c r="C8277" t="str">
        <f>CHOOSE(MATCH(B8277, {20,25,30,35,40,45,50,55,60,65,70,75,80,85}, 1), "20-24", "25-29", "30-34", "35-39", "40-44", "45-49", "50-54", "55-59", "60-64", "65-69", "70-74", "75-79", "80-84", "85+")</f>
        <v>60-64</v>
      </c>
      <c r="D8277" t="s">
        <v>7</v>
      </c>
    </row>
    <row r="8278" spans="1:4">
      <c r="A8278" t="s">
        <v>6</v>
      </c>
      <c r="B8278">
        <v>35</v>
      </c>
      <c r="C8278" t="str">
        <f>CHOOSE(MATCH(B8278, {20,25,30,35,40,45,50,55,60,65,70,75,80,85}, 1), "20-24", "25-29", "30-34", "35-39", "40-44", "45-49", "50-54", "55-59", "60-64", "65-69", "70-74", "75-79", "80-84", "85+")</f>
        <v>35-39</v>
      </c>
      <c r="D8278" t="s">
        <v>7</v>
      </c>
    </row>
    <row r="8279" spans="1:4">
      <c r="A8279" t="s">
        <v>6</v>
      </c>
      <c r="B8279">
        <v>29</v>
      </c>
      <c r="C8279" t="str">
        <f>CHOOSE(MATCH(B8279, {20,25,30,35,40,45,50,55,60,65,70,75,80,85}, 1), "20-24", "25-29", "30-34", "35-39", "40-44", "45-49", "50-54", "55-59", "60-64", "65-69", "70-74", "75-79", "80-84", "85+")</f>
        <v>25-29</v>
      </c>
      <c r="D8279" t="s">
        <v>7</v>
      </c>
    </row>
    <row r="8280" spans="1:4">
      <c r="A8280" t="s">
        <v>6</v>
      </c>
      <c r="B8280">
        <v>61</v>
      </c>
      <c r="C8280" t="str">
        <f>CHOOSE(MATCH(B8280, {20,25,30,35,40,45,50,55,60,65,70,75,80,85}, 1), "20-24", "25-29", "30-34", "35-39", "40-44", "45-49", "50-54", "55-59", "60-64", "65-69", "70-74", "75-79", "80-84", "85+")</f>
        <v>60-64</v>
      </c>
      <c r="D8280" t="s">
        <v>7</v>
      </c>
    </row>
    <row r="8281" spans="1:4">
      <c r="A8281" t="s">
        <v>6</v>
      </c>
      <c r="B8281">
        <v>66</v>
      </c>
      <c r="C8281" t="str">
        <f>CHOOSE(MATCH(B8281, {20,25,30,35,40,45,50,55,60,65,70,75,80,85}, 1), "20-24", "25-29", "30-34", "35-39", "40-44", "45-49", "50-54", "55-59", "60-64", "65-69", "70-74", "75-79", "80-84", "85+")</f>
        <v>65-69</v>
      </c>
      <c r="D8281" t="s">
        <v>7</v>
      </c>
    </row>
    <row r="8282" spans="1:4">
      <c r="A8282" t="s">
        <v>6</v>
      </c>
      <c r="B8282">
        <v>46</v>
      </c>
      <c r="C8282" t="str">
        <f>CHOOSE(MATCH(B8282, {20,25,30,35,40,45,50,55,60,65,70,75,80,85}, 1), "20-24", "25-29", "30-34", "35-39", "40-44", "45-49", "50-54", "55-59", "60-64", "65-69", "70-74", "75-79", "80-84", "85+")</f>
        <v>45-49</v>
      </c>
      <c r="D8282" t="s">
        <v>8</v>
      </c>
    </row>
    <row r="8283" spans="1:4">
      <c r="A8283" t="s">
        <v>6</v>
      </c>
      <c r="B8283">
        <v>52</v>
      </c>
      <c r="C8283" t="str">
        <f>CHOOSE(MATCH(B8283, {20,25,30,35,40,45,50,55,60,65,70,75,80,85}, 1), "20-24", "25-29", "30-34", "35-39", "40-44", "45-49", "50-54", "55-59", "60-64", "65-69", "70-74", "75-79", "80-84", "85+")</f>
        <v>50-54</v>
      </c>
      <c r="D8283" t="s">
        <v>8</v>
      </c>
    </row>
    <row r="8284" spans="1:4">
      <c r="A8284" t="s">
        <v>6</v>
      </c>
      <c r="B8284">
        <v>37</v>
      </c>
      <c r="C8284" t="str">
        <f>CHOOSE(MATCH(B8284, {20,25,30,35,40,45,50,55,60,65,70,75,80,85}, 1), "20-24", "25-29", "30-34", "35-39", "40-44", "45-49", "50-54", "55-59", "60-64", "65-69", "70-74", "75-79", "80-84", "85+")</f>
        <v>35-39</v>
      </c>
      <c r="D8284" t="s">
        <v>7</v>
      </c>
    </row>
    <row r="8285" spans="1:4">
      <c r="A8285" t="s">
        <v>6</v>
      </c>
      <c r="B8285">
        <v>45</v>
      </c>
      <c r="C8285" t="str">
        <f>CHOOSE(MATCH(B8285, {20,25,30,35,40,45,50,55,60,65,70,75,80,85}, 1), "20-24", "25-29", "30-34", "35-39", "40-44", "45-49", "50-54", "55-59", "60-64", "65-69", "70-74", "75-79", "80-84", "85+")</f>
        <v>45-49</v>
      </c>
      <c r="D8285" t="s">
        <v>8</v>
      </c>
    </row>
    <row r="8286" spans="1:4">
      <c r="A8286" t="s">
        <v>6</v>
      </c>
      <c r="B8286">
        <v>40</v>
      </c>
      <c r="C8286" t="str">
        <f>CHOOSE(MATCH(B8286, {20,25,30,35,40,45,50,55,60,65,70,75,80,85}, 1), "20-24", "25-29", "30-34", "35-39", "40-44", "45-49", "50-54", "55-59", "60-64", "65-69", "70-74", "75-79", "80-84", "85+")</f>
        <v>40-44</v>
      </c>
      <c r="D8286" t="s">
        <v>7</v>
      </c>
    </row>
    <row r="8287" spans="1:4">
      <c r="A8287" t="s">
        <v>6</v>
      </c>
      <c r="B8287">
        <v>36</v>
      </c>
      <c r="C8287" t="str">
        <f>CHOOSE(MATCH(B8287, {20,25,30,35,40,45,50,55,60,65,70,75,80,85}, 1), "20-24", "25-29", "30-34", "35-39", "40-44", "45-49", "50-54", "55-59", "60-64", "65-69", "70-74", "75-79", "80-84", "85+")</f>
        <v>35-39</v>
      </c>
      <c r="D8287" t="s">
        <v>7</v>
      </c>
    </row>
    <row r="8288" spans="1:4">
      <c r="A8288" t="s">
        <v>6</v>
      </c>
      <c r="B8288">
        <v>50</v>
      </c>
      <c r="C8288" t="str">
        <f>CHOOSE(MATCH(B8288, {20,25,30,35,40,45,50,55,60,65,70,75,80,85}, 1), "20-24", "25-29", "30-34", "35-39", "40-44", "45-49", "50-54", "55-59", "60-64", "65-69", "70-74", "75-79", "80-84", "85+")</f>
        <v>50-54</v>
      </c>
      <c r="D8288" t="s">
        <v>8</v>
      </c>
    </row>
    <row r="8289" spans="1:4">
      <c r="A8289" t="s">
        <v>6</v>
      </c>
      <c r="B8289">
        <v>62</v>
      </c>
      <c r="C8289" t="str">
        <f>CHOOSE(MATCH(B8289, {20,25,30,35,40,45,50,55,60,65,70,75,80,85}, 1), "20-24", "25-29", "30-34", "35-39", "40-44", "45-49", "50-54", "55-59", "60-64", "65-69", "70-74", "75-79", "80-84", "85+")</f>
        <v>60-64</v>
      </c>
      <c r="D8289" t="s">
        <v>8</v>
      </c>
    </row>
    <row r="8290" spans="1:4">
      <c r="A8290" t="s">
        <v>6</v>
      </c>
      <c r="B8290">
        <v>28</v>
      </c>
      <c r="C8290" t="str">
        <f>CHOOSE(MATCH(B8290, {20,25,30,35,40,45,50,55,60,65,70,75,80,85}, 1), "20-24", "25-29", "30-34", "35-39", "40-44", "45-49", "50-54", "55-59", "60-64", "65-69", "70-74", "75-79", "80-84", "85+")</f>
        <v>25-29</v>
      </c>
      <c r="D8290" t="s">
        <v>7</v>
      </c>
    </row>
    <row r="8291" spans="1:4">
      <c r="A8291" t="s">
        <v>6</v>
      </c>
      <c r="B8291">
        <v>38</v>
      </c>
      <c r="C8291" t="str">
        <f>CHOOSE(MATCH(B8291, {20,25,30,35,40,45,50,55,60,65,70,75,80,85}, 1), "20-24", "25-29", "30-34", "35-39", "40-44", "45-49", "50-54", "55-59", "60-64", "65-69", "70-74", "75-79", "80-84", "85+")</f>
        <v>35-39</v>
      </c>
      <c r="D8291" t="s">
        <v>7</v>
      </c>
    </row>
    <row r="8292" spans="1:4">
      <c r="A8292" t="s">
        <v>6</v>
      </c>
      <c r="B8292">
        <v>41</v>
      </c>
      <c r="C8292" t="str">
        <f>CHOOSE(MATCH(B8292, {20,25,30,35,40,45,50,55,60,65,70,75,80,85}, 1), "20-24", "25-29", "30-34", "35-39", "40-44", "45-49", "50-54", "55-59", "60-64", "65-69", "70-74", "75-79", "80-84", "85+")</f>
        <v>40-44</v>
      </c>
      <c r="D8292" t="s">
        <v>7</v>
      </c>
    </row>
    <row r="8293" spans="1:4">
      <c r="A8293" t="s">
        <v>6</v>
      </c>
      <c r="B8293">
        <v>42</v>
      </c>
      <c r="C8293" t="str">
        <f>CHOOSE(MATCH(B8293, {20,25,30,35,40,45,50,55,60,65,70,75,80,85}, 1), "20-24", "25-29", "30-34", "35-39", "40-44", "45-49", "50-54", "55-59", "60-64", "65-69", "70-74", "75-79", "80-84", "85+")</f>
        <v>40-44</v>
      </c>
      <c r="D8293" t="s">
        <v>7</v>
      </c>
    </row>
    <row r="8294" spans="1:4">
      <c r="A8294" t="s">
        <v>6</v>
      </c>
      <c r="B8294">
        <v>73</v>
      </c>
      <c r="C8294" t="str">
        <f>CHOOSE(MATCH(B8294, {20,25,30,35,40,45,50,55,60,65,70,75,80,85}, 1), "20-24", "25-29", "30-34", "35-39", "40-44", "45-49", "50-54", "55-59", "60-64", "65-69", "70-74", "75-79", "80-84", "85+")</f>
        <v>70-74</v>
      </c>
      <c r="D8294" t="s">
        <v>8</v>
      </c>
    </row>
    <row r="8295" spans="1:4">
      <c r="A8295" t="s">
        <v>6</v>
      </c>
      <c r="B8295">
        <v>64</v>
      </c>
      <c r="C8295" t="str">
        <f>CHOOSE(MATCH(B8295, {20,25,30,35,40,45,50,55,60,65,70,75,80,85}, 1), "20-24", "25-29", "30-34", "35-39", "40-44", "45-49", "50-54", "55-59", "60-64", "65-69", "70-74", "75-79", "80-84", "85+")</f>
        <v>60-64</v>
      </c>
      <c r="D8295" t="s">
        <v>7</v>
      </c>
    </row>
    <row r="8296" spans="1:4">
      <c r="A8296" t="s">
        <v>6</v>
      </c>
      <c r="B8296">
        <v>27</v>
      </c>
      <c r="C8296" t="str">
        <f>CHOOSE(MATCH(B8296, {20,25,30,35,40,45,50,55,60,65,70,75,80,85}, 1), "20-24", "25-29", "30-34", "35-39", "40-44", "45-49", "50-54", "55-59", "60-64", "65-69", "70-74", "75-79", "80-84", "85+")</f>
        <v>25-29</v>
      </c>
      <c r="D8296" t="s">
        <v>7</v>
      </c>
    </row>
    <row r="8297" spans="1:4">
      <c r="A8297" t="s">
        <v>6</v>
      </c>
      <c r="B8297">
        <v>32</v>
      </c>
      <c r="C8297" t="str">
        <f>CHOOSE(MATCH(B8297, {20,25,30,35,40,45,50,55,60,65,70,75,80,85}, 1), "20-24", "25-29", "30-34", "35-39", "40-44", "45-49", "50-54", "55-59", "60-64", "65-69", "70-74", "75-79", "80-84", "85+")</f>
        <v>30-34</v>
      </c>
      <c r="D8297" t="s">
        <v>8</v>
      </c>
    </row>
    <row r="8298" spans="1:4">
      <c r="A8298" t="s">
        <v>6</v>
      </c>
      <c r="B8298">
        <v>47</v>
      </c>
      <c r="C8298" t="str">
        <f>CHOOSE(MATCH(B8298, {20,25,30,35,40,45,50,55,60,65,70,75,80,85}, 1), "20-24", "25-29", "30-34", "35-39", "40-44", "45-49", "50-54", "55-59", "60-64", "65-69", "70-74", "75-79", "80-84", "85+")</f>
        <v>45-49</v>
      </c>
      <c r="D8298" t="s">
        <v>7</v>
      </c>
    </row>
    <row r="8299" spans="1:4">
      <c r="A8299" t="s">
        <v>6</v>
      </c>
      <c r="B8299">
        <v>29</v>
      </c>
      <c r="C8299" t="str">
        <f>CHOOSE(MATCH(B8299, {20,25,30,35,40,45,50,55,60,65,70,75,80,85}, 1), "20-24", "25-29", "30-34", "35-39", "40-44", "45-49", "50-54", "55-59", "60-64", "65-69", "70-74", "75-79", "80-84", "85+")</f>
        <v>25-29</v>
      </c>
      <c r="D8299" t="s">
        <v>8</v>
      </c>
    </row>
    <row r="8300" spans="1:4">
      <c r="A8300" t="s">
        <v>6</v>
      </c>
      <c r="B8300">
        <v>24</v>
      </c>
      <c r="C8300" t="str">
        <f>CHOOSE(MATCH(B8300, {20,25,30,35,40,45,50,55,60,65,70,75,80,85}, 1), "20-24", "25-29", "30-34", "35-39", "40-44", "45-49", "50-54", "55-59", "60-64", "65-69", "70-74", "75-79", "80-84", "85+")</f>
        <v>20-24</v>
      </c>
      <c r="D8300" t="s">
        <v>7</v>
      </c>
    </row>
    <row r="8301" spans="1:4">
      <c r="A8301" t="s">
        <v>6</v>
      </c>
      <c r="B8301">
        <v>29</v>
      </c>
      <c r="C8301" t="str">
        <f>CHOOSE(MATCH(B8301, {20,25,30,35,40,45,50,55,60,65,70,75,80,85}, 1), "20-24", "25-29", "30-34", "35-39", "40-44", "45-49", "50-54", "55-59", "60-64", "65-69", "70-74", "75-79", "80-84", "85+")</f>
        <v>25-29</v>
      </c>
      <c r="D8301" t="s">
        <v>8</v>
      </c>
    </row>
    <row r="8302" spans="1:4">
      <c r="A8302" t="s">
        <v>6</v>
      </c>
      <c r="B8302">
        <v>35</v>
      </c>
      <c r="C8302" t="str">
        <f>CHOOSE(MATCH(B8302, {20,25,30,35,40,45,50,55,60,65,70,75,80,85}, 1), "20-24", "25-29", "30-34", "35-39", "40-44", "45-49", "50-54", "55-59", "60-64", "65-69", "70-74", "75-79", "80-84", "85+")</f>
        <v>35-39</v>
      </c>
      <c r="D8302" t="s">
        <v>8</v>
      </c>
    </row>
    <row r="8303" spans="1:4">
      <c r="A8303" t="s">
        <v>6</v>
      </c>
      <c r="B8303">
        <v>21</v>
      </c>
      <c r="C8303" t="str">
        <f>CHOOSE(MATCH(B8303, {20,25,30,35,40,45,50,55,60,65,70,75,80,85}, 1), "20-24", "25-29", "30-34", "35-39", "40-44", "45-49", "50-54", "55-59", "60-64", "65-69", "70-74", "75-79", "80-84", "85+")</f>
        <v>20-24</v>
      </c>
      <c r="D8303" t="s">
        <v>7</v>
      </c>
    </row>
    <row r="8304" spans="1:4">
      <c r="A8304" t="s">
        <v>6</v>
      </c>
      <c r="B8304">
        <v>40</v>
      </c>
      <c r="C8304" t="str">
        <f>CHOOSE(MATCH(B8304, {20,25,30,35,40,45,50,55,60,65,70,75,80,85}, 1), "20-24", "25-29", "30-34", "35-39", "40-44", "45-49", "50-54", "55-59", "60-64", "65-69", "70-74", "75-79", "80-84", "85+")</f>
        <v>40-44</v>
      </c>
      <c r="D8304" t="s">
        <v>8</v>
      </c>
    </row>
    <row r="8305" spans="1:4">
      <c r="A8305" t="s">
        <v>6</v>
      </c>
      <c r="B8305">
        <v>22</v>
      </c>
      <c r="C8305" t="str">
        <f>CHOOSE(MATCH(B8305, {20,25,30,35,40,45,50,55,60,65,70,75,80,85}, 1), "20-24", "25-29", "30-34", "35-39", "40-44", "45-49", "50-54", "55-59", "60-64", "65-69", "70-74", "75-79", "80-84", "85+")</f>
        <v>20-24</v>
      </c>
      <c r="D8305" t="s">
        <v>7</v>
      </c>
    </row>
    <row r="8306" spans="1:4">
      <c r="A8306" t="s">
        <v>6</v>
      </c>
      <c r="B8306">
        <v>43</v>
      </c>
      <c r="C8306" t="str">
        <f>CHOOSE(MATCH(B8306, {20,25,30,35,40,45,50,55,60,65,70,75,80,85}, 1), "20-24", "25-29", "30-34", "35-39", "40-44", "45-49", "50-54", "55-59", "60-64", "65-69", "70-74", "75-79", "80-84", "85+")</f>
        <v>40-44</v>
      </c>
      <c r="D8306" t="s">
        <v>7</v>
      </c>
    </row>
    <row r="8307" spans="1:4">
      <c r="A8307" t="s">
        <v>6</v>
      </c>
      <c r="B8307">
        <v>34</v>
      </c>
      <c r="C8307" t="str">
        <f>CHOOSE(MATCH(B8307, {20,25,30,35,40,45,50,55,60,65,70,75,80,85}, 1), "20-24", "25-29", "30-34", "35-39", "40-44", "45-49", "50-54", "55-59", "60-64", "65-69", "70-74", "75-79", "80-84", "85+")</f>
        <v>30-34</v>
      </c>
      <c r="D8307" t="s">
        <v>7</v>
      </c>
    </row>
    <row r="8308" spans="1:4">
      <c r="A8308" t="s">
        <v>6</v>
      </c>
      <c r="B8308">
        <v>31</v>
      </c>
      <c r="C8308" t="str">
        <f>CHOOSE(MATCH(B8308, {20,25,30,35,40,45,50,55,60,65,70,75,80,85}, 1), "20-24", "25-29", "30-34", "35-39", "40-44", "45-49", "50-54", "55-59", "60-64", "65-69", "70-74", "75-79", "80-84", "85+")</f>
        <v>30-34</v>
      </c>
      <c r="D8308" t="s">
        <v>7</v>
      </c>
    </row>
    <row r="8309" spans="1:4">
      <c r="A8309" t="s">
        <v>6</v>
      </c>
      <c r="B8309">
        <v>59</v>
      </c>
      <c r="C8309" t="str">
        <f>CHOOSE(MATCH(B8309, {20,25,30,35,40,45,50,55,60,65,70,75,80,85}, 1), "20-24", "25-29", "30-34", "35-39", "40-44", "45-49", "50-54", "55-59", "60-64", "65-69", "70-74", "75-79", "80-84", "85+")</f>
        <v>55-59</v>
      </c>
      <c r="D8309" t="s">
        <v>8</v>
      </c>
    </row>
    <row r="8310" spans="1:4">
      <c r="A8310" t="s">
        <v>6</v>
      </c>
      <c r="B8310">
        <v>37</v>
      </c>
      <c r="C8310" t="str">
        <f>CHOOSE(MATCH(B8310, {20,25,30,35,40,45,50,55,60,65,70,75,80,85}, 1), "20-24", "25-29", "30-34", "35-39", "40-44", "45-49", "50-54", "55-59", "60-64", "65-69", "70-74", "75-79", "80-84", "85+")</f>
        <v>35-39</v>
      </c>
      <c r="D8310" t="s">
        <v>7</v>
      </c>
    </row>
    <row r="8311" spans="1:4">
      <c r="A8311" t="s">
        <v>6</v>
      </c>
      <c r="B8311">
        <v>31</v>
      </c>
      <c r="C8311" t="str">
        <f>CHOOSE(MATCH(B8311, {20,25,30,35,40,45,50,55,60,65,70,75,80,85}, 1), "20-24", "25-29", "30-34", "35-39", "40-44", "45-49", "50-54", "55-59", "60-64", "65-69", "70-74", "75-79", "80-84", "85+")</f>
        <v>30-34</v>
      </c>
      <c r="D8311" t="s">
        <v>8</v>
      </c>
    </row>
    <row r="8312" spans="1:4">
      <c r="A8312" t="s">
        <v>6</v>
      </c>
      <c r="B8312">
        <v>60</v>
      </c>
      <c r="C8312" t="str">
        <f>CHOOSE(MATCH(B8312, {20,25,30,35,40,45,50,55,60,65,70,75,80,85}, 1), "20-24", "25-29", "30-34", "35-39", "40-44", "45-49", "50-54", "55-59", "60-64", "65-69", "70-74", "75-79", "80-84", "85+")</f>
        <v>60-64</v>
      </c>
      <c r="D8312" t="s">
        <v>7</v>
      </c>
    </row>
    <row r="8313" spans="1:4">
      <c r="A8313" t="s">
        <v>6</v>
      </c>
      <c r="B8313">
        <v>27</v>
      </c>
      <c r="C8313" t="str">
        <f>CHOOSE(MATCH(B8313, {20,25,30,35,40,45,50,55,60,65,70,75,80,85}, 1), "20-24", "25-29", "30-34", "35-39", "40-44", "45-49", "50-54", "55-59", "60-64", "65-69", "70-74", "75-79", "80-84", "85+")</f>
        <v>25-29</v>
      </c>
      <c r="D8313" t="s">
        <v>7</v>
      </c>
    </row>
    <row r="8314" spans="1:4">
      <c r="A8314" t="s">
        <v>6</v>
      </c>
      <c r="B8314">
        <v>49</v>
      </c>
      <c r="C8314" t="str">
        <f>CHOOSE(MATCH(B8314, {20,25,30,35,40,45,50,55,60,65,70,75,80,85}, 1), "20-24", "25-29", "30-34", "35-39", "40-44", "45-49", "50-54", "55-59", "60-64", "65-69", "70-74", "75-79", "80-84", "85+")</f>
        <v>45-49</v>
      </c>
      <c r="D8314" t="s">
        <v>8</v>
      </c>
    </row>
    <row r="8315" spans="1:4">
      <c r="A8315" t="s">
        <v>6</v>
      </c>
      <c r="B8315">
        <v>33</v>
      </c>
      <c r="C8315" t="str">
        <f>CHOOSE(MATCH(B8315, {20,25,30,35,40,45,50,55,60,65,70,75,80,85}, 1), "20-24", "25-29", "30-34", "35-39", "40-44", "45-49", "50-54", "55-59", "60-64", "65-69", "70-74", "75-79", "80-84", "85+")</f>
        <v>30-34</v>
      </c>
      <c r="D8315" t="s">
        <v>7</v>
      </c>
    </row>
    <row r="8316" spans="1:4">
      <c r="A8316" t="s">
        <v>6</v>
      </c>
      <c r="B8316">
        <v>25</v>
      </c>
      <c r="C8316" t="str">
        <f>CHOOSE(MATCH(B8316, {20,25,30,35,40,45,50,55,60,65,70,75,80,85}, 1), "20-24", "25-29", "30-34", "35-39", "40-44", "45-49", "50-54", "55-59", "60-64", "65-69", "70-74", "75-79", "80-84", "85+")</f>
        <v>25-29</v>
      </c>
      <c r="D8316" t="s">
        <v>8</v>
      </c>
    </row>
    <row r="8317" spans="1:4">
      <c r="A8317" t="s">
        <v>6</v>
      </c>
      <c r="B8317">
        <v>66</v>
      </c>
      <c r="C8317" t="str">
        <f>CHOOSE(MATCH(B8317, {20,25,30,35,40,45,50,55,60,65,70,75,80,85}, 1), "20-24", "25-29", "30-34", "35-39", "40-44", "45-49", "50-54", "55-59", "60-64", "65-69", "70-74", "75-79", "80-84", "85+")</f>
        <v>65-69</v>
      </c>
      <c r="D8317" t="s">
        <v>7</v>
      </c>
    </row>
    <row r="8318" spans="1:4">
      <c r="A8318" t="s">
        <v>6</v>
      </c>
      <c r="B8318">
        <v>77</v>
      </c>
      <c r="C8318" t="str">
        <f>CHOOSE(MATCH(B8318, {20,25,30,35,40,45,50,55,60,65,70,75,80,85}, 1), "20-24", "25-29", "30-34", "35-39", "40-44", "45-49", "50-54", "55-59", "60-64", "65-69", "70-74", "75-79", "80-84", "85+")</f>
        <v>75-79</v>
      </c>
      <c r="D8318" t="s">
        <v>8</v>
      </c>
    </row>
    <row r="8319" spans="1:4">
      <c r="A8319" t="s">
        <v>6</v>
      </c>
      <c r="B8319">
        <v>31</v>
      </c>
      <c r="C8319" t="str">
        <f>CHOOSE(MATCH(B8319, {20,25,30,35,40,45,50,55,60,65,70,75,80,85}, 1), "20-24", "25-29", "30-34", "35-39", "40-44", "45-49", "50-54", "55-59", "60-64", "65-69", "70-74", "75-79", "80-84", "85+")</f>
        <v>30-34</v>
      </c>
      <c r="D8319" t="s">
        <v>8</v>
      </c>
    </row>
    <row r="8320" spans="1:4">
      <c r="A8320" t="s">
        <v>6</v>
      </c>
      <c r="B8320">
        <v>37</v>
      </c>
      <c r="C8320" t="str">
        <f>CHOOSE(MATCH(B8320, {20,25,30,35,40,45,50,55,60,65,70,75,80,85}, 1), "20-24", "25-29", "30-34", "35-39", "40-44", "45-49", "50-54", "55-59", "60-64", "65-69", "70-74", "75-79", "80-84", "85+")</f>
        <v>35-39</v>
      </c>
      <c r="D8320" t="s">
        <v>8</v>
      </c>
    </row>
    <row r="8321" spans="1:4">
      <c r="A8321" t="s">
        <v>6</v>
      </c>
      <c r="B8321">
        <v>56</v>
      </c>
      <c r="C8321" t="str">
        <f>CHOOSE(MATCH(B8321, {20,25,30,35,40,45,50,55,60,65,70,75,80,85}, 1), "20-24", "25-29", "30-34", "35-39", "40-44", "45-49", "50-54", "55-59", "60-64", "65-69", "70-74", "75-79", "80-84", "85+")</f>
        <v>55-59</v>
      </c>
      <c r="D8321" t="s">
        <v>8</v>
      </c>
    </row>
    <row r="8322" spans="1:4">
      <c r="A8322" t="s">
        <v>6</v>
      </c>
      <c r="B8322">
        <v>46</v>
      </c>
      <c r="C8322" t="str">
        <f>CHOOSE(MATCH(B8322, {20,25,30,35,40,45,50,55,60,65,70,75,80,85}, 1), "20-24", "25-29", "30-34", "35-39", "40-44", "45-49", "50-54", "55-59", "60-64", "65-69", "70-74", "75-79", "80-84", "85+")</f>
        <v>45-49</v>
      </c>
      <c r="D8322" t="s">
        <v>7</v>
      </c>
    </row>
    <row r="8323" spans="1:4">
      <c r="A8323" t="s">
        <v>6</v>
      </c>
      <c r="B8323">
        <v>72</v>
      </c>
      <c r="C8323" t="str">
        <f>CHOOSE(MATCH(B8323, {20,25,30,35,40,45,50,55,60,65,70,75,80,85}, 1), "20-24", "25-29", "30-34", "35-39", "40-44", "45-49", "50-54", "55-59", "60-64", "65-69", "70-74", "75-79", "80-84", "85+")</f>
        <v>70-74</v>
      </c>
      <c r="D8323" t="s">
        <v>7</v>
      </c>
    </row>
    <row r="8324" spans="1:4">
      <c r="A8324" t="s">
        <v>6</v>
      </c>
      <c r="B8324">
        <v>21</v>
      </c>
      <c r="C8324" t="str">
        <f>CHOOSE(MATCH(B8324, {20,25,30,35,40,45,50,55,60,65,70,75,80,85}, 1), "20-24", "25-29", "30-34", "35-39", "40-44", "45-49", "50-54", "55-59", "60-64", "65-69", "70-74", "75-79", "80-84", "85+")</f>
        <v>20-24</v>
      </c>
      <c r="D8324" t="s">
        <v>7</v>
      </c>
    </row>
    <row r="8325" spans="1:4">
      <c r="A8325" t="s">
        <v>6</v>
      </c>
      <c r="B8325">
        <v>23</v>
      </c>
      <c r="C8325" t="str">
        <f>CHOOSE(MATCH(B8325, {20,25,30,35,40,45,50,55,60,65,70,75,80,85}, 1), "20-24", "25-29", "30-34", "35-39", "40-44", "45-49", "50-54", "55-59", "60-64", "65-69", "70-74", "75-79", "80-84", "85+")</f>
        <v>20-24</v>
      </c>
      <c r="D8325" t="s">
        <v>7</v>
      </c>
    </row>
    <row r="8326" spans="1:4">
      <c r="A8326" t="s">
        <v>6</v>
      </c>
      <c r="B8326">
        <v>46</v>
      </c>
      <c r="C8326" t="str">
        <f>CHOOSE(MATCH(B8326, {20,25,30,35,40,45,50,55,60,65,70,75,80,85}, 1), "20-24", "25-29", "30-34", "35-39", "40-44", "45-49", "50-54", "55-59", "60-64", "65-69", "70-74", "75-79", "80-84", "85+")</f>
        <v>45-49</v>
      </c>
      <c r="D8326" t="s">
        <v>8</v>
      </c>
    </row>
    <row r="8327" spans="1:4">
      <c r="A8327" t="s">
        <v>6</v>
      </c>
      <c r="B8327">
        <v>83</v>
      </c>
      <c r="C8327" t="str">
        <f>CHOOSE(MATCH(B8327, {20,25,30,35,40,45,50,55,60,65,70,75,80,85}, 1), "20-24", "25-29", "30-34", "35-39", "40-44", "45-49", "50-54", "55-59", "60-64", "65-69", "70-74", "75-79", "80-84", "85+")</f>
        <v>80-84</v>
      </c>
      <c r="D8327" t="s">
        <v>7</v>
      </c>
    </row>
    <row r="8328" spans="1:4">
      <c r="A8328" t="s">
        <v>6</v>
      </c>
      <c r="B8328">
        <v>30</v>
      </c>
      <c r="C8328" t="str">
        <f>CHOOSE(MATCH(B8328, {20,25,30,35,40,45,50,55,60,65,70,75,80,85}, 1), "20-24", "25-29", "30-34", "35-39", "40-44", "45-49", "50-54", "55-59", "60-64", "65-69", "70-74", "75-79", "80-84", "85+")</f>
        <v>30-34</v>
      </c>
      <c r="D8328" t="s">
        <v>7</v>
      </c>
    </row>
    <row r="8329" spans="1:4">
      <c r="A8329" t="s">
        <v>6</v>
      </c>
      <c r="B8329">
        <v>28</v>
      </c>
      <c r="C8329" t="str">
        <f>CHOOSE(MATCH(B8329, {20,25,30,35,40,45,50,55,60,65,70,75,80,85}, 1), "20-24", "25-29", "30-34", "35-39", "40-44", "45-49", "50-54", "55-59", "60-64", "65-69", "70-74", "75-79", "80-84", "85+")</f>
        <v>25-29</v>
      </c>
      <c r="D8329" t="s">
        <v>8</v>
      </c>
    </row>
    <row r="8330" spans="1:4">
      <c r="A8330" t="s">
        <v>6</v>
      </c>
      <c r="B8330">
        <v>63</v>
      </c>
      <c r="C8330" t="str">
        <f>CHOOSE(MATCH(B8330, {20,25,30,35,40,45,50,55,60,65,70,75,80,85}, 1), "20-24", "25-29", "30-34", "35-39", "40-44", "45-49", "50-54", "55-59", "60-64", "65-69", "70-74", "75-79", "80-84", "85+")</f>
        <v>60-64</v>
      </c>
      <c r="D8330" t="s">
        <v>7</v>
      </c>
    </row>
    <row r="8331" spans="1:4">
      <c r="A8331" t="s">
        <v>6</v>
      </c>
      <c r="B8331">
        <v>43</v>
      </c>
      <c r="C8331" t="str">
        <f>CHOOSE(MATCH(B8331, {20,25,30,35,40,45,50,55,60,65,70,75,80,85}, 1), "20-24", "25-29", "30-34", "35-39", "40-44", "45-49", "50-54", "55-59", "60-64", "65-69", "70-74", "75-79", "80-84", "85+")</f>
        <v>40-44</v>
      </c>
      <c r="D8331" t="s">
        <v>7</v>
      </c>
    </row>
    <row r="8332" spans="1:4">
      <c r="A8332" t="s">
        <v>6</v>
      </c>
      <c r="B8332">
        <v>60</v>
      </c>
      <c r="C8332" t="str">
        <f>CHOOSE(MATCH(B8332, {20,25,30,35,40,45,50,55,60,65,70,75,80,85}, 1), "20-24", "25-29", "30-34", "35-39", "40-44", "45-49", "50-54", "55-59", "60-64", "65-69", "70-74", "75-79", "80-84", "85+")</f>
        <v>60-64</v>
      </c>
      <c r="D8332" t="s">
        <v>7</v>
      </c>
    </row>
    <row r="8333" spans="1:4">
      <c r="A8333" t="s">
        <v>6</v>
      </c>
      <c r="B8333">
        <v>49</v>
      </c>
      <c r="C8333" t="str">
        <f>CHOOSE(MATCH(B8333, {20,25,30,35,40,45,50,55,60,65,70,75,80,85}, 1), "20-24", "25-29", "30-34", "35-39", "40-44", "45-49", "50-54", "55-59", "60-64", "65-69", "70-74", "75-79", "80-84", "85+")</f>
        <v>45-49</v>
      </c>
      <c r="D8333" t="s">
        <v>7</v>
      </c>
    </row>
    <row r="8334" spans="1:4">
      <c r="A8334" t="s">
        <v>6</v>
      </c>
      <c r="B8334">
        <v>38</v>
      </c>
      <c r="C8334" t="str">
        <f>CHOOSE(MATCH(B8334, {20,25,30,35,40,45,50,55,60,65,70,75,80,85}, 1), "20-24", "25-29", "30-34", "35-39", "40-44", "45-49", "50-54", "55-59", "60-64", "65-69", "70-74", "75-79", "80-84", "85+")</f>
        <v>35-39</v>
      </c>
      <c r="D8334" t="s">
        <v>7</v>
      </c>
    </row>
    <row r="8335" spans="1:4">
      <c r="A8335" t="s">
        <v>6</v>
      </c>
      <c r="B8335">
        <v>22</v>
      </c>
      <c r="C8335" t="str">
        <f>CHOOSE(MATCH(B8335, {20,25,30,35,40,45,50,55,60,65,70,75,80,85}, 1), "20-24", "25-29", "30-34", "35-39", "40-44", "45-49", "50-54", "55-59", "60-64", "65-69", "70-74", "75-79", "80-84", "85+")</f>
        <v>20-24</v>
      </c>
      <c r="D8335" t="s">
        <v>7</v>
      </c>
    </row>
    <row r="8336" spans="1:4">
      <c r="A8336" t="s">
        <v>6</v>
      </c>
      <c r="B8336">
        <v>31</v>
      </c>
      <c r="C8336" t="str">
        <f>CHOOSE(MATCH(B8336, {20,25,30,35,40,45,50,55,60,65,70,75,80,85}, 1), "20-24", "25-29", "30-34", "35-39", "40-44", "45-49", "50-54", "55-59", "60-64", "65-69", "70-74", "75-79", "80-84", "85+")</f>
        <v>30-34</v>
      </c>
      <c r="D8336" t="s">
        <v>8</v>
      </c>
    </row>
    <row r="8337" spans="1:4">
      <c r="A8337" t="s">
        <v>6</v>
      </c>
      <c r="B8337">
        <v>32</v>
      </c>
      <c r="C8337" t="str">
        <f>CHOOSE(MATCH(B8337, {20,25,30,35,40,45,50,55,60,65,70,75,80,85}, 1), "20-24", "25-29", "30-34", "35-39", "40-44", "45-49", "50-54", "55-59", "60-64", "65-69", "70-74", "75-79", "80-84", "85+")</f>
        <v>30-34</v>
      </c>
      <c r="D8337" t="s">
        <v>7</v>
      </c>
    </row>
    <row r="8338" spans="1:4">
      <c r="A8338" t="s">
        <v>6</v>
      </c>
      <c r="B8338">
        <v>54</v>
      </c>
      <c r="C8338" t="str">
        <f>CHOOSE(MATCH(B8338, {20,25,30,35,40,45,50,55,60,65,70,75,80,85}, 1), "20-24", "25-29", "30-34", "35-39", "40-44", "45-49", "50-54", "55-59", "60-64", "65-69", "70-74", "75-79", "80-84", "85+")</f>
        <v>50-54</v>
      </c>
      <c r="D8338" t="s">
        <v>7</v>
      </c>
    </row>
    <row r="8339" spans="1:4">
      <c r="A8339" t="s">
        <v>6</v>
      </c>
      <c r="B8339">
        <v>48</v>
      </c>
      <c r="C8339" t="str">
        <f>CHOOSE(MATCH(B8339, {20,25,30,35,40,45,50,55,60,65,70,75,80,85}, 1), "20-24", "25-29", "30-34", "35-39", "40-44", "45-49", "50-54", "55-59", "60-64", "65-69", "70-74", "75-79", "80-84", "85+")</f>
        <v>45-49</v>
      </c>
      <c r="D8339" t="s">
        <v>8</v>
      </c>
    </row>
    <row r="8340" spans="1:4">
      <c r="A8340" t="s">
        <v>6</v>
      </c>
      <c r="B8340">
        <v>27</v>
      </c>
      <c r="C8340" t="str">
        <f>CHOOSE(MATCH(B8340, {20,25,30,35,40,45,50,55,60,65,70,75,80,85}, 1), "20-24", "25-29", "30-34", "35-39", "40-44", "45-49", "50-54", "55-59", "60-64", "65-69", "70-74", "75-79", "80-84", "85+")</f>
        <v>25-29</v>
      </c>
      <c r="D8340" t="s">
        <v>8</v>
      </c>
    </row>
    <row r="8341" spans="1:4">
      <c r="A8341" t="s">
        <v>6</v>
      </c>
      <c r="B8341">
        <v>36</v>
      </c>
      <c r="C8341" t="str">
        <f>CHOOSE(MATCH(B8341, {20,25,30,35,40,45,50,55,60,65,70,75,80,85}, 1), "20-24", "25-29", "30-34", "35-39", "40-44", "45-49", "50-54", "55-59", "60-64", "65-69", "70-74", "75-79", "80-84", "85+")</f>
        <v>35-39</v>
      </c>
      <c r="D8341" t="s">
        <v>7</v>
      </c>
    </row>
    <row r="8342" spans="1:4">
      <c r="A8342" t="s">
        <v>6</v>
      </c>
      <c r="B8342">
        <v>46</v>
      </c>
      <c r="C8342" t="str">
        <f>CHOOSE(MATCH(B8342, {20,25,30,35,40,45,50,55,60,65,70,75,80,85}, 1), "20-24", "25-29", "30-34", "35-39", "40-44", "45-49", "50-54", "55-59", "60-64", "65-69", "70-74", "75-79", "80-84", "85+")</f>
        <v>45-49</v>
      </c>
      <c r="D8342" t="s">
        <v>8</v>
      </c>
    </row>
    <row r="8343" spans="1:4">
      <c r="A8343" t="s">
        <v>6</v>
      </c>
      <c r="B8343">
        <v>32</v>
      </c>
      <c r="C8343" t="str">
        <f>CHOOSE(MATCH(B8343, {20,25,30,35,40,45,50,55,60,65,70,75,80,85}, 1), "20-24", "25-29", "30-34", "35-39", "40-44", "45-49", "50-54", "55-59", "60-64", "65-69", "70-74", "75-79", "80-84", "85+")</f>
        <v>30-34</v>
      </c>
      <c r="D8343" t="s">
        <v>7</v>
      </c>
    </row>
    <row r="8344" spans="1:4">
      <c r="A8344" t="s">
        <v>6</v>
      </c>
      <c r="B8344">
        <v>67</v>
      </c>
      <c r="C8344" t="str">
        <f>CHOOSE(MATCH(B8344, {20,25,30,35,40,45,50,55,60,65,70,75,80,85}, 1), "20-24", "25-29", "30-34", "35-39", "40-44", "45-49", "50-54", "55-59", "60-64", "65-69", "70-74", "75-79", "80-84", "85+")</f>
        <v>65-69</v>
      </c>
      <c r="D8344" t="s">
        <v>8</v>
      </c>
    </row>
    <row r="8345" spans="1:4">
      <c r="A8345" t="s">
        <v>6</v>
      </c>
      <c r="B8345">
        <v>36</v>
      </c>
      <c r="C8345" t="str">
        <f>CHOOSE(MATCH(B8345, {20,25,30,35,40,45,50,55,60,65,70,75,80,85}, 1), "20-24", "25-29", "30-34", "35-39", "40-44", "45-49", "50-54", "55-59", "60-64", "65-69", "70-74", "75-79", "80-84", "85+")</f>
        <v>35-39</v>
      </c>
      <c r="D8345" t="s">
        <v>7</v>
      </c>
    </row>
    <row r="8346" spans="1:4">
      <c r="A8346" t="s">
        <v>6</v>
      </c>
      <c r="B8346">
        <v>22</v>
      </c>
      <c r="C8346" t="str">
        <f>CHOOSE(MATCH(B8346, {20,25,30,35,40,45,50,55,60,65,70,75,80,85}, 1), "20-24", "25-29", "30-34", "35-39", "40-44", "45-49", "50-54", "55-59", "60-64", "65-69", "70-74", "75-79", "80-84", "85+")</f>
        <v>20-24</v>
      </c>
      <c r="D8346" t="s">
        <v>8</v>
      </c>
    </row>
    <row r="8347" spans="1:4">
      <c r="A8347" t="s">
        <v>6</v>
      </c>
      <c r="B8347">
        <v>43</v>
      </c>
      <c r="C8347" t="str">
        <f>CHOOSE(MATCH(B8347, {20,25,30,35,40,45,50,55,60,65,70,75,80,85}, 1), "20-24", "25-29", "30-34", "35-39", "40-44", "45-49", "50-54", "55-59", "60-64", "65-69", "70-74", "75-79", "80-84", "85+")</f>
        <v>40-44</v>
      </c>
      <c r="D8347" t="s">
        <v>7</v>
      </c>
    </row>
    <row r="8348" spans="1:4">
      <c r="A8348" t="s">
        <v>6</v>
      </c>
      <c r="B8348">
        <v>81</v>
      </c>
      <c r="C8348" t="str">
        <f>CHOOSE(MATCH(B8348, {20,25,30,35,40,45,50,55,60,65,70,75,80,85}, 1), "20-24", "25-29", "30-34", "35-39", "40-44", "45-49", "50-54", "55-59", "60-64", "65-69", "70-74", "75-79", "80-84", "85+")</f>
        <v>80-84</v>
      </c>
      <c r="D8348" t="s">
        <v>8</v>
      </c>
    </row>
    <row r="8349" spans="1:4">
      <c r="A8349" t="s">
        <v>6</v>
      </c>
      <c r="B8349">
        <v>45</v>
      </c>
      <c r="C8349" t="str">
        <f>CHOOSE(MATCH(B8349, {20,25,30,35,40,45,50,55,60,65,70,75,80,85}, 1), "20-24", "25-29", "30-34", "35-39", "40-44", "45-49", "50-54", "55-59", "60-64", "65-69", "70-74", "75-79", "80-84", "85+")</f>
        <v>45-49</v>
      </c>
      <c r="D8349" t="s">
        <v>7</v>
      </c>
    </row>
    <row r="8350" spans="1:4">
      <c r="A8350" t="s">
        <v>6</v>
      </c>
      <c r="B8350">
        <v>31</v>
      </c>
      <c r="C8350" t="str">
        <f>CHOOSE(MATCH(B8350, {20,25,30,35,40,45,50,55,60,65,70,75,80,85}, 1), "20-24", "25-29", "30-34", "35-39", "40-44", "45-49", "50-54", "55-59", "60-64", "65-69", "70-74", "75-79", "80-84", "85+")</f>
        <v>30-34</v>
      </c>
      <c r="D8350" t="s">
        <v>8</v>
      </c>
    </row>
    <row r="8351" spans="1:4">
      <c r="A8351" t="s">
        <v>6</v>
      </c>
      <c r="B8351">
        <v>47</v>
      </c>
      <c r="C8351" t="str">
        <f>CHOOSE(MATCH(B8351, {20,25,30,35,40,45,50,55,60,65,70,75,80,85}, 1), "20-24", "25-29", "30-34", "35-39", "40-44", "45-49", "50-54", "55-59", "60-64", "65-69", "70-74", "75-79", "80-84", "85+")</f>
        <v>45-49</v>
      </c>
      <c r="D8351" t="s">
        <v>8</v>
      </c>
    </row>
    <row r="8352" spans="1:4">
      <c r="A8352" t="s">
        <v>6</v>
      </c>
      <c r="B8352">
        <v>60</v>
      </c>
      <c r="C8352" t="str">
        <f>CHOOSE(MATCH(B8352, {20,25,30,35,40,45,50,55,60,65,70,75,80,85}, 1), "20-24", "25-29", "30-34", "35-39", "40-44", "45-49", "50-54", "55-59", "60-64", "65-69", "70-74", "75-79", "80-84", "85+")</f>
        <v>60-64</v>
      </c>
      <c r="D8352" t="s">
        <v>7</v>
      </c>
    </row>
    <row r="8353" spans="1:4">
      <c r="A8353" t="s">
        <v>6</v>
      </c>
      <c r="B8353">
        <v>40</v>
      </c>
      <c r="C8353" t="str">
        <f>CHOOSE(MATCH(B8353, {20,25,30,35,40,45,50,55,60,65,70,75,80,85}, 1), "20-24", "25-29", "30-34", "35-39", "40-44", "45-49", "50-54", "55-59", "60-64", "65-69", "70-74", "75-79", "80-84", "85+")</f>
        <v>40-44</v>
      </c>
      <c r="D8353" t="s">
        <v>7</v>
      </c>
    </row>
    <row r="8354" spans="1:4">
      <c r="A8354" t="s">
        <v>6</v>
      </c>
      <c r="B8354">
        <v>40</v>
      </c>
      <c r="C8354" t="str">
        <f>CHOOSE(MATCH(B8354, {20,25,30,35,40,45,50,55,60,65,70,75,80,85}, 1), "20-24", "25-29", "30-34", "35-39", "40-44", "45-49", "50-54", "55-59", "60-64", "65-69", "70-74", "75-79", "80-84", "85+")</f>
        <v>40-44</v>
      </c>
      <c r="D8354" t="s">
        <v>8</v>
      </c>
    </row>
    <row r="8355" spans="1:4">
      <c r="A8355" t="s">
        <v>6</v>
      </c>
      <c r="B8355">
        <v>30</v>
      </c>
      <c r="C8355" t="str">
        <f>CHOOSE(MATCH(B8355, {20,25,30,35,40,45,50,55,60,65,70,75,80,85}, 1), "20-24", "25-29", "30-34", "35-39", "40-44", "45-49", "50-54", "55-59", "60-64", "65-69", "70-74", "75-79", "80-84", "85+")</f>
        <v>30-34</v>
      </c>
      <c r="D8355" t="s">
        <v>7</v>
      </c>
    </row>
    <row r="8356" spans="1:4">
      <c r="A8356" t="s">
        <v>6</v>
      </c>
      <c r="B8356">
        <v>54</v>
      </c>
      <c r="C8356" t="str">
        <f>CHOOSE(MATCH(B8356, {20,25,30,35,40,45,50,55,60,65,70,75,80,85}, 1), "20-24", "25-29", "30-34", "35-39", "40-44", "45-49", "50-54", "55-59", "60-64", "65-69", "70-74", "75-79", "80-84", "85+")</f>
        <v>50-54</v>
      </c>
      <c r="D8356" t="s">
        <v>7</v>
      </c>
    </row>
    <row r="8357" spans="1:4">
      <c r="A8357" t="s">
        <v>6</v>
      </c>
      <c r="B8357">
        <v>39</v>
      </c>
      <c r="C8357" t="str">
        <f>CHOOSE(MATCH(B8357, {20,25,30,35,40,45,50,55,60,65,70,75,80,85}, 1), "20-24", "25-29", "30-34", "35-39", "40-44", "45-49", "50-54", "55-59", "60-64", "65-69", "70-74", "75-79", "80-84", "85+")</f>
        <v>35-39</v>
      </c>
      <c r="D8357" t="s">
        <v>8</v>
      </c>
    </row>
    <row r="8358" spans="1:4">
      <c r="A8358" t="s">
        <v>6</v>
      </c>
      <c r="B8358">
        <v>50</v>
      </c>
      <c r="C8358" t="str">
        <f>CHOOSE(MATCH(B8358, {20,25,30,35,40,45,50,55,60,65,70,75,80,85}, 1), "20-24", "25-29", "30-34", "35-39", "40-44", "45-49", "50-54", "55-59", "60-64", "65-69", "70-74", "75-79", "80-84", "85+")</f>
        <v>50-54</v>
      </c>
      <c r="D8358" t="s">
        <v>8</v>
      </c>
    </row>
    <row r="8359" spans="1:4">
      <c r="A8359" t="s">
        <v>6</v>
      </c>
      <c r="B8359">
        <v>42</v>
      </c>
      <c r="C8359" t="str">
        <f>CHOOSE(MATCH(B8359, {20,25,30,35,40,45,50,55,60,65,70,75,80,85}, 1), "20-24", "25-29", "30-34", "35-39", "40-44", "45-49", "50-54", "55-59", "60-64", "65-69", "70-74", "75-79", "80-84", "85+")</f>
        <v>40-44</v>
      </c>
      <c r="D8359" t="s">
        <v>7</v>
      </c>
    </row>
    <row r="8360" spans="1:4">
      <c r="A8360" t="s">
        <v>6</v>
      </c>
      <c r="B8360">
        <v>37</v>
      </c>
      <c r="C8360" t="str">
        <f>CHOOSE(MATCH(B8360, {20,25,30,35,40,45,50,55,60,65,70,75,80,85}, 1), "20-24", "25-29", "30-34", "35-39", "40-44", "45-49", "50-54", "55-59", "60-64", "65-69", "70-74", "75-79", "80-84", "85+")</f>
        <v>35-39</v>
      </c>
      <c r="D8360" t="s">
        <v>7</v>
      </c>
    </row>
    <row r="8361" spans="1:4">
      <c r="A8361" t="s">
        <v>6</v>
      </c>
      <c r="B8361">
        <v>47</v>
      </c>
      <c r="C8361" t="str">
        <f>CHOOSE(MATCH(B8361, {20,25,30,35,40,45,50,55,60,65,70,75,80,85}, 1), "20-24", "25-29", "30-34", "35-39", "40-44", "45-49", "50-54", "55-59", "60-64", "65-69", "70-74", "75-79", "80-84", "85+")</f>
        <v>45-49</v>
      </c>
      <c r="D8361" t="s">
        <v>7</v>
      </c>
    </row>
    <row r="8362" spans="1:4">
      <c r="A8362" t="s">
        <v>6</v>
      </c>
      <c r="B8362">
        <v>22</v>
      </c>
      <c r="C8362" t="str">
        <f>CHOOSE(MATCH(B8362, {20,25,30,35,40,45,50,55,60,65,70,75,80,85}, 1), "20-24", "25-29", "30-34", "35-39", "40-44", "45-49", "50-54", "55-59", "60-64", "65-69", "70-74", "75-79", "80-84", "85+")</f>
        <v>20-24</v>
      </c>
      <c r="D8362" t="s">
        <v>7</v>
      </c>
    </row>
    <row r="8363" spans="1:4">
      <c r="A8363" t="s">
        <v>6</v>
      </c>
      <c r="B8363">
        <v>37</v>
      </c>
      <c r="C8363" t="str">
        <f>CHOOSE(MATCH(B8363, {20,25,30,35,40,45,50,55,60,65,70,75,80,85}, 1), "20-24", "25-29", "30-34", "35-39", "40-44", "45-49", "50-54", "55-59", "60-64", "65-69", "70-74", "75-79", "80-84", "85+")</f>
        <v>35-39</v>
      </c>
      <c r="D8363" t="s">
        <v>7</v>
      </c>
    </row>
    <row r="8364" spans="1:4">
      <c r="A8364" t="s">
        <v>6</v>
      </c>
      <c r="B8364">
        <v>24</v>
      </c>
      <c r="C8364" t="str">
        <f>CHOOSE(MATCH(B8364, {20,25,30,35,40,45,50,55,60,65,70,75,80,85}, 1), "20-24", "25-29", "30-34", "35-39", "40-44", "45-49", "50-54", "55-59", "60-64", "65-69", "70-74", "75-79", "80-84", "85+")</f>
        <v>20-24</v>
      </c>
      <c r="D8364" t="s">
        <v>7</v>
      </c>
    </row>
    <row r="8365" spans="1:4">
      <c r="A8365" t="s">
        <v>6</v>
      </c>
      <c r="B8365">
        <v>27</v>
      </c>
      <c r="C8365" t="str">
        <f>CHOOSE(MATCH(B8365, {20,25,30,35,40,45,50,55,60,65,70,75,80,85}, 1), "20-24", "25-29", "30-34", "35-39", "40-44", "45-49", "50-54", "55-59", "60-64", "65-69", "70-74", "75-79", "80-84", "85+")</f>
        <v>25-29</v>
      </c>
      <c r="D8365" t="s">
        <v>7</v>
      </c>
    </row>
    <row r="8366" spans="1:4">
      <c r="A8366" t="s">
        <v>6</v>
      </c>
      <c r="B8366">
        <v>82</v>
      </c>
      <c r="C8366" t="str">
        <f>CHOOSE(MATCH(B8366, {20,25,30,35,40,45,50,55,60,65,70,75,80,85}, 1), "20-24", "25-29", "30-34", "35-39", "40-44", "45-49", "50-54", "55-59", "60-64", "65-69", "70-74", "75-79", "80-84", "85+")</f>
        <v>80-84</v>
      </c>
      <c r="D8366" t="s">
        <v>7</v>
      </c>
    </row>
    <row r="8367" spans="1:4">
      <c r="A8367" t="s">
        <v>6</v>
      </c>
      <c r="B8367">
        <v>36</v>
      </c>
      <c r="C8367" t="str">
        <f>CHOOSE(MATCH(B8367, {20,25,30,35,40,45,50,55,60,65,70,75,80,85}, 1), "20-24", "25-29", "30-34", "35-39", "40-44", "45-49", "50-54", "55-59", "60-64", "65-69", "70-74", "75-79", "80-84", "85+")</f>
        <v>35-39</v>
      </c>
      <c r="D8367" t="s">
        <v>7</v>
      </c>
    </row>
    <row r="8368" spans="1:4">
      <c r="A8368" t="s">
        <v>6</v>
      </c>
      <c r="B8368">
        <v>46</v>
      </c>
      <c r="C8368" t="str">
        <f>CHOOSE(MATCH(B8368, {20,25,30,35,40,45,50,55,60,65,70,75,80,85}, 1), "20-24", "25-29", "30-34", "35-39", "40-44", "45-49", "50-54", "55-59", "60-64", "65-69", "70-74", "75-79", "80-84", "85+")</f>
        <v>45-49</v>
      </c>
      <c r="D8368" t="s">
        <v>7</v>
      </c>
    </row>
    <row r="8369" spans="1:4">
      <c r="A8369" t="s">
        <v>6</v>
      </c>
      <c r="B8369">
        <v>72</v>
      </c>
      <c r="C8369" t="str">
        <f>CHOOSE(MATCH(B8369, {20,25,30,35,40,45,50,55,60,65,70,75,80,85}, 1), "20-24", "25-29", "30-34", "35-39", "40-44", "45-49", "50-54", "55-59", "60-64", "65-69", "70-74", "75-79", "80-84", "85+")</f>
        <v>70-74</v>
      </c>
      <c r="D8369" t="s">
        <v>7</v>
      </c>
    </row>
    <row r="8370" spans="1:4">
      <c r="A8370" t="s">
        <v>6</v>
      </c>
      <c r="B8370">
        <v>45</v>
      </c>
      <c r="C8370" t="str">
        <f>CHOOSE(MATCH(B8370, {20,25,30,35,40,45,50,55,60,65,70,75,80,85}, 1), "20-24", "25-29", "30-34", "35-39", "40-44", "45-49", "50-54", "55-59", "60-64", "65-69", "70-74", "75-79", "80-84", "85+")</f>
        <v>45-49</v>
      </c>
      <c r="D8370" t="s">
        <v>8</v>
      </c>
    </row>
    <row r="8371" spans="1:4">
      <c r="A8371" t="s">
        <v>6</v>
      </c>
      <c r="B8371">
        <v>49</v>
      </c>
      <c r="C8371" t="str">
        <f>CHOOSE(MATCH(B8371, {20,25,30,35,40,45,50,55,60,65,70,75,80,85}, 1), "20-24", "25-29", "30-34", "35-39", "40-44", "45-49", "50-54", "55-59", "60-64", "65-69", "70-74", "75-79", "80-84", "85+")</f>
        <v>45-49</v>
      </c>
      <c r="D8371" t="s">
        <v>8</v>
      </c>
    </row>
    <row r="8372" spans="1:4">
      <c r="A8372" t="s">
        <v>6</v>
      </c>
      <c r="B8372">
        <v>23</v>
      </c>
      <c r="C8372" t="str">
        <f>CHOOSE(MATCH(B8372, {20,25,30,35,40,45,50,55,60,65,70,75,80,85}, 1), "20-24", "25-29", "30-34", "35-39", "40-44", "45-49", "50-54", "55-59", "60-64", "65-69", "70-74", "75-79", "80-84", "85+")</f>
        <v>20-24</v>
      </c>
      <c r="D8372" t="s">
        <v>8</v>
      </c>
    </row>
    <row r="8373" spans="1:4">
      <c r="A8373" t="s">
        <v>6</v>
      </c>
      <c r="B8373">
        <v>49</v>
      </c>
      <c r="C8373" t="str">
        <f>CHOOSE(MATCH(B8373, {20,25,30,35,40,45,50,55,60,65,70,75,80,85}, 1), "20-24", "25-29", "30-34", "35-39", "40-44", "45-49", "50-54", "55-59", "60-64", "65-69", "70-74", "75-79", "80-84", "85+")</f>
        <v>45-49</v>
      </c>
      <c r="D8373" t="s">
        <v>8</v>
      </c>
    </row>
    <row r="8374" spans="1:4">
      <c r="A8374" t="s">
        <v>6</v>
      </c>
      <c r="B8374">
        <v>28</v>
      </c>
      <c r="C8374" t="str">
        <f>CHOOSE(MATCH(B8374, {20,25,30,35,40,45,50,55,60,65,70,75,80,85}, 1), "20-24", "25-29", "30-34", "35-39", "40-44", "45-49", "50-54", "55-59", "60-64", "65-69", "70-74", "75-79", "80-84", "85+")</f>
        <v>25-29</v>
      </c>
      <c r="D8374" t="s">
        <v>7</v>
      </c>
    </row>
    <row r="8375" spans="1:4">
      <c r="A8375" t="s">
        <v>6</v>
      </c>
      <c r="B8375">
        <v>38</v>
      </c>
      <c r="C8375" t="str">
        <f>CHOOSE(MATCH(B8375, {20,25,30,35,40,45,50,55,60,65,70,75,80,85}, 1), "20-24", "25-29", "30-34", "35-39", "40-44", "45-49", "50-54", "55-59", "60-64", "65-69", "70-74", "75-79", "80-84", "85+")</f>
        <v>35-39</v>
      </c>
      <c r="D8375" t="s">
        <v>8</v>
      </c>
    </row>
    <row r="8376" spans="1:4">
      <c r="A8376" t="s">
        <v>6</v>
      </c>
      <c r="B8376">
        <v>43</v>
      </c>
      <c r="C8376" t="str">
        <f>CHOOSE(MATCH(B8376, {20,25,30,35,40,45,50,55,60,65,70,75,80,85}, 1), "20-24", "25-29", "30-34", "35-39", "40-44", "45-49", "50-54", "55-59", "60-64", "65-69", "70-74", "75-79", "80-84", "85+")</f>
        <v>40-44</v>
      </c>
      <c r="D8376" t="s">
        <v>7</v>
      </c>
    </row>
    <row r="8377" spans="1:4">
      <c r="A8377" t="s">
        <v>6</v>
      </c>
      <c r="B8377">
        <v>36</v>
      </c>
      <c r="C8377" t="str">
        <f>CHOOSE(MATCH(B8377, {20,25,30,35,40,45,50,55,60,65,70,75,80,85}, 1), "20-24", "25-29", "30-34", "35-39", "40-44", "45-49", "50-54", "55-59", "60-64", "65-69", "70-74", "75-79", "80-84", "85+")</f>
        <v>35-39</v>
      </c>
      <c r="D8377" t="s">
        <v>7</v>
      </c>
    </row>
    <row r="8378" spans="1:4">
      <c r="A8378" t="s">
        <v>6</v>
      </c>
      <c r="B8378">
        <v>44</v>
      </c>
      <c r="C8378" t="str">
        <f>CHOOSE(MATCH(B8378, {20,25,30,35,40,45,50,55,60,65,70,75,80,85}, 1), "20-24", "25-29", "30-34", "35-39", "40-44", "45-49", "50-54", "55-59", "60-64", "65-69", "70-74", "75-79", "80-84", "85+")</f>
        <v>40-44</v>
      </c>
      <c r="D8378" t="s">
        <v>8</v>
      </c>
    </row>
    <row r="8379" spans="1:4">
      <c r="A8379" t="s">
        <v>6</v>
      </c>
      <c r="B8379">
        <v>31</v>
      </c>
      <c r="C8379" t="str">
        <f>CHOOSE(MATCH(B8379, {20,25,30,35,40,45,50,55,60,65,70,75,80,85}, 1), "20-24", "25-29", "30-34", "35-39", "40-44", "45-49", "50-54", "55-59", "60-64", "65-69", "70-74", "75-79", "80-84", "85+")</f>
        <v>30-34</v>
      </c>
      <c r="D8379" t="s">
        <v>7</v>
      </c>
    </row>
    <row r="8380" spans="1:4">
      <c r="A8380" t="s">
        <v>6</v>
      </c>
      <c r="B8380">
        <v>28</v>
      </c>
      <c r="C8380" t="str">
        <f>CHOOSE(MATCH(B8380, {20,25,30,35,40,45,50,55,60,65,70,75,80,85}, 1), "20-24", "25-29", "30-34", "35-39", "40-44", "45-49", "50-54", "55-59", "60-64", "65-69", "70-74", "75-79", "80-84", "85+")</f>
        <v>25-29</v>
      </c>
      <c r="D8380" t="s">
        <v>7</v>
      </c>
    </row>
    <row r="8381" spans="1:4">
      <c r="A8381" t="s">
        <v>6</v>
      </c>
      <c r="B8381">
        <v>35</v>
      </c>
      <c r="C8381" t="str">
        <f>CHOOSE(MATCH(B8381, {20,25,30,35,40,45,50,55,60,65,70,75,80,85}, 1), "20-24", "25-29", "30-34", "35-39", "40-44", "45-49", "50-54", "55-59", "60-64", "65-69", "70-74", "75-79", "80-84", "85+")</f>
        <v>35-39</v>
      </c>
      <c r="D8381" t="s">
        <v>8</v>
      </c>
    </row>
    <row r="8382" spans="1:4">
      <c r="A8382" t="s">
        <v>6</v>
      </c>
      <c r="B8382">
        <v>45</v>
      </c>
      <c r="C8382" t="str">
        <f>CHOOSE(MATCH(B8382, {20,25,30,35,40,45,50,55,60,65,70,75,80,85}, 1), "20-24", "25-29", "30-34", "35-39", "40-44", "45-49", "50-54", "55-59", "60-64", "65-69", "70-74", "75-79", "80-84", "85+")</f>
        <v>45-49</v>
      </c>
      <c r="D8382" t="s">
        <v>8</v>
      </c>
    </row>
    <row r="8383" spans="1:4">
      <c r="A8383" t="s">
        <v>6</v>
      </c>
      <c r="B8383">
        <v>28</v>
      </c>
      <c r="C8383" t="str">
        <f>CHOOSE(MATCH(B8383, {20,25,30,35,40,45,50,55,60,65,70,75,80,85}, 1), "20-24", "25-29", "30-34", "35-39", "40-44", "45-49", "50-54", "55-59", "60-64", "65-69", "70-74", "75-79", "80-84", "85+")</f>
        <v>25-29</v>
      </c>
      <c r="D8383" t="s">
        <v>8</v>
      </c>
    </row>
    <row r="8384" spans="1:4">
      <c r="A8384" t="s">
        <v>6</v>
      </c>
      <c r="B8384">
        <v>48</v>
      </c>
      <c r="C8384" t="str">
        <f>CHOOSE(MATCH(B8384, {20,25,30,35,40,45,50,55,60,65,70,75,80,85}, 1), "20-24", "25-29", "30-34", "35-39", "40-44", "45-49", "50-54", "55-59", "60-64", "65-69", "70-74", "75-79", "80-84", "85+")</f>
        <v>45-49</v>
      </c>
      <c r="D8384" t="s">
        <v>8</v>
      </c>
    </row>
    <row r="8385" spans="1:4">
      <c r="A8385" t="s">
        <v>6</v>
      </c>
      <c r="B8385">
        <v>51</v>
      </c>
      <c r="C8385" t="str">
        <f>CHOOSE(MATCH(B8385, {20,25,30,35,40,45,50,55,60,65,70,75,80,85}, 1), "20-24", "25-29", "30-34", "35-39", "40-44", "45-49", "50-54", "55-59", "60-64", "65-69", "70-74", "75-79", "80-84", "85+")</f>
        <v>50-54</v>
      </c>
      <c r="D8385" t="s">
        <v>8</v>
      </c>
    </row>
    <row r="8386" spans="1:4">
      <c r="A8386" t="s">
        <v>6</v>
      </c>
      <c r="B8386">
        <v>41</v>
      </c>
      <c r="C8386" t="str">
        <f>CHOOSE(MATCH(B8386, {20,25,30,35,40,45,50,55,60,65,70,75,80,85}, 1), "20-24", "25-29", "30-34", "35-39", "40-44", "45-49", "50-54", "55-59", "60-64", "65-69", "70-74", "75-79", "80-84", "85+")</f>
        <v>40-44</v>
      </c>
      <c r="D8386" t="s">
        <v>7</v>
      </c>
    </row>
    <row r="8387" spans="1:4">
      <c r="A8387" t="s">
        <v>6</v>
      </c>
      <c r="B8387">
        <v>33</v>
      </c>
      <c r="C8387" t="str">
        <f>CHOOSE(MATCH(B8387, {20,25,30,35,40,45,50,55,60,65,70,75,80,85}, 1), "20-24", "25-29", "30-34", "35-39", "40-44", "45-49", "50-54", "55-59", "60-64", "65-69", "70-74", "75-79", "80-84", "85+")</f>
        <v>30-34</v>
      </c>
      <c r="D8387" t="s">
        <v>7</v>
      </c>
    </row>
    <row r="8388" spans="1:4">
      <c r="A8388" t="s">
        <v>6</v>
      </c>
      <c r="B8388">
        <v>27</v>
      </c>
      <c r="C8388" t="str">
        <f>CHOOSE(MATCH(B8388, {20,25,30,35,40,45,50,55,60,65,70,75,80,85}, 1), "20-24", "25-29", "30-34", "35-39", "40-44", "45-49", "50-54", "55-59", "60-64", "65-69", "70-74", "75-79", "80-84", "85+")</f>
        <v>25-29</v>
      </c>
      <c r="D8388" t="s">
        <v>8</v>
      </c>
    </row>
    <row r="8389" spans="1:4">
      <c r="A8389" t="s">
        <v>6</v>
      </c>
      <c r="B8389">
        <v>49</v>
      </c>
      <c r="C8389" t="str">
        <f>CHOOSE(MATCH(B8389, {20,25,30,35,40,45,50,55,60,65,70,75,80,85}, 1), "20-24", "25-29", "30-34", "35-39", "40-44", "45-49", "50-54", "55-59", "60-64", "65-69", "70-74", "75-79", "80-84", "85+")</f>
        <v>45-49</v>
      </c>
      <c r="D8389" t="s">
        <v>7</v>
      </c>
    </row>
    <row r="8390" spans="1:4">
      <c r="A8390" t="s">
        <v>6</v>
      </c>
      <c r="B8390">
        <v>32</v>
      </c>
      <c r="C8390" t="str">
        <f>CHOOSE(MATCH(B8390, {20,25,30,35,40,45,50,55,60,65,70,75,80,85}, 1), "20-24", "25-29", "30-34", "35-39", "40-44", "45-49", "50-54", "55-59", "60-64", "65-69", "70-74", "75-79", "80-84", "85+")</f>
        <v>30-34</v>
      </c>
      <c r="D8390" t="s">
        <v>7</v>
      </c>
    </row>
    <row r="8391" spans="1:4">
      <c r="A8391" t="s">
        <v>6</v>
      </c>
      <c r="B8391">
        <v>26</v>
      </c>
      <c r="C8391" t="str">
        <f>CHOOSE(MATCH(B8391, {20,25,30,35,40,45,50,55,60,65,70,75,80,85}, 1), "20-24", "25-29", "30-34", "35-39", "40-44", "45-49", "50-54", "55-59", "60-64", "65-69", "70-74", "75-79", "80-84", "85+")</f>
        <v>25-29</v>
      </c>
      <c r="D8391" t="s">
        <v>7</v>
      </c>
    </row>
    <row r="8392" spans="1:4">
      <c r="A8392" t="s">
        <v>6</v>
      </c>
      <c r="B8392">
        <v>44</v>
      </c>
      <c r="C8392" t="str">
        <f>CHOOSE(MATCH(B8392, {20,25,30,35,40,45,50,55,60,65,70,75,80,85}, 1), "20-24", "25-29", "30-34", "35-39", "40-44", "45-49", "50-54", "55-59", "60-64", "65-69", "70-74", "75-79", "80-84", "85+")</f>
        <v>40-44</v>
      </c>
      <c r="D8392" t="s">
        <v>8</v>
      </c>
    </row>
    <row r="8393" spans="1:4">
      <c r="A8393" t="s">
        <v>6</v>
      </c>
      <c r="B8393">
        <v>28</v>
      </c>
      <c r="C8393" t="str">
        <f>CHOOSE(MATCH(B8393, {20,25,30,35,40,45,50,55,60,65,70,75,80,85}, 1), "20-24", "25-29", "30-34", "35-39", "40-44", "45-49", "50-54", "55-59", "60-64", "65-69", "70-74", "75-79", "80-84", "85+")</f>
        <v>25-29</v>
      </c>
      <c r="D8393" t="s">
        <v>8</v>
      </c>
    </row>
    <row r="8394" spans="1:4">
      <c r="A8394" t="s">
        <v>6</v>
      </c>
      <c r="B8394">
        <v>62</v>
      </c>
      <c r="C8394" t="str">
        <f>CHOOSE(MATCH(B8394, {20,25,30,35,40,45,50,55,60,65,70,75,80,85}, 1), "20-24", "25-29", "30-34", "35-39", "40-44", "45-49", "50-54", "55-59", "60-64", "65-69", "70-74", "75-79", "80-84", "85+")</f>
        <v>60-64</v>
      </c>
      <c r="D8394" t="s">
        <v>7</v>
      </c>
    </row>
    <row r="8395" spans="1:4">
      <c r="A8395" t="s">
        <v>6</v>
      </c>
      <c r="B8395">
        <v>41</v>
      </c>
      <c r="C8395" t="str">
        <f>CHOOSE(MATCH(B8395, {20,25,30,35,40,45,50,55,60,65,70,75,80,85}, 1), "20-24", "25-29", "30-34", "35-39", "40-44", "45-49", "50-54", "55-59", "60-64", "65-69", "70-74", "75-79", "80-84", "85+")</f>
        <v>40-44</v>
      </c>
      <c r="D8395" t="s">
        <v>7</v>
      </c>
    </row>
    <row r="8396" spans="1:4">
      <c r="A8396" t="s">
        <v>6</v>
      </c>
      <c r="B8396">
        <v>40</v>
      </c>
      <c r="C8396" t="str">
        <f>CHOOSE(MATCH(B8396, {20,25,30,35,40,45,50,55,60,65,70,75,80,85}, 1), "20-24", "25-29", "30-34", "35-39", "40-44", "45-49", "50-54", "55-59", "60-64", "65-69", "70-74", "75-79", "80-84", "85+")</f>
        <v>40-44</v>
      </c>
      <c r="D8396" t="s">
        <v>7</v>
      </c>
    </row>
    <row r="8397" spans="1:4">
      <c r="A8397" t="s">
        <v>6</v>
      </c>
      <c r="B8397">
        <v>27</v>
      </c>
      <c r="C8397" t="str">
        <f>CHOOSE(MATCH(B8397, {20,25,30,35,40,45,50,55,60,65,70,75,80,85}, 1), "20-24", "25-29", "30-34", "35-39", "40-44", "45-49", "50-54", "55-59", "60-64", "65-69", "70-74", "75-79", "80-84", "85+")</f>
        <v>25-29</v>
      </c>
      <c r="D8397" t="s">
        <v>7</v>
      </c>
    </row>
    <row r="8398" spans="1:4">
      <c r="A8398" t="s">
        <v>6</v>
      </c>
      <c r="B8398">
        <v>54</v>
      </c>
      <c r="C8398" t="str">
        <f>CHOOSE(MATCH(B8398, {20,25,30,35,40,45,50,55,60,65,70,75,80,85}, 1), "20-24", "25-29", "30-34", "35-39", "40-44", "45-49", "50-54", "55-59", "60-64", "65-69", "70-74", "75-79", "80-84", "85+")</f>
        <v>50-54</v>
      </c>
      <c r="D8398" t="s">
        <v>7</v>
      </c>
    </row>
    <row r="8399" spans="1:4">
      <c r="A8399" t="s">
        <v>6</v>
      </c>
      <c r="B8399">
        <v>36</v>
      </c>
      <c r="C8399" t="str">
        <f>CHOOSE(MATCH(B8399, {20,25,30,35,40,45,50,55,60,65,70,75,80,85}, 1), "20-24", "25-29", "30-34", "35-39", "40-44", "45-49", "50-54", "55-59", "60-64", "65-69", "70-74", "75-79", "80-84", "85+")</f>
        <v>35-39</v>
      </c>
      <c r="D8399" t="s">
        <v>7</v>
      </c>
    </row>
    <row r="8400" spans="1:4">
      <c r="A8400" t="s">
        <v>6</v>
      </c>
      <c r="B8400">
        <v>36</v>
      </c>
      <c r="C8400" t="str">
        <f>CHOOSE(MATCH(B8400, {20,25,30,35,40,45,50,55,60,65,70,75,80,85}, 1), "20-24", "25-29", "30-34", "35-39", "40-44", "45-49", "50-54", "55-59", "60-64", "65-69", "70-74", "75-79", "80-84", "85+")</f>
        <v>35-39</v>
      </c>
      <c r="D8400" t="s">
        <v>7</v>
      </c>
    </row>
    <row r="8401" spans="1:4">
      <c r="A8401" t="s">
        <v>6</v>
      </c>
      <c r="B8401">
        <v>43</v>
      </c>
      <c r="C8401" t="str">
        <f>CHOOSE(MATCH(B8401, {20,25,30,35,40,45,50,55,60,65,70,75,80,85}, 1), "20-24", "25-29", "30-34", "35-39", "40-44", "45-49", "50-54", "55-59", "60-64", "65-69", "70-74", "75-79", "80-84", "85+")</f>
        <v>40-44</v>
      </c>
      <c r="D8401" t="s">
        <v>7</v>
      </c>
    </row>
    <row r="8402" spans="1:4">
      <c r="A8402" t="s">
        <v>6</v>
      </c>
      <c r="B8402">
        <v>28</v>
      </c>
      <c r="C8402" t="str">
        <f>CHOOSE(MATCH(B8402, {20,25,30,35,40,45,50,55,60,65,70,75,80,85}, 1), "20-24", "25-29", "30-34", "35-39", "40-44", "45-49", "50-54", "55-59", "60-64", "65-69", "70-74", "75-79", "80-84", "85+")</f>
        <v>25-29</v>
      </c>
      <c r="D8402" t="s">
        <v>7</v>
      </c>
    </row>
    <row r="8403" spans="1:4">
      <c r="A8403" t="s">
        <v>6</v>
      </c>
      <c r="B8403">
        <v>54</v>
      </c>
      <c r="C8403" t="str">
        <f>CHOOSE(MATCH(B8403, {20,25,30,35,40,45,50,55,60,65,70,75,80,85}, 1), "20-24", "25-29", "30-34", "35-39", "40-44", "45-49", "50-54", "55-59", "60-64", "65-69", "70-74", "75-79", "80-84", "85+")</f>
        <v>50-54</v>
      </c>
      <c r="D8403" t="s">
        <v>8</v>
      </c>
    </row>
    <row r="8404" spans="1:4">
      <c r="A8404" t="s">
        <v>6</v>
      </c>
      <c r="B8404">
        <v>52</v>
      </c>
      <c r="C8404" t="str">
        <f>CHOOSE(MATCH(B8404, {20,25,30,35,40,45,50,55,60,65,70,75,80,85}, 1), "20-24", "25-29", "30-34", "35-39", "40-44", "45-49", "50-54", "55-59", "60-64", "65-69", "70-74", "75-79", "80-84", "85+")</f>
        <v>50-54</v>
      </c>
      <c r="D8404" t="s">
        <v>8</v>
      </c>
    </row>
    <row r="8405" spans="1:4">
      <c r="A8405" t="s">
        <v>6</v>
      </c>
      <c r="B8405">
        <v>32</v>
      </c>
      <c r="C8405" t="str">
        <f>CHOOSE(MATCH(B8405, {20,25,30,35,40,45,50,55,60,65,70,75,80,85}, 1), "20-24", "25-29", "30-34", "35-39", "40-44", "45-49", "50-54", "55-59", "60-64", "65-69", "70-74", "75-79", "80-84", "85+")</f>
        <v>30-34</v>
      </c>
      <c r="D8405" t="s">
        <v>7</v>
      </c>
    </row>
    <row r="8406" spans="1:4">
      <c r="A8406" t="s">
        <v>6</v>
      </c>
      <c r="B8406">
        <v>33</v>
      </c>
      <c r="C8406" t="str">
        <f>CHOOSE(MATCH(B8406, {20,25,30,35,40,45,50,55,60,65,70,75,80,85}, 1), "20-24", "25-29", "30-34", "35-39", "40-44", "45-49", "50-54", "55-59", "60-64", "65-69", "70-74", "75-79", "80-84", "85+")</f>
        <v>30-34</v>
      </c>
      <c r="D8406" t="s">
        <v>8</v>
      </c>
    </row>
    <row r="8407" spans="1:4">
      <c r="A8407" t="s">
        <v>6</v>
      </c>
      <c r="B8407">
        <v>28</v>
      </c>
      <c r="C8407" t="str">
        <f>CHOOSE(MATCH(B8407, {20,25,30,35,40,45,50,55,60,65,70,75,80,85}, 1), "20-24", "25-29", "30-34", "35-39", "40-44", "45-49", "50-54", "55-59", "60-64", "65-69", "70-74", "75-79", "80-84", "85+")</f>
        <v>25-29</v>
      </c>
      <c r="D8407" t="s">
        <v>7</v>
      </c>
    </row>
    <row r="8408" spans="1:4">
      <c r="A8408" t="s">
        <v>6</v>
      </c>
      <c r="B8408">
        <v>28</v>
      </c>
      <c r="C8408" t="str">
        <f>CHOOSE(MATCH(B8408, {20,25,30,35,40,45,50,55,60,65,70,75,80,85}, 1), "20-24", "25-29", "30-34", "35-39", "40-44", "45-49", "50-54", "55-59", "60-64", "65-69", "70-74", "75-79", "80-84", "85+")</f>
        <v>25-29</v>
      </c>
      <c r="D8408" t="s">
        <v>7</v>
      </c>
    </row>
    <row r="8409" spans="1:4">
      <c r="A8409" t="s">
        <v>6</v>
      </c>
      <c r="B8409">
        <v>42</v>
      </c>
      <c r="C8409" t="str">
        <f>CHOOSE(MATCH(B8409, {20,25,30,35,40,45,50,55,60,65,70,75,80,85}, 1), "20-24", "25-29", "30-34", "35-39", "40-44", "45-49", "50-54", "55-59", "60-64", "65-69", "70-74", "75-79", "80-84", "85+")</f>
        <v>40-44</v>
      </c>
      <c r="D8409" t="s">
        <v>8</v>
      </c>
    </row>
    <row r="8410" spans="1:4">
      <c r="A8410" t="s">
        <v>6</v>
      </c>
      <c r="B8410">
        <v>30</v>
      </c>
      <c r="C8410" t="str">
        <f>CHOOSE(MATCH(B8410, {20,25,30,35,40,45,50,55,60,65,70,75,80,85}, 1), "20-24", "25-29", "30-34", "35-39", "40-44", "45-49", "50-54", "55-59", "60-64", "65-69", "70-74", "75-79", "80-84", "85+")</f>
        <v>30-34</v>
      </c>
      <c r="D8410" t="s">
        <v>7</v>
      </c>
    </row>
    <row r="8411" spans="1:4">
      <c r="A8411" t="s">
        <v>6</v>
      </c>
      <c r="B8411">
        <v>35</v>
      </c>
      <c r="C8411" t="str">
        <f>CHOOSE(MATCH(B8411, {20,25,30,35,40,45,50,55,60,65,70,75,80,85}, 1), "20-24", "25-29", "30-34", "35-39", "40-44", "45-49", "50-54", "55-59", "60-64", "65-69", "70-74", "75-79", "80-84", "85+")</f>
        <v>35-39</v>
      </c>
      <c r="D8411" t="s">
        <v>8</v>
      </c>
    </row>
    <row r="8412" spans="1:4">
      <c r="A8412" t="s">
        <v>6</v>
      </c>
      <c r="B8412">
        <v>34</v>
      </c>
      <c r="C8412" t="str">
        <f>CHOOSE(MATCH(B8412, {20,25,30,35,40,45,50,55,60,65,70,75,80,85}, 1), "20-24", "25-29", "30-34", "35-39", "40-44", "45-49", "50-54", "55-59", "60-64", "65-69", "70-74", "75-79", "80-84", "85+")</f>
        <v>30-34</v>
      </c>
      <c r="D8412" t="s">
        <v>7</v>
      </c>
    </row>
    <row r="8413" spans="1:4">
      <c r="A8413" t="s">
        <v>6</v>
      </c>
      <c r="B8413">
        <v>38</v>
      </c>
      <c r="C8413" t="str">
        <f>CHOOSE(MATCH(B8413, {20,25,30,35,40,45,50,55,60,65,70,75,80,85}, 1), "20-24", "25-29", "30-34", "35-39", "40-44", "45-49", "50-54", "55-59", "60-64", "65-69", "70-74", "75-79", "80-84", "85+")</f>
        <v>35-39</v>
      </c>
      <c r="D8413" t="s">
        <v>7</v>
      </c>
    </row>
    <row r="8414" spans="1:4">
      <c r="A8414" t="s">
        <v>6</v>
      </c>
      <c r="B8414">
        <v>30</v>
      </c>
      <c r="C8414" t="str">
        <f>CHOOSE(MATCH(B8414, {20,25,30,35,40,45,50,55,60,65,70,75,80,85}, 1), "20-24", "25-29", "30-34", "35-39", "40-44", "45-49", "50-54", "55-59", "60-64", "65-69", "70-74", "75-79", "80-84", "85+")</f>
        <v>30-34</v>
      </c>
      <c r="D8414" t="s">
        <v>7</v>
      </c>
    </row>
    <row r="8415" spans="1:4">
      <c r="A8415" t="s">
        <v>6</v>
      </c>
      <c r="B8415">
        <v>60</v>
      </c>
      <c r="C8415" t="str">
        <f>CHOOSE(MATCH(B8415, {20,25,30,35,40,45,50,55,60,65,70,75,80,85}, 1), "20-24", "25-29", "30-34", "35-39", "40-44", "45-49", "50-54", "55-59", "60-64", "65-69", "70-74", "75-79", "80-84", "85+")</f>
        <v>60-64</v>
      </c>
      <c r="D8415" t="s">
        <v>7</v>
      </c>
    </row>
    <row r="8416" spans="1:4">
      <c r="A8416" t="s">
        <v>6</v>
      </c>
      <c r="B8416">
        <v>39</v>
      </c>
      <c r="C8416" t="str">
        <f>CHOOSE(MATCH(B8416, {20,25,30,35,40,45,50,55,60,65,70,75,80,85}, 1), "20-24", "25-29", "30-34", "35-39", "40-44", "45-49", "50-54", "55-59", "60-64", "65-69", "70-74", "75-79", "80-84", "85+")</f>
        <v>35-39</v>
      </c>
      <c r="D8416" t="s">
        <v>7</v>
      </c>
    </row>
    <row r="8417" spans="1:4">
      <c r="A8417" t="s">
        <v>6</v>
      </c>
      <c r="B8417">
        <v>28</v>
      </c>
      <c r="C8417" t="str">
        <f>CHOOSE(MATCH(B8417, {20,25,30,35,40,45,50,55,60,65,70,75,80,85}, 1), "20-24", "25-29", "30-34", "35-39", "40-44", "45-49", "50-54", "55-59", "60-64", "65-69", "70-74", "75-79", "80-84", "85+")</f>
        <v>25-29</v>
      </c>
      <c r="D8417" t="s">
        <v>7</v>
      </c>
    </row>
    <row r="8418" spans="1:4">
      <c r="A8418" t="s">
        <v>6</v>
      </c>
      <c r="B8418">
        <v>29</v>
      </c>
      <c r="C8418" t="str">
        <f>CHOOSE(MATCH(B8418, {20,25,30,35,40,45,50,55,60,65,70,75,80,85}, 1), "20-24", "25-29", "30-34", "35-39", "40-44", "45-49", "50-54", "55-59", "60-64", "65-69", "70-74", "75-79", "80-84", "85+")</f>
        <v>25-29</v>
      </c>
      <c r="D8418" t="s">
        <v>7</v>
      </c>
    </row>
    <row r="8419" spans="1:4">
      <c r="A8419" t="s">
        <v>6</v>
      </c>
      <c r="B8419">
        <v>62</v>
      </c>
      <c r="C8419" t="str">
        <f>CHOOSE(MATCH(B8419, {20,25,30,35,40,45,50,55,60,65,70,75,80,85}, 1), "20-24", "25-29", "30-34", "35-39", "40-44", "45-49", "50-54", "55-59", "60-64", "65-69", "70-74", "75-79", "80-84", "85+")</f>
        <v>60-64</v>
      </c>
      <c r="D8419" t="s">
        <v>8</v>
      </c>
    </row>
    <row r="8420" spans="1:4">
      <c r="A8420" t="s">
        <v>6</v>
      </c>
      <c r="B8420">
        <v>25</v>
      </c>
      <c r="C8420" t="str">
        <f>CHOOSE(MATCH(B8420, {20,25,30,35,40,45,50,55,60,65,70,75,80,85}, 1), "20-24", "25-29", "30-34", "35-39", "40-44", "45-49", "50-54", "55-59", "60-64", "65-69", "70-74", "75-79", "80-84", "85+")</f>
        <v>25-29</v>
      </c>
      <c r="D8420" t="s">
        <v>7</v>
      </c>
    </row>
    <row r="8421" spans="1:4">
      <c r="A8421" t="s">
        <v>6</v>
      </c>
      <c r="B8421">
        <v>33</v>
      </c>
      <c r="C8421" t="str">
        <f>CHOOSE(MATCH(B8421, {20,25,30,35,40,45,50,55,60,65,70,75,80,85}, 1), "20-24", "25-29", "30-34", "35-39", "40-44", "45-49", "50-54", "55-59", "60-64", "65-69", "70-74", "75-79", "80-84", "85+")</f>
        <v>30-34</v>
      </c>
      <c r="D8421" t="s">
        <v>7</v>
      </c>
    </row>
    <row r="8422" spans="1:4">
      <c r="A8422" t="s">
        <v>6</v>
      </c>
      <c r="B8422">
        <v>41</v>
      </c>
      <c r="C8422" t="str">
        <f>CHOOSE(MATCH(B8422, {20,25,30,35,40,45,50,55,60,65,70,75,80,85}, 1), "20-24", "25-29", "30-34", "35-39", "40-44", "45-49", "50-54", "55-59", "60-64", "65-69", "70-74", "75-79", "80-84", "85+")</f>
        <v>40-44</v>
      </c>
      <c r="D8422" t="s">
        <v>8</v>
      </c>
    </row>
    <row r="8423" spans="1:4">
      <c r="A8423" t="s">
        <v>6</v>
      </c>
      <c r="B8423">
        <v>71</v>
      </c>
      <c r="C8423" t="str">
        <f>CHOOSE(MATCH(B8423, {20,25,30,35,40,45,50,55,60,65,70,75,80,85}, 1), "20-24", "25-29", "30-34", "35-39", "40-44", "45-49", "50-54", "55-59", "60-64", "65-69", "70-74", "75-79", "80-84", "85+")</f>
        <v>70-74</v>
      </c>
      <c r="D8423" t="s">
        <v>7</v>
      </c>
    </row>
    <row r="8424" spans="1:4">
      <c r="A8424" t="s">
        <v>6</v>
      </c>
      <c r="B8424">
        <v>53</v>
      </c>
      <c r="C8424" t="str">
        <f>CHOOSE(MATCH(B8424, {20,25,30,35,40,45,50,55,60,65,70,75,80,85}, 1), "20-24", "25-29", "30-34", "35-39", "40-44", "45-49", "50-54", "55-59", "60-64", "65-69", "70-74", "75-79", "80-84", "85+")</f>
        <v>50-54</v>
      </c>
      <c r="D8424" t="s">
        <v>8</v>
      </c>
    </row>
    <row r="8425" spans="1:4">
      <c r="A8425" t="s">
        <v>6</v>
      </c>
      <c r="B8425">
        <v>51</v>
      </c>
      <c r="C8425" t="str">
        <f>CHOOSE(MATCH(B8425, {20,25,30,35,40,45,50,55,60,65,70,75,80,85}, 1), "20-24", "25-29", "30-34", "35-39", "40-44", "45-49", "50-54", "55-59", "60-64", "65-69", "70-74", "75-79", "80-84", "85+")</f>
        <v>50-54</v>
      </c>
      <c r="D8425" t="s">
        <v>7</v>
      </c>
    </row>
    <row r="8426" spans="1:4">
      <c r="A8426" t="s">
        <v>6</v>
      </c>
      <c r="B8426">
        <v>40</v>
      </c>
      <c r="C8426" t="str">
        <f>CHOOSE(MATCH(B8426, {20,25,30,35,40,45,50,55,60,65,70,75,80,85}, 1), "20-24", "25-29", "30-34", "35-39", "40-44", "45-49", "50-54", "55-59", "60-64", "65-69", "70-74", "75-79", "80-84", "85+")</f>
        <v>40-44</v>
      </c>
      <c r="D8426" t="s">
        <v>8</v>
      </c>
    </row>
    <row r="8427" spans="1:4">
      <c r="A8427" t="s">
        <v>6</v>
      </c>
      <c r="B8427">
        <v>77</v>
      </c>
      <c r="C8427" t="str">
        <f>CHOOSE(MATCH(B8427, {20,25,30,35,40,45,50,55,60,65,70,75,80,85}, 1), "20-24", "25-29", "30-34", "35-39", "40-44", "45-49", "50-54", "55-59", "60-64", "65-69", "70-74", "75-79", "80-84", "85+")</f>
        <v>75-79</v>
      </c>
      <c r="D8427" t="s">
        <v>8</v>
      </c>
    </row>
    <row r="8428" spans="1:4">
      <c r="A8428" t="s">
        <v>6</v>
      </c>
      <c r="B8428">
        <v>32</v>
      </c>
      <c r="C8428" t="str">
        <f>CHOOSE(MATCH(B8428, {20,25,30,35,40,45,50,55,60,65,70,75,80,85}, 1), "20-24", "25-29", "30-34", "35-39", "40-44", "45-49", "50-54", "55-59", "60-64", "65-69", "70-74", "75-79", "80-84", "85+")</f>
        <v>30-34</v>
      </c>
      <c r="D8428" t="s">
        <v>7</v>
      </c>
    </row>
    <row r="8429" spans="1:4">
      <c r="A8429" t="s">
        <v>6</v>
      </c>
      <c r="B8429">
        <v>23</v>
      </c>
      <c r="C8429" t="str">
        <f>CHOOSE(MATCH(B8429, {20,25,30,35,40,45,50,55,60,65,70,75,80,85}, 1), "20-24", "25-29", "30-34", "35-39", "40-44", "45-49", "50-54", "55-59", "60-64", "65-69", "70-74", "75-79", "80-84", "85+")</f>
        <v>20-24</v>
      </c>
      <c r="D8429" t="s">
        <v>7</v>
      </c>
    </row>
    <row r="8430" spans="1:4">
      <c r="A8430" t="s">
        <v>6</v>
      </c>
      <c r="B8430">
        <v>27</v>
      </c>
      <c r="C8430" t="str">
        <f>CHOOSE(MATCH(B8430, {20,25,30,35,40,45,50,55,60,65,70,75,80,85}, 1), "20-24", "25-29", "30-34", "35-39", "40-44", "45-49", "50-54", "55-59", "60-64", "65-69", "70-74", "75-79", "80-84", "85+")</f>
        <v>25-29</v>
      </c>
      <c r="D8430" t="s">
        <v>8</v>
      </c>
    </row>
    <row r="8431" spans="1:4">
      <c r="A8431" t="s">
        <v>6</v>
      </c>
      <c r="B8431">
        <v>50</v>
      </c>
      <c r="C8431" t="str">
        <f>CHOOSE(MATCH(B8431, {20,25,30,35,40,45,50,55,60,65,70,75,80,85}, 1), "20-24", "25-29", "30-34", "35-39", "40-44", "45-49", "50-54", "55-59", "60-64", "65-69", "70-74", "75-79", "80-84", "85+")</f>
        <v>50-54</v>
      </c>
      <c r="D8431" t="s">
        <v>7</v>
      </c>
    </row>
    <row r="8432" spans="1:4">
      <c r="A8432" t="s">
        <v>6</v>
      </c>
      <c r="B8432">
        <v>31</v>
      </c>
      <c r="C8432" t="str">
        <f>CHOOSE(MATCH(B8432, {20,25,30,35,40,45,50,55,60,65,70,75,80,85}, 1), "20-24", "25-29", "30-34", "35-39", "40-44", "45-49", "50-54", "55-59", "60-64", "65-69", "70-74", "75-79", "80-84", "85+")</f>
        <v>30-34</v>
      </c>
      <c r="D8432" t="s">
        <v>7</v>
      </c>
    </row>
    <row r="8433" spans="1:4">
      <c r="A8433" t="s">
        <v>6</v>
      </c>
      <c r="B8433">
        <v>58</v>
      </c>
      <c r="C8433" t="str">
        <f>CHOOSE(MATCH(B8433, {20,25,30,35,40,45,50,55,60,65,70,75,80,85}, 1), "20-24", "25-29", "30-34", "35-39", "40-44", "45-49", "50-54", "55-59", "60-64", "65-69", "70-74", "75-79", "80-84", "85+")</f>
        <v>55-59</v>
      </c>
      <c r="D8433" t="s">
        <v>8</v>
      </c>
    </row>
    <row r="8434" spans="1:4">
      <c r="A8434" t="s">
        <v>6</v>
      </c>
      <c r="B8434">
        <v>62</v>
      </c>
      <c r="C8434" t="str">
        <f>CHOOSE(MATCH(B8434, {20,25,30,35,40,45,50,55,60,65,70,75,80,85}, 1), "20-24", "25-29", "30-34", "35-39", "40-44", "45-49", "50-54", "55-59", "60-64", "65-69", "70-74", "75-79", "80-84", "85+")</f>
        <v>60-64</v>
      </c>
      <c r="D8434" t="s">
        <v>8</v>
      </c>
    </row>
    <row r="8435" spans="1:4">
      <c r="A8435" t="s">
        <v>6</v>
      </c>
      <c r="B8435">
        <v>65</v>
      </c>
      <c r="C8435" t="str">
        <f>CHOOSE(MATCH(B8435, {20,25,30,35,40,45,50,55,60,65,70,75,80,85}, 1), "20-24", "25-29", "30-34", "35-39", "40-44", "45-49", "50-54", "55-59", "60-64", "65-69", "70-74", "75-79", "80-84", "85+")</f>
        <v>65-69</v>
      </c>
      <c r="D8435" t="s">
        <v>8</v>
      </c>
    </row>
    <row r="8436" spans="1:4">
      <c r="A8436" t="s">
        <v>6</v>
      </c>
      <c r="B8436">
        <v>59</v>
      </c>
      <c r="C8436" t="str">
        <f>CHOOSE(MATCH(B8436, {20,25,30,35,40,45,50,55,60,65,70,75,80,85}, 1), "20-24", "25-29", "30-34", "35-39", "40-44", "45-49", "50-54", "55-59", "60-64", "65-69", "70-74", "75-79", "80-84", "85+")</f>
        <v>55-59</v>
      </c>
      <c r="D8436" t="s">
        <v>8</v>
      </c>
    </row>
    <row r="8437" spans="1:4">
      <c r="A8437" t="s">
        <v>6</v>
      </c>
      <c r="B8437">
        <v>37</v>
      </c>
      <c r="C8437" t="str">
        <f>CHOOSE(MATCH(B8437, {20,25,30,35,40,45,50,55,60,65,70,75,80,85}, 1), "20-24", "25-29", "30-34", "35-39", "40-44", "45-49", "50-54", "55-59", "60-64", "65-69", "70-74", "75-79", "80-84", "85+")</f>
        <v>35-39</v>
      </c>
      <c r="D8437" t="s">
        <v>7</v>
      </c>
    </row>
    <row r="8438" spans="1:4">
      <c r="A8438" t="s">
        <v>6</v>
      </c>
      <c r="B8438">
        <v>34</v>
      </c>
      <c r="C8438" t="str">
        <f>CHOOSE(MATCH(B8438, {20,25,30,35,40,45,50,55,60,65,70,75,80,85}, 1), "20-24", "25-29", "30-34", "35-39", "40-44", "45-49", "50-54", "55-59", "60-64", "65-69", "70-74", "75-79", "80-84", "85+")</f>
        <v>30-34</v>
      </c>
      <c r="D8438" t="s">
        <v>7</v>
      </c>
    </row>
    <row r="8439" spans="1:4">
      <c r="A8439" t="s">
        <v>6</v>
      </c>
      <c r="B8439">
        <v>22</v>
      </c>
      <c r="C8439" t="str">
        <f>CHOOSE(MATCH(B8439, {20,25,30,35,40,45,50,55,60,65,70,75,80,85}, 1), "20-24", "25-29", "30-34", "35-39", "40-44", "45-49", "50-54", "55-59", "60-64", "65-69", "70-74", "75-79", "80-84", "85+")</f>
        <v>20-24</v>
      </c>
      <c r="D8439" t="s">
        <v>7</v>
      </c>
    </row>
    <row r="8440" spans="1:4">
      <c r="A8440" t="s">
        <v>6</v>
      </c>
      <c r="B8440">
        <v>23</v>
      </c>
      <c r="C8440" t="str">
        <f>CHOOSE(MATCH(B8440, {20,25,30,35,40,45,50,55,60,65,70,75,80,85}, 1), "20-24", "25-29", "30-34", "35-39", "40-44", "45-49", "50-54", "55-59", "60-64", "65-69", "70-74", "75-79", "80-84", "85+")</f>
        <v>20-24</v>
      </c>
      <c r="D8440" t="s">
        <v>7</v>
      </c>
    </row>
    <row r="8441" spans="1:4">
      <c r="A8441" t="s">
        <v>6</v>
      </c>
      <c r="B8441">
        <v>27</v>
      </c>
      <c r="C8441" t="str">
        <f>CHOOSE(MATCH(B8441, {20,25,30,35,40,45,50,55,60,65,70,75,80,85}, 1), "20-24", "25-29", "30-34", "35-39", "40-44", "45-49", "50-54", "55-59", "60-64", "65-69", "70-74", "75-79", "80-84", "85+")</f>
        <v>25-29</v>
      </c>
      <c r="D8441" t="s">
        <v>7</v>
      </c>
    </row>
    <row r="8442" spans="1:4">
      <c r="A8442" t="s">
        <v>6</v>
      </c>
      <c r="B8442">
        <v>29</v>
      </c>
      <c r="C8442" t="str">
        <f>CHOOSE(MATCH(B8442, {20,25,30,35,40,45,50,55,60,65,70,75,80,85}, 1), "20-24", "25-29", "30-34", "35-39", "40-44", "45-49", "50-54", "55-59", "60-64", "65-69", "70-74", "75-79", "80-84", "85+")</f>
        <v>25-29</v>
      </c>
      <c r="D8442" t="s">
        <v>8</v>
      </c>
    </row>
    <row r="8443" spans="1:4">
      <c r="A8443" t="s">
        <v>6</v>
      </c>
      <c r="B8443">
        <v>56</v>
      </c>
      <c r="C8443" t="str">
        <f>CHOOSE(MATCH(B8443, {20,25,30,35,40,45,50,55,60,65,70,75,80,85}, 1), "20-24", "25-29", "30-34", "35-39", "40-44", "45-49", "50-54", "55-59", "60-64", "65-69", "70-74", "75-79", "80-84", "85+")</f>
        <v>55-59</v>
      </c>
      <c r="D8443" t="s">
        <v>8</v>
      </c>
    </row>
    <row r="8444" spans="1:4">
      <c r="A8444" t="s">
        <v>6</v>
      </c>
      <c r="B8444">
        <v>52</v>
      </c>
      <c r="C8444" t="str">
        <f>CHOOSE(MATCH(B8444, {20,25,30,35,40,45,50,55,60,65,70,75,80,85}, 1), "20-24", "25-29", "30-34", "35-39", "40-44", "45-49", "50-54", "55-59", "60-64", "65-69", "70-74", "75-79", "80-84", "85+")</f>
        <v>50-54</v>
      </c>
      <c r="D8444" t="s">
        <v>7</v>
      </c>
    </row>
    <row r="8445" spans="1:4">
      <c r="A8445" t="s">
        <v>6</v>
      </c>
      <c r="B8445">
        <v>47</v>
      </c>
      <c r="C8445" t="str">
        <f>CHOOSE(MATCH(B8445, {20,25,30,35,40,45,50,55,60,65,70,75,80,85}, 1), "20-24", "25-29", "30-34", "35-39", "40-44", "45-49", "50-54", "55-59", "60-64", "65-69", "70-74", "75-79", "80-84", "85+")</f>
        <v>45-49</v>
      </c>
      <c r="D8445" t="s">
        <v>8</v>
      </c>
    </row>
    <row r="8446" spans="1:4">
      <c r="A8446" t="s">
        <v>6</v>
      </c>
      <c r="B8446">
        <v>33</v>
      </c>
      <c r="C8446" t="str">
        <f>CHOOSE(MATCH(B8446, {20,25,30,35,40,45,50,55,60,65,70,75,80,85}, 1), "20-24", "25-29", "30-34", "35-39", "40-44", "45-49", "50-54", "55-59", "60-64", "65-69", "70-74", "75-79", "80-84", "85+")</f>
        <v>30-34</v>
      </c>
      <c r="D8446" t="s">
        <v>7</v>
      </c>
    </row>
    <row r="8447" spans="1:4">
      <c r="A8447" t="s">
        <v>6</v>
      </c>
      <c r="B8447">
        <v>35</v>
      </c>
      <c r="C8447" t="str">
        <f>CHOOSE(MATCH(B8447, {20,25,30,35,40,45,50,55,60,65,70,75,80,85}, 1), "20-24", "25-29", "30-34", "35-39", "40-44", "45-49", "50-54", "55-59", "60-64", "65-69", "70-74", "75-79", "80-84", "85+")</f>
        <v>35-39</v>
      </c>
      <c r="D8447" t="s">
        <v>7</v>
      </c>
    </row>
    <row r="8448" spans="1:4">
      <c r="A8448" t="s">
        <v>6</v>
      </c>
      <c r="B8448">
        <v>49</v>
      </c>
      <c r="C8448" t="str">
        <f>CHOOSE(MATCH(B8448, {20,25,30,35,40,45,50,55,60,65,70,75,80,85}, 1), "20-24", "25-29", "30-34", "35-39", "40-44", "45-49", "50-54", "55-59", "60-64", "65-69", "70-74", "75-79", "80-84", "85+")</f>
        <v>45-49</v>
      </c>
      <c r="D8448" t="s">
        <v>8</v>
      </c>
    </row>
    <row r="8449" spans="1:4">
      <c r="A8449" t="s">
        <v>6</v>
      </c>
      <c r="B8449">
        <v>62</v>
      </c>
      <c r="C8449" t="str">
        <f>CHOOSE(MATCH(B8449, {20,25,30,35,40,45,50,55,60,65,70,75,80,85}, 1), "20-24", "25-29", "30-34", "35-39", "40-44", "45-49", "50-54", "55-59", "60-64", "65-69", "70-74", "75-79", "80-84", "85+")</f>
        <v>60-64</v>
      </c>
      <c r="D8449" t="s">
        <v>8</v>
      </c>
    </row>
    <row r="8450" spans="1:4">
      <c r="A8450" t="s">
        <v>6</v>
      </c>
      <c r="B8450">
        <v>41</v>
      </c>
      <c r="C8450" t="str">
        <f>CHOOSE(MATCH(B8450, {20,25,30,35,40,45,50,55,60,65,70,75,80,85}, 1), "20-24", "25-29", "30-34", "35-39", "40-44", "45-49", "50-54", "55-59", "60-64", "65-69", "70-74", "75-79", "80-84", "85+")</f>
        <v>40-44</v>
      </c>
      <c r="D8450" t="s">
        <v>8</v>
      </c>
    </row>
    <row r="8451" spans="1:4">
      <c r="A8451" t="s">
        <v>6</v>
      </c>
      <c r="B8451">
        <v>35</v>
      </c>
      <c r="C8451" t="str">
        <f>CHOOSE(MATCH(B8451, {20,25,30,35,40,45,50,55,60,65,70,75,80,85}, 1), "20-24", "25-29", "30-34", "35-39", "40-44", "45-49", "50-54", "55-59", "60-64", "65-69", "70-74", "75-79", "80-84", "85+")</f>
        <v>35-39</v>
      </c>
      <c r="D8451" t="s">
        <v>7</v>
      </c>
    </row>
    <row r="8452" spans="1:4">
      <c r="A8452" t="s">
        <v>6</v>
      </c>
      <c r="B8452">
        <v>51</v>
      </c>
      <c r="C8452" t="str">
        <f>CHOOSE(MATCH(B8452, {20,25,30,35,40,45,50,55,60,65,70,75,80,85}, 1), "20-24", "25-29", "30-34", "35-39", "40-44", "45-49", "50-54", "55-59", "60-64", "65-69", "70-74", "75-79", "80-84", "85+")</f>
        <v>50-54</v>
      </c>
      <c r="D8452" t="s">
        <v>8</v>
      </c>
    </row>
    <row r="8453" spans="1:4">
      <c r="A8453" t="s">
        <v>6</v>
      </c>
      <c r="B8453">
        <v>29</v>
      </c>
      <c r="C8453" t="str">
        <f>CHOOSE(MATCH(B8453, {20,25,30,35,40,45,50,55,60,65,70,75,80,85}, 1), "20-24", "25-29", "30-34", "35-39", "40-44", "45-49", "50-54", "55-59", "60-64", "65-69", "70-74", "75-79", "80-84", "85+")</f>
        <v>25-29</v>
      </c>
      <c r="D8453" t="s">
        <v>7</v>
      </c>
    </row>
    <row r="8454" spans="1:4">
      <c r="A8454" t="s">
        <v>6</v>
      </c>
      <c r="B8454">
        <v>27</v>
      </c>
      <c r="C8454" t="str">
        <f>CHOOSE(MATCH(B8454, {20,25,30,35,40,45,50,55,60,65,70,75,80,85}, 1), "20-24", "25-29", "30-34", "35-39", "40-44", "45-49", "50-54", "55-59", "60-64", "65-69", "70-74", "75-79", "80-84", "85+")</f>
        <v>25-29</v>
      </c>
      <c r="D8454" t="s">
        <v>7</v>
      </c>
    </row>
    <row r="8455" spans="1:4">
      <c r="A8455" t="s">
        <v>6</v>
      </c>
      <c r="B8455">
        <v>62</v>
      </c>
      <c r="C8455" t="str">
        <f>CHOOSE(MATCH(B8455, {20,25,30,35,40,45,50,55,60,65,70,75,80,85}, 1), "20-24", "25-29", "30-34", "35-39", "40-44", "45-49", "50-54", "55-59", "60-64", "65-69", "70-74", "75-79", "80-84", "85+")</f>
        <v>60-64</v>
      </c>
      <c r="D8455" t="s">
        <v>7</v>
      </c>
    </row>
    <row r="8456" spans="1:4">
      <c r="A8456" t="s">
        <v>6</v>
      </c>
      <c r="B8456">
        <v>76</v>
      </c>
      <c r="C8456" t="str">
        <f>CHOOSE(MATCH(B8456, {20,25,30,35,40,45,50,55,60,65,70,75,80,85}, 1), "20-24", "25-29", "30-34", "35-39", "40-44", "45-49", "50-54", "55-59", "60-64", "65-69", "70-74", "75-79", "80-84", "85+")</f>
        <v>75-79</v>
      </c>
      <c r="D8456" t="s">
        <v>7</v>
      </c>
    </row>
    <row r="8457" spans="1:4">
      <c r="A8457" t="s">
        <v>6</v>
      </c>
      <c r="B8457">
        <v>26</v>
      </c>
      <c r="C8457" t="str">
        <f>CHOOSE(MATCH(B8457, {20,25,30,35,40,45,50,55,60,65,70,75,80,85}, 1), "20-24", "25-29", "30-34", "35-39", "40-44", "45-49", "50-54", "55-59", "60-64", "65-69", "70-74", "75-79", "80-84", "85+")</f>
        <v>25-29</v>
      </c>
      <c r="D8457" t="s">
        <v>7</v>
      </c>
    </row>
    <row r="8458" spans="1:4">
      <c r="A8458" t="s">
        <v>6</v>
      </c>
      <c r="B8458">
        <v>44</v>
      </c>
      <c r="C8458" t="str">
        <f>CHOOSE(MATCH(B8458, {20,25,30,35,40,45,50,55,60,65,70,75,80,85}, 1), "20-24", "25-29", "30-34", "35-39", "40-44", "45-49", "50-54", "55-59", "60-64", "65-69", "70-74", "75-79", "80-84", "85+")</f>
        <v>40-44</v>
      </c>
      <c r="D8458" t="s">
        <v>7</v>
      </c>
    </row>
    <row r="8459" spans="1:4">
      <c r="A8459" t="s">
        <v>6</v>
      </c>
      <c r="B8459">
        <v>37</v>
      </c>
      <c r="C8459" t="str">
        <f>CHOOSE(MATCH(B8459, {20,25,30,35,40,45,50,55,60,65,70,75,80,85}, 1), "20-24", "25-29", "30-34", "35-39", "40-44", "45-49", "50-54", "55-59", "60-64", "65-69", "70-74", "75-79", "80-84", "85+")</f>
        <v>35-39</v>
      </c>
      <c r="D8459" t="s">
        <v>7</v>
      </c>
    </row>
    <row r="8460" spans="1:4">
      <c r="A8460" t="s">
        <v>6</v>
      </c>
      <c r="B8460">
        <v>35</v>
      </c>
      <c r="C8460" t="str">
        <f>CHOOSE(MATCH(B8460, {20,25,30,35,40,45,50,55,60,65,70,75,80,85}, 1), "20-24", "25-29", "30-34", "35-39", "40-44", "45-49", "50-54", "55-59", "60-64", "65-69", "70-74", "75-79", "80-84", "85+")</f>
        <v>35-39</v>
      </c>
      <c r="D8460" t="s">
        <v>8</v>
      </c>
    </row>
    <row r="8461" spans="1:4">
      <c r="A8461" t="s">
        <v>6</v>
      </c>
      <c r="B8461">
        <v>37</v>
      </c>
      <c r="C8461" t="str">
        <f>CHOOSE(MATCH(B8461, {20,25,30,35,40,45,50,55,60,65,70,75,80,85}, 1), "20-24", "25-29", "30-34", "35-39", "40-44", "45-49", "50-54", "55-59", "60-64", "65-69", "70-74", "75-79", "80-84", "85+")</f>
        <v>35-39</v>
      </c>
      <c r="D8461" t="s">
        <v>8</v>
      </c>
    </row>
    <row r="8462" spans="1:4">
      <c r="A8462" t="s">
        <v>6</v>
      </c>
      <c r="B8462">
        <v>41</v>
      </c>
      <c r="C8462" t="str">
        <f>CHOOSE(MATCH(B8462, {20,25,30,35,40,45,50,55,60,65,70,75,80,85}, 1), "20-24", "25-29", "30-34", "35-39", "40-44", "45-49", "50-54", "55-59", "60-64", "65-69", "70-74", "75-79", "80-84", "85+")</f>
        <v>40-44</v>
      </c>
      <c r="D8462" t="s">
        <v>8</v>
      </c>
    </row>
    <row r="8463" spans="1:4">
      <c r="A8463" t="s">
        <v>6</v>
      </c>
      <c r="B8463">
        <v>77</v>
      </c>
      <c r="C8463" t="str">
        <f>CHOOSE(MATCH(B8463, {20,25,30,35,40,45,50,55,60,65,70,75,80,85}, 1), "20-24", "25-29", "30-34", "35-39", "40-44", "45-49", "50-54", "55-59", "60-64", "65-69", "70-74", "75-79", "80-84", "85+")</f>
        <v>75-79</v>
      </c>
      <c r="D8463" t="s">
        <v>7</v>
      </c>
    </row>
    <row r="8464" spans="1:4">
      <c r="A8464" t="s">
        <v>6</v>
      </c>
      <c r="B8464">
        <v>56</v>
      </c>
      <c r="C8464" t="str">
        <f>CHOOSE(MATCH(B8464, {20,25,30,35,40,45,50,55,60,65,70,75,80,85}, 1), "20-24", "25-29", "30-34", "35-39", "40-44", "45-49", "50-54", "55-59", "60-64", "65-69", "70-74", "75-79", "80-84", "85+")</f>
        <v>55-59</v>
      </c>
      <c r="D8464" t="s">
        <v>7</v>
      </c>
    </row>
    <row r="8465" spans="1:4">
      <c r="A8465" t="s">
        <v>6</v>
      </c>
      <c r="B8465">
        <v>46</v>
      </c>
      <c r="C8465" t="str">
        <f>CHOOSE(MATCH(B8465, {20,25,30,35,40,45,50,55,60,65,70,75,80,85}, 1), "20-24", "25-29", "30-34", "35-39", "40-44", "45-49", "50-54", "55-59", "60-64", "65-69", "70-74", "75-79", "80-84", "85+")</f>
        <v>45-49</v>
      </c>
      <c r="D8465" t="s">
        <v>8</v>
      </c>
    </row>
    <row r="8466" spans="1:4">
      <c r="A8466" t="s">
        <v>6</v>
      </c>
      <c r="B8466">
        <v>43</v>
      </c>
      <c r="C8466" t="str">
        <f>CHOOSE(MATCH(B8466, {20,25,30,35,40,45,50,55,60,65,70,75,80,85}, 1), "20-24", "25-29", "30-34", "35-39", "40-44", "45-49", "50-54", "55-59", "60-64", "65-69", "70-74", "75-79", "80-84", "85+")</f>
        <v>40-44</v>
      </c>
      <c r="D8466" t="s">
        <v>7</v>
      </c>
    </row>
    <row r="8467" spans="1:4">
      <c r="A8467" t="s">
        <v>6</v>
      </c>
      <c r="B8467">
        <v>50</v>
      </c>
      <c r="C8467" t="str">
        <f>CHOOSE(MATCH(B8467, {20,25,30,35,40,45,50,55,60,65,70,75,80,85}, 1), "20-24", "25-29", "30-34", "35-39", "40-44", "45-49", "50-54", "55-59", "60-64", "65-69", "70-74", "75-79", "80-84", "85+")</f>
        <v>50-54</v>
      </c>
      <c r="D8467" t="s">
        <v>8</v>
      </c>
    </row>
    <row r="8468" spans="1:4">
      <c r="A8468" t="s">
        <v>6</v>
      </c>
      <c r="B8468">
        <v>42</v>
      </c>
      <c r="C8468" t="str">
        <f>CHOOSE(MATCH(B8468, {20,25,30,35,40,45,50,55,60,65,70,75,80,85}, 1), "20-24", "25-29", "30-34", "35-39", "40-44", "45-49", "50-54", "55-59", "60-64", "65-69", "70-74", "75-79", "80-84", "85+")</f>
        <v>40-44</v>
      </c>
      <c r="D8468" t="s">
        <v>7</v>
      </c>
    </row>
    <row r="8469" spans="1:4">
      <c r="A8469" t="s">
        <v>6</v>
      </c>
      <c r="B8469">
        <v>35</v>
      </c>
      <c r="C8469" t="str">
        <f>CHOOSE(MATCH(B8469, {20,25,30,35,40,45,50,55,60,65,70,75,80,85}, 1), "20-24", "25-29", "30-34", "35-39", "40-44", "45-49", "50-54", "55-59", "60-64", "65-69", "70-74", "75-79", "80-84", "85+")</f>
        <v>35-39</v>
      </c>
      <c r="D8469" t="s">
        <v>8</v>
      </c>
    </row>
    <row r="8470" spans="1:4">
      <c r="A8470" t="s">
        <v>6</v>
      </c>
      <c r="B8470">
        <v>43</v>
      </c>
      <c r="C8470" t="str">
        <f>CHOOSE(MATCH(B8470, {20,25,30,35,40,45,50,55,60,65,70,75,80,85}, 1), "20-24", "25-29", "30-34", "35-39", "40-44", "45-49", "50-54", "55-59", "60-64", "65-69", "70-74", "75-79", "80-84", "85+")</f>
        <v>40-44</v>
      </c>
      <c r="D8470" t="s">
        <v>8</v>
      </c>
    </row>
    <row r="8471" spans="1:4">
      <c r="A8471" t="s">
        <v>6</v>
      </c>
      <c r="B8471">
        <v>29</v>
      </c>
      <c r="C8471" t="str">
        <f>CHOOSE(MATCH(B8471, {20,25,30,35,40,45,50,55,60,65,70,75,80,85}, 1), "20-24", "25-29", "30-34", "35-39", "40-44", "45-49", "50-54", "55-59", "60-64", "65-69", "70-74", "75-79", "80-84", "85+")</f>
        <v>25-29</v>
      </c>
      <c r="D8471" t="s">
        <v>7</v>
      </c>
    </row>
    <row r="8472" spans="1:4">
      <c r="A8472" t="s">
        <v>6</v>
      </c>
      <c r="B8472">
        <v>45</v>
      </c>
      <c r="C8472" t="str">
        <f>CHOOSE(MATCH(B8472, {20,25,30,35,40,45,50,55,60,65,70,75,80,85}, 1), "20-24", "25-29", "30-34", "35-39", "40-44", "45-49", "50-54", "55-59", "60-64", "65-69", "70-74", "75-79", "80-84", "85+")</f>
        <v>45-49</v>
      </c>
      <c r="D8472" t="s">
        <v>7</v>
      </c>
    </row>
    <row r="8473" spans="1:4">
      <c r="A8473" t="s">
        <v>6</v>
      </c>
      <c r="B8473">
        <v>47</v>
      </c>
      <c r="C8473" t="str">
        <f>CHOOSE(MATCH(B8473, {20,25,30,35,40,45,50,55,60,65,70,75,80,85}, 1), "20-24", "25-29", "30-34", "35-39", "40-44", "45-49", "50-54", "55-59", "60-64", "65-69", "70-74", "75-79", "80-84", "85+")</f>
        <v>45-49</v>
      </c>
      <c r="D8473" t="s">
        <v>7</v>
      </c>
    </row>
    <row r="8474" spans="1:4">
      <c r="A8474" t="s">
        <v>6</v>
      </c>
      <c r="B8474">
        <v>66</v>
      </c>
      <c r="C8474" t="str">
        <f>CHOOSE(MATCH(B8474, {20,25,30,35,40,45,50,55,60,65,70,75,80,85}, 1), "20-24", "25-29", "30-34", "35-39", "40-44", "45-49", "50-54", "55-59", "60-64", "65-69", "70-74", "75-79", "80-84", "85+")</f>
        <v>65-69</v>
      </c>
      <c r="D8474" t="s">
        <v>8</v>
      </c>
    </row>
    <row r="8475" spans="1:4">
      <c r="A8475" t="s">
        <v>6</v>
      </c>
      <c r="B8475">
        <v>51</v>
      </c>
      <c r="C8475" t="str">
        <f>CHOOSE(MATCH(B8475, {20,25,30,35,40,45,50,55,60,65,70,75,80,85}, 1), "20-24", "25-29", "30-34", "35-39", "40-44", "45-49", "50-54", "55-59", "60-64", "65-69", "70-74", "75-79", "80-84", "85+")</f>
        <v>50-54</v>
      </c>
      <c r="D8475" t="s">
        <v>8</v>
      </c>
    </row>
    <row r="8476" spans="1:4">
      <c r="A8476" t="s">
        <v>6</v>
      </c>
      <c r="B8476">
        <v>84</v>
      </c>
      <c r="C8476" t="str">
        <f>CHOOSE(MATCH(B8476, {20,25,30,35,40,45,50,55,60,65,70,75,80,85}, 1), "20-24", "25-29", "30-34", "35-39", "40-44", "45-49", "50-54", "55-59", "60-64", "65-69", "70-74", "75-79", "80-84", "85+")</f>
        <v>80-84</v>
      </c>
      <c r="D8476" t="s">
        <v>7</v>
      </c>
    </row>
    <row r="8477" spans="1:4">
      <c r="A8477" t="s">
        <v>6</v>
      </c>
      <c r="B8477">
        <v>41</v>
      </c>
      <c r="C8477" t="str">
        <f>CHOOSE(MATCH(B8477, {20,25,30,35,40,45,50,55,60,65,70,75,80,85}, 1), "20-24", "25-29", "30-34", "35-39", "40-44", "45-49", "50-54", "55-59", "60-64", "65-69", "70-74", "75-79", "80-84", "85+")</f>
        <v>40-44</v>
      </c>
      <c r="D8477" t="s">
        <v>7</v>
      </c>
    </row>
    <row r="8478" spans="1:4">
      <c r="A8478" t="s">
        <v>6</v>
      </c>
      <c r="B8478">
        <v>76</v>
      </c>
      <c r="C8478" t="str">
        <f>CHOOSE(MATCH(B8478, {20,25,30,35,40,45,50,55,60,65,70,75,80,85}, 1), "20-24", "25-29", "30-34", "35-39", "40-44", "45-49", "50-54", "55-59", "60-64", "65-69", "70-74", "75-79", "80-84", "85+")</f>
        <v>75-79</v>
      </c>
      <c r="D8478" t="s">
        <v>8</v>
      </c>
    </row>
    <row r="8479" spans="1:4">
      <c r="A8479" t="s">
        <v>6</v>
      </c>
      <c r="B8479">
        <v>25</v>
      </c>
      <c r="C8479" t="str">
        <f>CHOOSE(MATCH(B8479, {20,25,30,35,40,45,50,55,60,65,70,75,80,85}, 1), "20-24", "25-29", "30-34", "35-39", "40-44", "45-49", "50-54", "55-59", "60-64", "65-69", "70-74", "75-79", "80-84", "85+")</f>
        <v>25-29</v>
      </c>
      <c r="D8479" t="s">
        <v>7</v>
      </c>
    </row>
    <row r="8480" spans="1:4">
      <c r="A8480" t="s">
        <v>6</v>
      </c>
      <c r="B8480">
        <v>24</v>
      </c>
      <c r="C8480" t="str">
        <f>CHOOSE(MATCH(B8480, {20,25,30,35,40,45,50,55,60,65,70,75,80,85}, 1), "20-24", "25-29", "30-34", "35-39", "40-44", "45-49", "50-54", "55-59", "60-64", "65-69", "70-74", "75-79", "80-84", "85+")</f>
        <v>20-24</v>
      </c>
      <c r="D8480" t="s">
        <v>7</v>
      </c>
    </row>
    <row r="8481" spans="1:4">
      <c r="A8481" t="s">
        <v>6</v>
      </c>
      <c r="B8481">
        <v>39</v>
      </c>
      <c r="C8481" t="str">
        <f>CHOOSE(MATCH(B8481, {20,25,30,35,40,45,50,55,60,65,70,75,80,85}, 1), "20-24", "25-29", "30-34", "35-39", "40-44", "45-49", "50-54", "55-59", "60-64", "65-69", "70-74", "75-79", "80-84", "85+")</f>
        <v>35-39</v>
      </c>
      <c r="D8481" t="s">
        <v>8</v>
      </c>
    </row>
    <row r="8482" spans="1:4">
      <c r="A8482" t="s">
        <v>6</v>
      </c>
      <c r="B8482">
        <v>28</v>
      </c>
      <c r="C8482" t="str">
        <f>CHOOSE(MATCH(B8482, {20,25,30,35,40,45,50,55,60,65,70,75,80,85}, 1), "20-24", "25-29", "30-34", "35-39", "40-44", "45-49", "50-54", "55-59", "60-64", "65-69", "70-74", "75-79", "80-84", "85+")</f>
        <v>25-29</v>
      </c>
      <c r="D8482" t="s">
        <v>7</v>
      </c>
    </row>
    <row r="8483" spans="1:4">
      <c r="A8483" t="s">
        <v>6</v>
      </c>
      <c r="B8483">
        <v>41</v>
      </c>
      <c r="C8483" t="str">
        <f>CHOOSE(MATCH(B8483, {20,25,30,35,40,45,50,55,60,65,70,75,80,85}, 1), "20-24", "25-29", "30-34", "35-39", "40-44", "45-49", "50-54", "55-59", "60-64", "65-69", "70-74", "75-79", "80-84", "85+")</f>
        <v>40-44</v>
      </c>
      <c r="D8483" t="s">
        <v>8</v>
      </c>
    </row>
    <row r="8484" spans="1:4">
      <c r="A8484" t="s">
        <v>6</v>
      </c>
      <c r="B8484">
        <v>47</v>
      </c>
      <c r="C8484" t="str">
        <f>CHOOSE(MATCH(B8484, {20,25,30,35,40,45,50,55,60,65,70,75,80,85}, 1), "20-24", "25-29", "30-34", "35-39", "40-44", "45-49", "50-54", "55-59", "60-64", "65-69", "70-74", "75-79", "80-84", "85+")</f>
        <v>45-49</v>
      </c>
      <c r="D8484" t="s">
        <v>7</v>
      </c>
    </row>
    <row r="8485" spans="1:4">
      <c r="A8485" t="s">
        <v>6</v>
      </c>
      <c r="B8485">
        <v>44</v>
      </c>
      <c r="C8485" t="str">
        <f>CHOOSE(MATCH(B8485, {20,25,30,35,40,45,50,55,60,65,70,75,80,85}, 1), "20-24", "25-29", "30-34", "35-39", "40-44", "45-49", "50-54", "55-59", "60-64", "65-69", "70-74", "75-79", "80-84", "85+")</f>
        <v>40-44</v>
      </c>
      <c r="D8485" t="s">
        <v>7</v>
      </c>
    </row>
    <row r="8486" spans="1:4">
      <c r="A8486" t="s">
        <v>6</v>
      </c>
      <c r="B8486">
        <v>36</v>
      </c>
      <c r="C8486" t="str">
        <f>CHOOSE(MATCH(B8486, {20,25,30,35,40,45,50,55,60,65,70,75,80,85}, 1), "20-24", "25-29", "30-34", "35-39", "40-44", "45-49", "50-54", "55-59", "60-64", "65-69", "70-74", "75-79", "80-84", "85+")</f>
        <v>35-39</v>
      </c>
      <c r="D8486" t="s">
        <v>7</v>
      </c>
    </row>
    <row r="8487" spans="1:4">
      <c r="A8487" t="s">
        <v>6</v>
      </c>
      <c r="B8487">
        <v>59</v>
      </c>
      <c r="C8487" t="str">
        <f>CHOOSE(MATCH(B8487, {20,25,30,35,40,45,50,55,60,65,70,75,80,85}, 1), "20-24", "25-29", "30-34", "35-39", "40-44", "45-49", "50-54", "55-59", "60-64", "65-69", "70-74", "75-79", "80-84", "85+")</f>
        <v>55-59</v>
      </c>
      <c r="D8487" t="s">
        <v>8</v>
      </c>
    </row>
    <row r="8488" spans="1:4">
      <c r="A8488" t="s">
        <v>6</v>
      </c>
      <c r="B8488">
        <v>24</v>
      </c>
      <c r="C8488" t="str">
        <f>CHOOSE(MATCH(B8488, {20,25,30,35,40,45,50,55,60,65,70,75,80,85}, 1), "20-24", "25-29", "30-34", "35-39", "40-44", "45-49", "50-54", "55-59", "60-64", "65-69", "70-74", "75-79", "80-84", "85+")</f>
        <v>20-24</v>
      </c>
      <c r="D8488" t="s">
        <v>7</v>
      </c>
    </row>
    <row r="8489" spans="1:4">
      <c r="A8489" t="s">
        <v>6</v>
      </c>
      <c r="B8489">
        <v>42</v>
      </c>
      <c r="C8489" t="str">
        <f>CHOOSE(MATCH(B8489, {20,25,30,35,40,45,50,55,60,65,70,75,80,85}, 1), "20-24", "25-29", "30-34", "35-39", "40-44", "45-49", "50-54", "55-59", "60-64", "65-69", "70-74", "75-79", "80-84", "85+")</f>
        <v>40-44</v>
      </c>
      <c r="D8489" t="s">
        <v>7</v>
      </c>
    </row>
    <row r="8490" spans="1:4">
      <c r="A8490" t="s">
        <v>6</v>
      </c>
      <c r="B8490">
        <v>38</v>
      </c>
      <c r="C8490" t="str">
        <f>CHOOSE(MATCH(B8490, {20,25,30,35,40,45,50,55,60,65,70,75,80,85}, 1), "20-24", "25-29", "30-34", "35-39", "40-44", "45-49", "50-54", "55-59", "60-64", "65-69", "70-74", "75-79", "80-84", "85+")</f>
        <v>35-39</v>
      </c>
      <c r="D8490" t="s">
        <v>8</v>
      </c>
    </row>
    <row r="8491" spans="1:4">
      <c r="A8491" t="s">
        <v>6</v>
      </c>
      <c r="B8491">
        <v>47</v>
      </c>
      <c r="C8491" t="str">
        <f>CHOOSE(MATCH(B8491, {20,25,30,35,40,45,50,55,60,65,70,75,80,85}, 1), "20-24", "25-29", "30-34", "35-39", "40-44", "45-49", "50-54", "55-59", "60-64", "65-69", "70-74", "75-79", "80-84", "85+")</f>
        <v>45-49</v>
      </c>
      <c r="D8491" t="s">
        <v>8</v>
      </c>
    </row>
    <row r="8492" spans="1:4">
      <c r="A8492" t="s">
        <v>6</v>
      </c>
      <c r="B8492">
        <v>82</v>
      </c>
      <c r="C8492" t="str">
        <f>CHOOSE(MATCH(B8492, {20,25,30,35,40,45,50,55,60,65,70,75,80,85}, 1), "20-24", "25-29", "30-34", "35-39", "40-44", "45-49", "50-54", "55-59", "60-64", "65-69", "70-74", "75-79", "80-84", "85+")</f>
        <v>80-84</v>
      </c>
      <c r="D8492" t="s">
        <v>7</v>
      </c>
    </row>
    <row r="8493" spans="1:4">
      <c r="A8493" t="s">
        <v>6</v>
      </c>
      <c r="B8493">
        <v>66</v>
      </c>
      <c r="C8493" t="str">
        <f>CHOOSE(MATCH(B8493, {20,25,30,35,40,45,50,55,60,65,70,75,80,85}, 1), "20-24", "25-29", "30-34", "35-39", "40-44", "45-49", "50-54", "55-59", "60-64", "65-69", "70-74", "75-79", "80-84", "85+")</f>
        <v>65-69</v>
      </c>
      <c r="D8493" t="s">
        <v>7</v>
      </c>
    </row>
    <row r="8494" spans="1:4">
      <c r="A8494" t="s">
        <v>6</v>
      </c>
      <c r="B8494">
        <v>44</v>
      </c>
      <c r="C8494" t="str">
        <f>CHOOSE(MATCH(B8494, {20,25,30,35,40,45,50,55,60,65,70,75,80,85}, 1), "20-24", "25-29", "30-34", "35-39", "40-44", "45-49", "50-54", "55-59", "60-64", "65-69", "70-74", "75-79", "80-84", "85+")</f>
        <v>40-44</v>
      </c>
      <c r="D8494" t="s">
        <v>8</v>
      </c>
    </row>
    <row r="8495" spans="1:4">
      <c r="A8495" t="s">
        <v>6</v>
      </c>
      <c r="B8495">
        <v>36</v>
      </c>
      <c r="C8495" t="str">
        <f>CHOOSE(MATCH(B8495, {20,25,30,35,40,45,50,55,60,65,70,75,80,85}, 1), "20-24", "25-29", "30-34", "35-39", "40-44", "45-49", "50-54", "55-59", "60-64", "65-69", "70-74", "75-79", "80-84", "85+")</f>
        <v>35-39</v>
      </c>
      <c r="D8495" t="s">
        <v>8</v>
      </c>
    </row>
    <row r="8496" spans="1:4">
      <c r="A8496" t="s">
        <v>6</v>
      </c>
      <c r="B8496">
        <v>32</v>
      </c>
      <c r="C8496" t="str">
        <f>CHOOSE(MATCH(B8496, {20,25,30,35,40,45,50,55,60,65,70,75,80,85}, 1), "20-24", "25-29", "30-34", "35-39", "40-44", "45-49", "50-54", "55-59", "60-64", "65-69", "70-74", "75-79", "80-84", "85+")</f>
        <v>30-34</v>
      </c>
      <c r="D8496" t="s">
        <v>7</v>
      </c>
    </row>
    <row r="8497" spans="1:4">
      <c r="A8497" t="s">
        <v>6</v>
      </c>
      <c r="B8497">
        <v>51</v>
      </c>
      <c r="C8497" t="str">
        <f>CHOOSE(MATCH(B8497, {20,25,30,35,40,45,50,55,60,65,70,75,80,85}, 1), "20-24", "25-29", "30-34", "35-39", "40-44", "45-49", "50-54", "55-59", "60-64", "65-69", "70-74", "75-79", "80-84", "85+")</f>
        <v>50-54</v>
      </c>
      <c r="D8497" t="s">
        <v>8</v>
      </c>
    </row>
    <row r="8498" spans="1:4">
      <c r="A8498" t="s">
        <v>6</v>
      </c>
      <c r="B8498">
        <v>82</v>
      </c>
      <c r="C8498" t="str">
        <f>CHOOSE(MATCH(B8498, {20,25,30,35,40,45,50,55,60,65,70,75,80,85}, 1), "20-24", "25-29", "30-34", "35-39", "40-44", "45-49", "50-54", "55-59", "60-64", "65-69", "70-74", "75-79", "80-84", "85+")</f>
        <v>80-84</v>
      </c>
      <c r="D8498" t="s">
        <v>7</v>
      </c>
    </row>
    <row r="8499" spans="1:4">
      <c r="A8499" t="s">
        <v>6</v>
      </c>
      <c r="B8499">
        <v>30</v>
      </c>
      <c r="C8499" t="str">
        <f>CHOOSE(MATCH(B8499, {20,25,30,35,40,45,50,55,60,65,70,75,80,85}, 1), "20-24", "25-29", "30-34", "35-39", "40-44", "45-49", "50-54", "55-59", "60-64", "65-69", "70-74", "75-79", "80-84", "85+")</f>
        <v>30-34</v>
      </c>
      <c r="D8499" t="s">
        <v>7</v>
      </c>
    </row>
    <row r="8500" spans="1:4">
      <c r="A8500" t="s">
        <v>6</v>
      </c>
      <c r="B8500">
        <v>22</v>
      </c>
      <c r="C8500" t="str">
        <f>CHOOSE(MATCH(B8500, {20,25,30,35,40,45,50,55,60,65,70,75,80,85}, 1), "20-24", "25-29", "30-34", "35-39", "40-44", "45-49", "50-54", "55-59", "60-64", "65-69", "70-74", "75-79", "80-84", "85+")</f>
        <v>20-24</v>
      </c>
      <c r="D8500" t="s">
        <v>7</v>
      </c>
    </row>
    <row r="8501" spans="1:4">
      <c r="A8501" t="s">
        <v>6</v>
      </c>
      <c r="B8501">
        <v>45</v>
      </c>
      <c r="C8501" t="str">
        <f>CHOOSE(MATCH(B8501, {20,25,30,35,40,45,50,55,60,65,70,75,80,85}, 1), "20-24", "25-29", "30-34", "35-39", "40-44", "45-49", "50-54", "55-59", "60-64", "65-69", "70-74", "75-79", "80-84", "85+")</f>
        <v>45-49</v>
      </c>
      <c r="D8501" t="s">
        <v>7</v>
      </c>
    </row>
    <row r="8502" spans="1:4">
      <c r="A8502" t="s">
        <v>6</v>
      </c>
      <c r="B8502">
        <v>46</v>
      </c>
      <c r="C8502" t="str">
        <f>CHOOSE(MATCH(B8502, {20,25,30,35,40,45,50,55,60,65,70,75,80,85}, 1), "20-24", "25-29", "30-34", "35-39", "40-44", "45-49", "50-54", "55-59", "60-64", "65-69", "70-74", "75-79", "80-84", "85+")</f>
        <v>45-49</v>
      </c>
      <c r="D8502" t="s">
        <v>7</v>
      </c>
    </row>
    <row r="8503" spans="1:4">
      <c r="A8503" t="s">
        <v>6</v>
      </c>
      <c r="B8503">
        <v>42</v>
      </c>
      <c r="C8503" t="str">
        <f>CHOOSE(MATCH(B8503, {20,25,30,35,40,45,50,55,60,65,70,75,80,85}, 1), "20-24", "25-29", "30-34", "35-39", "40-44", "45-49", "50-54", "55-59", "60-64", "65-69", "70-74", "75-79", "80-84", "85+")</f>
        <v>40-44</v>
      </c>
      <c r="D8503" t="s">
        <v>7</v>
      </c>
    </row>
    <row r="8504" spans="1:4">
      <c r="A8504" t="s">
        <v>6</v>
      </c>
      <c r="B8504">
        <v>85</v>
      </c>
      <c r="C8504" t="str">
        <f>CHOOSE(MATCH(B8504, {20,25,30,35,40,45,50,55,60,65,70,75,80,85}, 1), "20-24", "25-29", "30-34", "35-39", "40-44", "45-49", "50-54", "55-59", "60-64", "65-69", "70-74", "75-79", "80-84", "85+")</f>
        <v>85+</v>
      </c>
      <c r="D8504" t="s">
        <v>7</v>
      </c>
    </row>
    <row r="8505" spans="1:4">
      <c r="A8505" t="s">
        <v>6</v>
      </c>
      <c r="B8505">
        <v>26</v>
      </c>
      <c r="C8505" t="str">
        <f>CHOOSE(MATCH(B8505, {20,25,30,35,40,45,50,55,60,65,70,75,80,85}, 1), "20-24", "25-29", "30-34", "35-39", "40-44", "45-49", "50-54", "55-59", "60-64", "65-69", "70-74", "75-79", "80-84", "85+")</f>
        <v>25-29</v>
      </c>
      <c r="D8505" t="s">
        <v>7</v>
      </c>
    </row>
    <row r="8506" spans="1:4">
      <c r="A8506" t="s">
        <v>6</v>
      </c>
      <c r="B8506">
        <v>37</v>
      </c>
      <c r="C8506" t="str">
        <f>CHOOSE(MATCH(B8506, {20,25,30,35,40,45,50,55,60,65,70,75,80,85}, 1), "20-24", "25-29", "30-34", "35-39", "40-44", "45-49", "50-54", "55-59", "60-64", "65-69", "70-74", "75-79", "80-84", "85+")</f>
        <v>35-39</v>
      </c>
      <c r="D8506" t="s">
        <v>8</v>
      </c>
    </row>
    <row r="8507" spans="1:4">
      <c r="A8507" t="s">
        <v>6</v>
      </c>
      <c r="B8507">
        <v>28</v>
      </c>
      <c r="C8507" t="str">
        <f>CHOOSE(MATCH(B8507, {20,25,30,35,40,45,50,55,60,65,70,75,80,85}, 1), "20-24", "25-29", "30-34", "35-39", "40-44", "45-49", "50-54", "55-59", "60-64", "65-69", "70-74", "75-79", "80-84", "85+")</f>
        <v>25-29</v>
      </c>
      <c r="D8507" t="s">
        <v>7</v>
      </c>
    </row>
    <row r="8508" spans="1:4">
      <c r="A8508" t="s">
        <v>6</v>
      </c>
      <c r="B8508">
        <v>63</v>
      </c>
      <c r="C8508" t="str">
        <f>CHOOSE(MATCH(B8508, {20,25,30,35,40,45,50,55,60,65,70,75,80,85}, 1), "20-24", "25-29", "30-34", "35-39", "40-44", "45-49", "50-54", "55-59", "60-64", "65-69", "70-74", "75-79", "80-84", "85+")</f>
        <v>60-64</v>
      </c>
      <c r="D8508" t="s">
        <v>7</v>
      </c>
    </row>
    <row r="8509" spans="1:4">
      <c r="A8509" t="s">
        <v>6</v>
      </c>
      <c r="B8509">
        <v>57</v>
      </c>
      <c r="C8509" t="str">
        <f>CHOOSE(MATCH(B8509, {20,25,30,35,40,45,50,55,60,65,70,75,80,85}, 1), "20-24", "25-29", "30-34", "35-39", "40-44", "45-49", "50-54", "55-59", "60-64", "65-69", "70-74", "75-79", "80-84", "85+")</f>
        <v>55-59</v>
      </c>
      <c r="D8509" t="s">
        <v>7</v>
      </c>
    </row>
    <row r="8510" spans="1:4">
      <c r="A8510" t="s">
        <v>6</v>
      </c>
      <c r="B8510">
        <v>25</v>
      </c>
      <c r="C8510" t="str">
        <f>CHOOSE(MATCH(B8510, {20,25,30,35,40,45,50,55,60,65,70,75,80,85}, 1), "20-24", "25-29", "30-34", "35-39", "40-44", "45-49", "50-54", "55-59", "60-64", "65-69", "70-74", "75-79", "80-84", "85+")</f>
        <v>25-29</v>
      </c>
      <c r="D8510" t="s">
        <v>7</v>
      </c>
    </row>
    <row r="8511" spans="1:4">
      <c r="A8511" t="s">
        <v>6</v>
      </c>
      <c r="B8511">
        <v>73</v>
      </c>
      <c r="C8511" t="str">
        <f>CHOOSE(MATCH(B8511, {20,25,30,35,40,45,50,55,60,65,70,75,80,85}, 1), "20-24", "25-29", "30-34", "35-39", "40-44", "45-49", "50-54", "55-59", "60-64", "65-69", "70-74", "75-79", "80-84", "85+")</f>
        <v>70-74</v>
      </c>
      <c r="D8511" t="s">
        <v>7</v>
      </c>
    </row>
    <row r="8512" spans="1:4">
      <c r="A8512" t="s">
        <v>6</v>
      </c>
      <c r="B8512">
        <v>36</v>
      </c>
      <c r="C8512" t="str">
        <f>CHOOSE(MATCH(B8512, {20,25,30,35,40,45,50,55,60,65,70,75,80,85}, 1), "20-24", "25-29", "30-34", "35-39", "40-44", "45-49", "50-54", "55-59", "60-64", "65-69", "70-74", "75-79", "80-84", "85+")</f>
        <v>35-39</v>
      </c>
      <c r="D8512" t="s">
        <v>8</v>
      </c>
    </row>
    <row r="8513" spans="1:4">
      <c r="A8513" t="s">
        <v>6</v>
      </c>
      <c r="B8513">
        <v>40</v>
      </c>
      <c r="C8513" t="str">
        <f>CHOOSE(MATCH(B8513, {20,25,30,35,40,45,50,55,60,65,70,75,80,85}, 1), "20-24", "25-29", "30-34", "35-39", "40-44", "45-49", "50-54", "55-59", "60-64", "65-69", "70-74", "75-79", "80-84", "85+")</f>
        <v>40-44</v>
      </c>
      <c r="D8513" t="s">
        <v>7</v>
      </c>
    </row>
    <row r="8514" spans="1:4">
      <c r="A8514" t="s">
        <v>6</v>
      </c>
      <c r="B8514">
        <v>25</v>
      </c>
      <c r="C8514" t="str">
        <f>CHOOSE(MATCH(B8514, {20,25,30,35,40,45,50,55,60,65,70,75,80,85}, 1), "20-24", "25-29", "30-34", "35-39", "40-44", "45-49", "50-54", "55-59", "60-64", "65-69", "70-74", "75-79", "80-84", "85+")</f>
        <v>25-29</v>
      </c>
      <c r="D8514" t="s">
        <v>7</v>
      </c>
    </row>
    <row r="8515" spans="1:4">
      <c r="A8515" t="s">
        <v>6</v>
      </c>
      <c r="B8515">
        <v>25</v>
      </c>
      <c r="C8515" t="str">
        <f>CHOOSE(MATCH(B8515, {20,25,30,35,40,45,50,55,60,65,70,75,80,85}, 1), "20-24", "25-29", "30-34", "35-39", "40-44", "45-49", "50-54", "55-59", "60-64", "65-69", "70-74", "75-79", "80-84", "85+")</f>
        <v>25-29</v>
      </c>
      <c r="D8515" t="s">
        <v>7</v>
      </c>
    </row>
    <row r="8516" spans="1:4">
      <c r="A8516" t="s">
        <v>6</v>
      </c>
      <c r="B8516">
        <v>29</v>
      </c>
      <c r="C8516" t="str">
        <f>CHOOSE(MATCH(B8516, {20,25,30,35,40,45,50,55,60,65,70,75,80,85}, 1), "20-24", "25-29", "30-34", "35-39", "40-44", "45-49", "50-54", "55-59", "60-64", "65-69", "70-74", "75-79", "80-84", "85+")</f>
        <v>25-29</v>
      </c>
      <c r="D8516" t="s">
        <v>7</v>
      </c>
    </row>
    <row r="8517" spans="1:4">
      <c r="A8517" t="s">
        <v>6</v>
      </c>
      <c r="B8517">
        <v>27</v>
      </c>
      <c r="C8517" t="str">
        <f>CHOOSE(MATCH(B8517, {20,25,30,35,40,45,50,55,60,65,70,75,80,85}, 1), "20-24", "25-29", "30-34", "35-39", "40-44", "45-49", "50-54", "55-59", "60-64", "65-69", "70-74", "75-79", "80-84", "85+")</f>
        <v>25-29</v>
      </c>
      <c r="D8517" t="s">
        <v>7</v>
      </c>
    </row>
    <row r="8518" spans="1:4">
      <c r="A8518" t="s">
        <v>6</v>
      </c>
      <c r="B8518">
        <v>31</v>
      </c>
      <c r="C8518" t="str">
        <f>CHOOSE(MATCH(B8518, {20,25,30,35,40,45,50,55,60,65,70,75,80,85}, 1), "20-24", "25-29", "30-34", "35-39", "40-44", "45-49", "50-54", "55-59", "60-64", "65-69", "70-74", "75-79", "80-84", "85+")</f>
        <v>30-34</v>
      </c>
      <c r="D8518" t="s">
        <v>7</v>
      </c>
    </row>
    <row r="8519" spans="1:4">
      <c r="A8519" t="s">
        <v>6</v>
      </c>
      <c r="B8519">
        <v>72</v>
      </c>
      <c r="C8519" t="str">
        <f>CHOOSE(MATCH(B8519, {20,25,30,35,40,45,50,55,60,65,70,75,80,85}, 1), "20-24", "25-29", "30-34", "35-39", "40-44", "45-49", "50-54", "55-59", "60-64", "65-69", "70-74", "75-79", "80-84", "85+")</f>
        <v>70-74</v>
      </c>
      <c r="D8519" t="s">
        <v>7</v>
      </c>
    </row>
    <row r="8520" spans="1:4">
      <c r="A8520" t="s">
        <v>6</v>
      </c>
      <c r="B8520">
        <v>34</v>
      </c>
      <c r="C8520" t="str">
        <f>CHOOSE(MATCH(B8520, {20,25,30,35,40,45,50,55,60,65,70,75,80,85}, 1), "20-24", "25-29", "30-34", "35-39", "40-44", "45-49", "50-54", "55-59", "60-64", "65-69", "70-74", "75-79", "80-84", "85+")</f>
        <v>30-34</v>
      </c>
      <c r="D8520" t="s">
        <v>8</v>
      </c>
    </row>
    <row r="8521" spans="1:4">
      <c r="A8521" t="s">
        <v>6</v>
      </c>
      <c r="B8521">
        <v>35</v>
      </c>
      <c r="C8521" t="str">
        <f>CHOOSE(MATCH(B8521, {20,25,30,35,40,45,50,55,60,65,70,75,80,85}, 1), "20-24", "25-29", "30-34", "35-39", "40-44", "45-49", "50-54", "55-59", "60-64", "65-69", "70-74", "75-79", "80-84", "85+")</f>
        <v>35-39</v>
      </c>
      <c r="D8521" t="s">
        <v>7</v>
      </c>
    </row>
    <row r="8522" spans="1:4">
      <c r="A8522" t="s">
        <v>6</v>
      </c>
      <c r="B8522">
        <v>27</v>
      </c>
      <c r="C8522" t="str">
        <f>CHOOSE(MATCH(B8522, {20,25,30,35,40,45,50,55,60,65,70,75,80,85}, 1), "20-24", "25-29", "30-34", "35-39", "40-44", "45-49", "50-54", "55-59", "60-64", "65-69", "70-74", "75-79", "80-84", "85+")</f>
        <v>25-29</v>
      </c>
      <c r="D8522" t="s">
        <v>7</v>
      </c>
    </row>
    <row r="8523" spans="1:4">
      <c r="A8523" t="s">
        <v>6</v>
      </c>
      <c r="B8523">
        <v>57</v>
      </c>
      <c r="C8523" t="str">
        <f>CHOOSE(MATCH(B8523, {20,25,30,35,40,45,50,55,60,65,70,75,80,85}, 1), "20-24", "25-29", "30-34", "35-39", "40-44", "45-49", "50-54", "55-59", "60-64", "65-69", "70-74", "75-79", "80-84", "85+")</f>
        <v>55-59</v>
      </c>
      <c r="D8523" t="s">
        <v>8</v>
      </c>
    </row>
    <row r="8524" spans="1:4">
      <c r="A8524" t="s">
        <v>6</v>
      </c>
      <c r="B8524">
        <v>30</v>
      </c>
      <c r="C8524" t="str">
        <f>CHOOSE(MATCH(B8524, {20,25,30,35,40,45,50,55,60,65,70,75,80,85}, 1), "20-24", "25-29", "30-34", "35-39", "40-44", "45-49", "50-54", "55-59", "60-64", "65-69", "70-74", "75-79", "80-84", "85+")</f>
        <v>30-34</v>
      </c>
      <c r="D8524" t="s">
        <v>7</v>
      </c>
    </row>
    <row r="8525" spans="1:4">
      <c r="A8525" t="s">
        <v>6</v>
      </c>
      <c r="B8525">
        <v>45</v>
      </c>
      <c r="C8525" t="str">
        <f>CHOOSE(MATCH(B8525, {20,25,30,35,40,45,50,55,60,65,70,75,80,85}, 1), "20-24", "25-29", "30-34", "35-39", "40-44", "45-49", "50-54", "55-59", "60-64", "65-69", "70-74", "75-79", "80-84", "85+")</f>
        <v>45-49</v>
      </c>
      <c r="D8525" t="s">
        <v>8</v>
      </c>
    </row>
    <row r="8526" spans="1:4">
      <c r="A8526" t="s">
        <v>6</v>
      </c>
      <c r="B8526">
        <v>53</v>
      </c>
      <c r="C8526" t="str">
        <f>CHOOSE(MATCH(B8526, {20,25,30,35,40,45,50,55,60,65,70,75,80,85}, 1), "20-24", "25-29", "30-34", "35-39", "40-44", "45-49", "50-54", "55-59", "60-64", "65-69", "70-74", "75-79", "80-84", "85+")</f>
        <v>50-54</v>
      </c>
      <c r="D8526" t="s">
        <v>8</v>
      </c>
    </row>
    <row r="8527" spans="1:4">
      <c r="A8527" t="s">
        <v>6</v>
      </c>
      <c r="B8527">
        <v>38</v>
      </c>
      <c r="C8527" t="str">
        <f>CHOOSE(MATCH(B8527, {20,25,30,35,40,45,50,55,60,65,70,75,80,85}, 1), "20-24", "25-29", "30-34", "35-39", "40-44", "45-49", "50-54", "55-59", "60-64", "65-69", "70-74", "75-79", "80-84", "85+")</f>
        <v>35-39</v>
      </c>
      <c r="D8527" t="s">
        <v>7</v>
      </c>
    </row>
    <row r="8528" spans="1:4">
      <c r="A8528" t="s">
        <v>6</v>
      </c>
      <c r="B8528">
        <v>40</v>
      </c>
      <c r="C8528" t="str">
        <f>CHOOSE(MATCH(B8528, {20,25,30,35,40,45,50,55,60,65,70,75,80,85}, 1), "20-24", "25-29", "30-34", "35-39", "40-44", "45-49", "50-54", "55-59", "60-64", "65-69", "70-74", "75-79", "80-84", "85+")</f>
        <v>40-44</v>
      </c>
      <c r="D8528" t="s">
        <v>7</v>
      </c>
    </row>
    <row r="8529" spans="1:4">
      <c r="A8529" t="s">
        <v>6</v>
      </c>
      <c r="B8529">
        <v>76</v>
      </c>
      <c r="C8529" t="str">
        <f>CHOOSE(MATCH(B8529, {20,25,30,35,40,45,50,55,60,65,70,75,80,85}, 1), "20-24", "25-29", "30-34", "35-39", "40-44", "45-49", "50-54", "55-59", "60-64", "65-69", "70-74", "75-79", "80-84", "85+")</f>
        <v>75-79</v>
      </c>
      <c r="D8529" t="s">
        <v>8</v>
      </c>
    </row>
    <row r="8530" spans="1:4">
      <c r="A8530" t="s">
        <v>6</v>
      </c>
      <c r="B8530">
        <v>61</v>
      </c>
      <c r="C8530" t="str">
        <f>CHOOSE(MATCH(B8530, {20,25,30,35,40,45,50,55,60,65,70,75,80,85}, 1), "20-24", "25-29", "30-34", "35-39", "40-44", "45-49", "50-54", "55-59", "60-64", "65-69", "70-74", "75-79", "80-84", "85+")</f>
        <v>60-64</v>
      </c>
      <c r="D8530" t="s">
        <v>8</v>
      </c>
    </row>
    <row r="8531" spans="1:4">
      <c r="A8531" t="s">
        <v>6</v>
      </c>
      <c r="B8531">
        <v>47</v>
      </c>
      <c r="C8531" t="str">
        <f>CHOOSE(MATCH(B8531, {20,25,30,35,40,45,50,55,60,65,70,75,80,85}, 1), "20-24", "25-29", "30-34", "35-39", "40-44", "45-49", "50-54", "55-59", "60-64", "65-69", "70-74", "75-79", "80-84", "85+")</f>
        <v>45-49</v>
      </c>
      <c r="D8531" t="s">
        <v>7</v>
      </c>
    </row>
    <row r="8532" spans="1:4">
      <c r="A8532" t="s">
        <v>6</v>
      </c>
      <c r="B8532">
        <v>69</v>
      </c>
      <c r="C8532" t="str">
        <f>CHOOSE(MATCH(B8532, {20,25,30,35,40,45,50,55,60,65,70,75,80,85}, 1), "20-24", "25-29", "30-34", "35-39", "40-44", "45-49", "50-54", "55-59", "60-64", "65-69", "70-74", "75-79", "80-84", "85+")</f>
        <v>65-69</v>
      </c>
      <c r="D8532" t="s">
        <v>7</v>
      </c>
    </row>
    <row r="8533" spans="1:4">
      <c r="A8533" t="s">
        <v>6</v>
      </c>
      <c r="B8533">
        <v>21</v>
      </c>
      <c r="C8533" t="str">
        <f>CHOOSE(MATCH(B8533, {20,25,30,35,40,45,50,55,60,65,70,75,80,85}, 1), "20-24", "25-29", "30-34", "35-39", "40-44", "45-49", "50-54", "55-59", "60-64", "65-69", "70-74", "75-79", "80-84", "85+")</f>
        <v>20-24</v>
      </c>
      <c r="D8533" t="s">
        <v>7</v>
      </c>
    </row>
    <row r="8534" spans="1:4">
      <c r="A8534" t="s">
        <v>6</v>
      </c>
      <c r="B8534">
        <v>46</v>
      </c>
      <c r="C8534" t="str">
        <f>CHOOSE(MATCH(B8534, {20,25,30,35,40,45,50,55,60,65,70,75,80,85}, 1), "20-24", "25-29", "30-34", "35-39", "40-44", "45-49", "50-54", "55-59", "60-64", "65-69", "70-74", "75-79", "80-84", "85+")</f>
        <v>45-49</v>
      </c>
      <c r="D8534" t="s">
        <v>8</v>
      </c>
    </row>
    <row r="8535" spans="1:4">
      <c r="A8535" t="s">
        <v>6</v>
      </c>
      <c r="B8535">
        <v>67</v>
      </c>
      <c r="C8535" t="str">
        <f>CHOOSE(MATCH(B8535, {20,25,30,35,40,45,50,55,60,65,70,75,80,85}, 1), "20-24", "25-29", "30-34", "35-39", "40-44", "45-49", "50-54", "55-59", "60-64", "65-69", "70-74", "75-79", "80-84", "85+")</f>
        <v>65-69</v>
      </c>
      <c r="D8535" t="s">
        <v>8</v>
      </c>
    </row>
    <row r="8536" spans="1:4">
      <c r="A8536" t="s">
        <v>6</v>
      </c>
      <c r="B8536">
        <v>41</v>
      </c>
      <c r="C8536" t="str">
        <f>CHOOSE(MATCH(B8536, {20,25,30,35,40,45,50,55,60,65,70,75,80,85}, 1), "20-24", "25-29", "30-34", "35-39", "40-44", "45-49", "50-54", "55-59", "60-64", "65-69", "70-74", "75-79", "80-84", "85+")</f>
        <v>40-44</v>
      </c>
      <c r="D8536" t="s">
        <v>7</v>
      </c>
    </row>
    <row r="8537" spans="1:4">
      <c r="A8537" t="s">
        <v>6</v>
      </c>
      <c r="B8537">
        <v>38</v>
      </c>
      <c r="C8537" t="str">
        <f>CHOOSE(MATCH(B8537, {20,25,30,35,40,45,50,55,60,65,70,75,80,85}, 1), "20-24", "25-29", "30-34", "35-39", "40-44", "45-49", "50-54", "55-59", "60-64", "65-69", "70-74", "75-79", "80-84", "85+")</f>
        <v>35-39</v>
      </c>
      <c r="D8537" t="s">
        <v>7</v>
      </c>
    </row>
    <row r="8538" spans="1:4">
      <c r="A8538" t="s">
        <v>6</v>
      </c>
      <c r="B8538">
        <v>28</v>
      </c>
      <c r="C8538" t="str">
        <f>CHOOSE(MATCH(B8538, {20,25,30,35,40,45,50,55,60,65,70,75,80,85}, 1), "20-24", "25-29", "30-34", "35-39", "40-44", "45-49", "50-54", "55-59", "60-64", "65-69", "70-74", "75-79", "80-84", "85+")</f>
        <v>25-29</v>
      </c>
      <c r="D8538" t="s">
        <v>7</v>
      </c>
    </row>
    <row r="8539" spans="1:4">
      <c r="A8539" t="s">
        <v>6</v>
      </c>
      <c r="B8539">
        <v>20</v>
      </c>
      <c r="C8539" t="str">
        <f>CHOOSE(MATCH(B8539, {20,25,30,35,40,45,50,55,60,65,70,75,80,85}, 1), "20-24", "25-29", "30-34", "35-39", "40-44", "45-49", "50-54", "55-59", "60-64", "65-69", "70-74", "75-79", "80-84", "85+")</f>
        <v>20-24</v>
      </c>
      <c r="D8539" t="s">
        <v>7</v>
      </c>
    </row>
    <row r="8540" spans="1:4">
      <c r="A8540" t="s">
        <v>6</v>
      </c>
      <c r="B8540">
        <v>39</v>
      </c>
      <c r="C8540" t="str">
        <f>CHOOSE(MATCH(B8540, {20,25,30,35,40,45,50,55,60,65,70,75,80,85}, 1), "20-24", "25-29", "30-34", "35-39", "40-44", "45-49", "50-54", "55-59", "60-64", "65-69", "70-74", "75-79", "80-84", "85+")</f>
        <v>35-39</v>
      </c>
      <c r="D8540" t="s">
        <v>7</v>
      </c>
    </row>
    <row r="8541" spans="1:4">
      <c r="A8541" t="s">
        <v>6</v>
      </c>
      <c r="B8541">
        <v>42</v>
      </c>
      <c r="C8541" t="str">
        <f>CHOOSE(MATCH(B8541, {20,25,30,35,40,45,50,55,60,65,70,75,80,85}, 1), "20-24", "25-29", "30-34", "35-39", "40-44", "45-49", "50-54", "55-59", "60-64", "65-69", "70-74", "75-79", "80-84", "85+")</f>
        <v>40-44</v>
      </c>
      <c r="D8541" t="s">
        <v>7</v>
      </c>
    </row>
    <row r="8542" spans="1:4">
      <c r="A8542" t="s">
        <v>6</v>
      </c>
      <c r="B8542">
        <v>23</v>
      </c>
      <c r="C8542" t="str">
        <f>CHOOSE(MATCH(B8542, {20,25,30,35,40,45,50,55,60,65,70,75,80,85}, 1), "20-24", "25-29", "30-34", "35-39", "40-44", "45-49", "50-54", "55-59", "60-64", "65-69", "70-74", "75-79", "80-84", "85+")</f>
        <v>20-24</v>
      </c>
      <c r="D8542" t="s">
        <v>8</v>
      </c>
    </row>
    <row r="8543" spans="1:4">
      <c r="A8543" t="s">
        <v>6</v>
      </c>
      <c r="B8543">
        <v>29</v>
      </c>
      <c r="C8543" t="str">
        <f>CHOOSE(MATCH(B8543, {20,25,30,35,40,45,50,55,60,65,70,75,80,85}, 1), "20-24", "25-29", "30-34", "35-39", "40-44", "45-49", "50-54", "55-59", "60-64", "65-69", "70-74", "75-79", "80-84", "85+")</f>
        <v>25-29</v>
      </c>
      <c r="D8543" t="s">
        <v>7</v>
      </c>
    </row>
    <row r="8544" spans="1:4">
      <c r="A8544" t="s">
        <v>6</v>
      </c>
      <c r="B8544">
        <v>31</v>
      </c>
      <c r="C8544" t="str">
        <f>CHOOSE(MATCH(B8544, {20,25,30,35,40,45,50,55,60,65,70,75,80,85}, 1), "20-24", "25-29", "30-34", "35-39", "40-44", "45-49", "50-54", "55-59", "60-64", "65-69", "70-74", "75-79", "80-84", "85+")</f>
        <v>30-34</v>
      </c>
      <c r="D8544" t="s">
        <v>8</v>
      </c>
    </row>
    <row r="8545" spans="1:4">
      <c r="A8545" t="s">
        <v>6</v>
      </c>
      <c r="B8545">
        <v>52</v>
      </c>
      <c r="C8545" t="str">
        <f>CHOOSE(MATCH(B8545, {20,25,30,35,40,45,50,55,60,65,70,75,80,85}, 1), "20-24", "25-29", "30-34", "35-39", "40-44", "45-49", "50-54", "55-59", "60-64", "65-69", "70-74", "75-79", "80-84", "85+")</f>
        <v>50-54</v>
      </c>
      <c r="D8545" t="s">
        <v>7</v>
      </c>
    </row>
    <row r="8546" spans="1:4">
      <c r="A8546" t="s">
        <v>6</v>
      </c>
      <c r="B8546">
        <v>69</v>
      </c>
      <c r="C8546" t="str">
        <f>CHOOSE(MATCH(B8546, {20,25,30,35,40,45,50,55,60,65,70,75,80,85}, 1), "20-24", "25-29", "30-34", "35-39", "40-44", "45-49", "50-54", "55-59", "60-64", "65-69", "70-74", "75-79", "80-84", "85+")</f>
        <v>65-69</v>
      </c>
      <c r="D8546" t="s">
        <v>7</v>
      </c>
    </row>
    <row r="8547" spans="1:4">
      <c r="A8547" t="s">
        <v>6</v>
      </c>
      <c r="B8547">
        <v>34</v>
      </c>
      <c r="C8547" t="str">
        <f>CHOOSE(MATCH(B8547, {20,25,30,35,40,45,50,55,60,65,70,75,80,85}, 1), "20-24", "25-29", "30-34", "35-39", "40-44", "45-49", "50-54", "55-59", "60-64", "65-69", "70-74", "75-79", "80-84", "85+")</f>
        <v>30-34</v>
      </c>
      <c r="D8547" t="s">
        <v>8</v>
      </c>
    </row>
    <row r="8548" spans="1:4">
      <c r="A8548" t="s">
        <v>6</v>
      </c>
      <c r="B8548">
        <v>49</v>
      </c>
      <c r="C8548" t="str">
        <f>CHOOSE(MATCH(B8548, {20,25,30,35,40,45,50,55,60,65,70,75,80,85}, 1), "20-24", "25-29", "30-34", "35-39", "40-44", "45-49", "50-54", "55-59", "60-64", "65-69", "70-74", "75-79", "80-84", "85+")</f>
        <v>45-49</v>
      </c>
      <c r="D8548" t="s">
        <v>7</v>
      </c>
    </row>
    <row r="8549" spans="1:4">
      <c r="A8549" t="s">
        <v>6</v>
      </c>
      <c r="B8549">
        <v>79</v>
      </c>
      <c r="C8549" t="str">
        <f>CHOOSE(MATCH(B8549, {20,25,30,35,40,45,50,55,60,65,70,75,80,85}, 1), "20-24", "25-29", "30-34", "35-39", "40-44", "45-49", "50-54", "55-59", "60-64", "65-69", "70-74", "75-79", "80-84", "85+")</f>
        <v>75-79</v>
      </c>
      <c r="D8549" t="s">
        <v>7</v>
      </c>
    </row>
    <row r="8550" spans="1:4">
      <c r="A8550" t="s">
        <v>6</v>
      </c>
      <c r="B8550">
        <v>72</v>
      </c>
      <c r="C8550" t="str">
        <f>CHOOSE(MATCH(B8550, {20,25,30,35,40,45,50,55,60,65,70,75,80,85}, 1), "20-24", "25-29", "30-34", "35-39", "40-44", "45-49", "50-54", "55-59", "60-64", "65-69", "70-74", "75-79", "80-84", "85+")</f>
        <v>70-74</v>
      </c>
      <c r="D8550" t="s">
        <v>7</v>
      </c>
    </row>
    <row r="8551" spans="1:4">
      <c r="A8551" t="s">
        <v>6</v>
      </c>
      <c r="B8551">
        <v>28</v>
      </c>
      <c r="C8551" t="str">
        <f>CHOOSE(MATCH(B8551, {20,25,30,35,40,45,50,55,60,65,70,75,80,85}, 1), "20-24", "25-29", "30-34", "35-39", "40-44", "45-49", "50-54", "55-59", "60-64", "65-69", "70-74", "75-79", "80-84", "85+")</f>
        <v>25-29</v>
      </c>
      <c r="D8551" t="s">
        <v>7</v>
      </c>
    </row>
    <row r="8552" spans="1:4">
      <c r="A8552" t="s">
        <v>6</v>
      </c>
      <c r="B8552">
        <v>57</v>
      </c>
      <c r="C8552" t="str">
        <f>CHOOSE(MATCH(B8552, {20,25,30,35,40,45,50,55,60,65,70,75,80,85}, 1), "20-24", "25-29", "30-34", "35-39", "40-44", "45-49", "50-54", "55-59", "60-64", "65-69", "70-74", "75-79", "80-84", "85+")</f>
        <v>55-59</v>
      </c>
      <c r="D8552" t="s">
        <v>7</v>
      </c>
    </row>
    <row r="8553" spans="1:4">
      <c r="A8553" t="s">
        <v>6</v>
      </c>
      <c r="B8553">
        <v>23</v>
      </c>
      <c r="C8553" t="str">
        <f>CHOOSE(MATCH(B8553, {20,25,30,35,40,45,50,55,60,65,70,75,80,85}, 1), "20-24", "25-29", "30-34", "35-39", "40-44", "45-49", "50-54", "55-59", "60-64", "65-69", "70-74", "75-79", "80-84", "85+")</f>
        <v>20-24</v>
      </c>
      <c r="D8553" t="s">
        <v>7</v>
      </c>
    </row>
    <row r="8554" spans="1:4">
      <c r="A8554" t="s">
        <v>6</v>
      </c>
      <c r="B8554">
        <v>30</v>
      </c>
      <c r="C8554" t="str">
        <f>CHOOSE(MATCH(B8554, {20,25,30,35,40,45,50,55,60,65,70,75,80,85}, 1), "20-24", "25-29", "30-34", "35-39", "40-44", "45-49", "50-54", "55-59", "60-64", "65-69", "70-74", "75-79", "80-84", "85+")</f>
        <v>30-34</v>
      </c>
      <c r="D8554" t="s">
        <v>8</v>
      </c>
    </row>
    <row r="8555" spans="1:4">
      <c r="A8555" t="s">
        <v>6</v>
      </c>
      <c r="B8555">
        <v>33</v>
      </c>
      <c r="C8555" t="str">
        <f>CHOOSE(MATCH(B8555, {20,25,30,35,40,45,50,55,60,65,70,75,80,85}, 1), "20-24", "25-29", "30-34", "35-39", "40-44", "45-49", "50-54", "55-59", "60-64", "65-69", "70-74", "75-79", "80-84", "85+")</f>
        <v>30-34</v>
      </c>
      <c r="D8555" t="s">
        <v>7</v>
      </c>
    </row>
    <row r="8556" spans="1:4">
      <c r="A8556" t="s">
        <v>6</v>
      </c>
      <c r="B8556">
        <v>46</v>
      </c>
      <c r="C8556" t="str">
        <f>CHOOSE(MATCH(B8556, {20,25,30,35,40,45,50,55,60,65,70,75,80,85}, 1), "20-24", "25-29", "30-34", "35-39", "40-44", "45-49", "50-54", "55-59", "60-64", "65-69", "70-74", "75-79", "80-84", "85+")</f>
        <v>45-49</v>
      </c>
      <c r="D8556" t="s">
        <v>7</v>
      </c>
    </row>
    <row r="8557" spans="1:4">
      <c r="A8557" t="s">
        <v>6</v>
      </c>
      <c r="B8557">
        <v>31</v>
      </c>
      <c r="C8557" t="str">
        <f>CHOOSE(MATCH(B8557, {20,25,30,35,40,45,50,55,60,65,70,75,80,85}, 1), "20-24", "25-29", "30-34", "35-39", "40-44", "45-49", "50-54", "55-59", "60-64", "65-69", "70-74", "75-79", "80-84", "85+")</f>
        <v>30-34</v>
      </c>
      <c r="D8557" t="s">
        <v>8</v>
      </c>
    </row>
    <row r="8558" spans="1:4">
      <c r="A8558" t="s">
        <v>6</v>
      </c>
      <c r="B8558">
        <v>47</v>
      </c>
      <c r="C8558" t="str">
        <f>CHOOSE(MATCH(B8558, {20,25,30,35,40,45,50,55,60,65,70,75,80,85}, 1), "20-24", "25-29", "30-34", "35-39", "40-44", "45-49", "50-54", "55-59", "60-64", "65-69", "70-74", "75-79", "80-84", "85+")</f>
        <v>45-49</v>
      </c>
      <c r="D8558" t="s">
        <v>8</v>
      </c>
    </row>
    <row r="8559" spans="1:4">
      <c r="A8559" t="s">
        <v>6</v>
      </c>
      <c r="B8559">
        <v>84</v>
      </c>
      <c r="C8559" t="str">
        <f>CHOOSE(MATCH(B8559, {20,25,30,35,40,45,50,55,60,65,70,75,80,85}, 1), "20-24", "25-29", "30-34", "35-39", "40-44", "45-49", "50-54", "55-59", "60-64", "65-69", "70-74", "75-79", "80-84", "85+")</f>
        <v>80-84</v>
      </c>
      <c r="D8559" t="s">
        <v>7</v>
      </c>
    </row>
    <row r="8560" spans="1:4">
      <c r="A8560" t="s">
        <v>6</v>
      </c>
      <c r="B8560">
        <v>26</v>
      </c>
      <c r="C8560" t="str">
        <f>CHOOSE(MATCH(B8560, {20,25,30,35,40,45,50,55,60,65,70,75,80,85}, 1), "20-24", "25-29", "30-34", "35-39", "40-44", "45-49", "50-54", "55-59", "60-64", "65-69", "70-74", "75-79", "80-84", "85+")</f>
        <v>25-29</v>
      </c>
      <c r="D8560" t="s">
        <v>7</v>
      </c>
    </row>
    <row r="8561" spans="1:4">
      <c r="A8561" t="s">
        <v>6</v>
      </c>
      <c r="B8561">
        <v>35</v>
      </c>
      <c r="C8561" t="str">
        <f>CHOOSE(MATCH(B8561, {20,25,30,35,40,45,50,55,60,65,70,75,80,85}, 1), "20-24", "25-29", "30-34", "35-39", "40-44", "45-49", "50-54", "55-59", "60-64", "65-69", "70-74", "75-79", "80-84", "85+")</f>
        <v>35-39</v>
      </c>
      <c r="D8561" t="s">
        <v>7</v>
      </c>
    </row>
    <row r="8562" spans="1:4">
      <c r="A8562" t="s">
        <v>6</v>
      </c>
      <c r="B8562">
        <v>36</v>
      </c>
      <c r="C8562" t="str">
        <f>CHOOSE(MATCH(B8562, {20,25,30,35,40,45,50,55,60,65,70,75,80,85}, 1), "20-24", "25-29", "30-34", "35-39", "40-44", "45-49", "50-54", "55-59", "60-64", "65-69", "70-74", "75-79", "80-84", "85+")</f>
        <v>35-39</v>
      </c>
      <c r="D8562" t="s">
        <v>7</v>
      </c>
    </row>
    <row r="8563" spans="1:4">
      <c r="A8563" t="s">
        <v>6</v>
      </c>
      <c r="B8563">
        <v>26</v>
      </c>
      <c r="C8563" t="str">
        <f>CHOOSE(MATCH(B8563, {20,25,30,35,40,45,50,55,60,65,70,75,80,85}, 1), "20-24", "25-29", "30-34", "35-39", "40-44", "45-49", "50-54", "55-59", "60-64", "65-69", "70-74", "75-79", "80-84", "85+")</f>
        <v>25-29</v>
      </c>
      <c r="D8563" t="s">
        <v>8</v>
      </c>
    </row>
    <row r="8564" spans="1:4">
      <c r="A8564" t="s">
        <v>6</v>
      </c>
      <c r="B8564">
        <v>47</v>
      </c>
      <c r="C8564" t="str">
        <f>CHOOSE(MATCH(B8564, {20,25,30,35,40,45,50,55,60,65,70,75,80,85}, 1), "20-24", "25-29", "30-34", "35-39", "40-44", "45-49", "50-54", "55-59", "60-64", "65-69", "70-74", "75-79", "80-84", "85+")</f>
        <v>45-49</v>
      </c>
      <c r="D8564" t="s">
        <v>7</v>
      </c>
    </row>
    <row r="8565" spans="1:4">
      <c r="A8565" t="s">
        <v>6</v>
      </c>
      <c r="B8565">
        <v>23</v>
      </c>
      <c r="C8565" t="str">
        <f>CHOOSE(MATCH(B8565, {20,25,30,35,40,45,50,55,60,65,70,75,80,85}, 1), "20-24", "25-29", "30-34", "35-39", "40-44", "45-49", "50-54", "55-59", "60-64", "65-69", "70-74", "75-79", "80-84", "85+")</f>
        <v>20-24</v>
      </c>
      <c r="D8565" t="s">
        <v>7</v>
      </c>
    </row>
    <row r="8566" spans="1:4">
      <c r="A8566" t="s">
        <v>6</v>
      </c>
      <c r="B8566">
        <v>37</v>
      </c>
      <c r="C8566" t="str">
        <f>CHOOSE(MATCH(B8566, {20,25,30,35,40,45,50,55,60,65,70,75,80,85}, 1), "20-24", "25-29", "30-34", "35-39", "40-44", "45-49", "50-54", "55-59", "60-64", "65-69", "70-74", "75-79", "80-84", "85+")</f>
        <v>35-39</v>
      </c>
      <c r="D8566" t="s">
        <v>7</v>
      </c>
    </row>
    <row r="8567" spans="1:4">
      <c r="A8567" t="s">
        <v>6</v>
      </c>
      <c r="B8567">
        <v>57</v>
      </c>
      <c r="C8567" t="str">
        <f>CHOOSE(MATCH(B8567, {20,25,30,35,40,45,50,55,60,65,70,75,80,85}, 1), "20-24", "25-29", "30-34", "35-39", "40-44", "45-49", "50-54", "55-59", "60-64", "65-69", "70-74", "75-79", "80-84", "85+")</f>
        <v>55-59</v>
      </c>
      <c r="D8567" t="s">
        <v>8</v>
      </c>
    </row>
    <row r="8568" spans="1:4">
      <c r="A8568" t="s">
        <v>6</v>
      </c>
      <c r="B8568">
        <v>55</v>
      </c>
      <c r="C8568" t="str">
        <f>CHOOSE(MATCH(B8568, {20,25,30,35,40,45,50,55,60,65,70,75,80,85}, 1), "20-24", "25-29", "30-34", "35-39", "40-44", "45-49", "50-54", "55-59", "60-64", "65-69", "70-74", "75-79", "80-84", "85+")</f>
        <v>55-59</v>
      </c>
      <c r="D8568" t="s">
        <v>8</v>
      </c>
    </row>
    <row r="8569" spans="1:4">
      <c r="A8569" t="s">
        <v>6</v>
      </c>
      <c r="B8569">
        <v>43</v>
      </c>
      <c r="C8569" t="str">
        <f>CHOOSE(MATCH(B8569, {20,25,30,35,40,45,50,55,60,65,70,75,80,85}, 1), "20-24", "25-29", "30-34", "35-39", "40-44", "45-49", "50-54", "55-59", "60-64", "65-69", "70-74", "75-79", "80-84", "85+")</f>
        <v>40-44</v>
      </c>
      <c r="D8569" t="s">
        <v>8</v>
      </c>
    </row>
    <row r="8570" spans="1:4">
      <c r="A8570" t="s">
        <v>6</v>
      </c>
      <c r="B8570">
        <v>22</v>
      </c>
      <c r="C8570" t="str">
        <f>CHOOSE(MATCH(B8570, {20,25,30,35,40,45,50,55,60,65,70,75,80,85}, 1), "20-24", "25-29", "30-34", "35-39", "40-44", "45-49", "50-54", "55-59", "60-64", "65-69", "70-74", "75-79", "80-84", "85+")</f>
        <v>20-24</v>
      </c>
      <c r="D8570" t="s">
        <v>7</v>
      </c>
    </row>
    <row r="8571" spans="1:4">
      <c r="A8571" t="s">
        <v>6</v>
      </c>
      <c r="B8571">
        <v>27</v>
      </c>
      <c r="C8571" t="str">
        <f>CHOOSE(MATCH(B8571, {20,25,30,35,40,45,50,55,60,65,70,75,80,85}, 1), "20-24", "25-29", "30-34", "35-39", "40-44", "45-49", "50-54", "55-59", "60-64", "65-69", "70-74", "75-79", "80-84", "85+")</f>
        <v>25-29</v>
      </c>
      <c r="D8571" t="s">
        <v>7</v>
      </c>
    </row>
    <row r="8572" spans="1:4">
      <c r="A8572" t="s">
        <v>6</v>
      </c>
      <c r="B8572">
        <v>60</v>
      </c>
      <c r="C8572" t="str">
        <f>CHOOSE(MATCH(B8572, {20,25,30,35,40,45,50,55,60,65,70,75,80,85}, 1), "20-24", "25-29", "30-34", "35-39", "40-44", "45-49", "50-54", "55-59", "60-64", "65-69", "70-74", "75-79", "80-84", "85+")</f>
        <v>60-64</v>
      </c>
      <c r="D8572" t="s">
        <v>7</v>
      </c>
    </row>
    <row r="8573" spans="1:4">
      <c r="A8573" t="s">
        <v>6</v>
      </c>
      <c r="B8573">
        <v>68</v>
      </c>
      <c r="C8573" t="str">
        <f>CHOOSE(MATCH(B8573, {20,25,30,35,40,45,50,55,60,65,70,75,80,85}, 1), "20-24", "25-29", "30-34", "35-39", "40-44", "45-49", "50-54", "55-59", "60-64", "65-69", "70-74", "75-79", "80-84", "85+")</f>
        <v>65-69</v>
      </c>
      <c r="D8573" t="s">
        <v>7</v>
      </c>
    </row>
    <row r="8574" spans="1:4">
      <c r="A8574" t="s">
        <v>6</v>
      </c>
      <c r="B8574">
        <v>49</v>
      </c>
      <c r="C8574" t="str">
        <f>CHOOSE(MATCH(B8574, {20,25,30,35,40,45,50,55,60,65,70,75,80,85}, 1), "20-24", "25-29", "30-34", "35-39", "40-44", "45-49", "50-54", "55-59", "60-64", "65-69", "70-74", "75-79", "80-84", "85+")</f>
        <v>45-49</v>
      </c>
      <c r="D8574" t="s">
        <v>7</v>
      </c>
    </row>
    <row r="8575" spans="1:4">
      <c r="A8575" t="s">
        <v>6</v>
      </c>
      <c r="B8575">
        <v>22</v>
      </c>
      <c r="C8575" t="str">
        <f>CHOOSE(MATCH(B8575, {20,25,30,35,40,45,50,55,60,65,70,75,80,85}, 1), "20-24", "25-29", "30-34", "35-39", "40-44", "45-49", "50-54", "55-59", "60-64", "65-69", "70-74", "75-79", "80-84", "85+")</f>
        <v>20-24</v>
      </c>
      <c r="D8575" t="s">
        <v>7</v>
      </c>
    </row>
    <row r="8576" spans="1:4">
      <c r="A8576" t="s">
        <v>6</v>
      </c>
      <c r="B8576">
        <v>27</v>
      </c>
      <c r="C8576" t="str">
        <f>CHOOSE(MATCH(B8576, {20,25,30,35,40,45,50,55,60,65,70,75,80,85}, 1), "20-24", "25-29", "30-34", "35-39", "40-44", "45-49", "50-54", "55-59", "60-64", "65-69", "70-74", "75-79", "80-84", "85+")</f>
        <v>25-29</v>
      </c>
      <c r="D8576" t="s">
        <v>7</v>
      </c>
    </row>
    <row r="8577" spans="1:4">
      <c r="A8577" t="s">
        <v>6</v>
      </c>
      <c r="B8577">
        <v>55</v>
      </c>
      <c r="C8577" t="str">
        <f>CHOOSE(MATCH(B8577, {20,25,30,35,40,45,50,55,60,65,70,75,80,85}, 1), "20-24", "25-29", "30-34", "35-39", "40-44", "45-49", "50-54", "55-59", "60-64", "65-69", "70-74", "75-79", "80-84", "85+")</f>
        <v>55-59</v>
      </c>
      <c r="D8577" t="s">
        <v>7</v>
      </c>
    </row>
    <row r="8578" spans="1:4">
      <c r="A8578" t="s">
        <v>6</v>
      </c>
      <c r="B8578">
        <v>74</v>
      </c>
      <c r="C8578" t="str">
        <f>CHOOSE(MATCH(B8578, {20,25,30,35,40,45,50,55,60,65,70,75,80,85}, 1), "20-24", "25-29", "30-34", "35-39", "40-44", "45-49", "50-54", "55-59", "60-64", "65-69", "70-74", "75-79", "80-84", "85+")</f>
        <v>70-74</v>
      </c>
      <c r="D8578" t="s">
        <v>7</v>
      </c>
    </row>
    <row r="8579" spans="1:4">
      <c r="A8579" t="s">
        <v>6</v>
      </c>
      <c r="B8579">
        <v>63</v>
      </c>
      <c r="C8579" t="str">
        <f>CHOOSE(MATCH(B8579, {20,25,30,35,40,45,50,55,60,65,70,75,80,85}, 1), "20-24", "25-29", "30-34", "35-39", "40-44", "45-49", "50-54", "55-59", "60-64", "65-69", "70-74", "75-79", "80-84", "85+")</f>
        <v>60-64</v>
      </c>
      <c r="D8579" t="s">
        <v>7</v>
      </c>
    </row>
    <row r="8580" spans="1:4">
      <c r="A8580" t="s">
        <v>6</v>
      </c>
      <c r="B8580">
        <v>38</v>
      </c>
      <c r="C8580" t="str">
        <f>CHOOSE(MATCH(B8580, {20,25,30,35,40,45,50,55,60,65,70,75,80,85}, 1), "20-24", "25-29", "30-34", "35-39", "40-44", "45-49", "50-54", "55-59", "60-64", "65-69", "70-74", "75-79", "80-84", "85+")</f>
        <v>35-39</v>
      </c>
      <c r="D8580" t="s">
        <v>8</v>
      </c>
    </row>
    <row r="8581" spans="1:4">
      <c r="A8581" t="s">
        <v>6</v>
      </c>
      <c r="B8581">
        <v>32</v>
      </c>
      <c r="C8581" t="str">
        <f>CHOOSE(MATCH(B8581, {20,25,30,35,40,45,50,55,60,65,70,75,80,85}, 1), "20-24", "25-29", "30-34", "35-39", "40-44", "45-49", "50-54", "55-59", "60-64", "65-69", "70-74", "75-79", "80-84", "85+")</f>
        <v>30-34</v>
      </c>
      <c r="D8581" t="s">
        <v>7</v>
      </c>
    </row>
    <row r="8582" spans="1:4">
      <c r="A8582" t="s">
        <v>6</v>
      </c>
      <c r="B8582">
        <v>39</v>
      </c>
      <c r="C8582" t="str">
        <f>CHOOSE(MATCH(B8582, {20,25,30,35,40,45,50,55,60,65,70,75,80,85}, 1), "20-24", "25-29", "30-34", "35-39", "40-44", "45-49", "50-54", "55-59", "60-64", "65-69", "70-74", "75-79", "80-84", "85+")</f>
        <v>35-39</v>
      </c>
      <c r="D8582" t="s">
        <v>8</v>
      </c>
    </row>
    <row r="8583" spans="1:4">
      <c r="A8583" t="s">
        <v>6</v>
      </c>
      <c r="B8583">
        <v>23</v>
      </c>
      <c r="C8583" t="str">
        <f>CHOOSE(MATCH(B8583, {20,25,30,35,40,45,50,55,60,65,70,75,80,85}, 1), "20-24", "25-29", "30-34", "35-39", "40-44", "45-49", "50-54", "55-59", "60-64", "65-69", "70-74", "75-79", "80-84", "85+")</f>
        <v>20-24</v>
      </c>
      <c r="D8583" t="s">
        <v>8</v>
      </c>
    </row>
    <row r="8584" spans="1:4">
      <c r="A8584" t="s">
        <v>6</v>
      </c>
      <c r="B8584">
        <v>31</v>
      </c>
      <c r="C8584" t="str">
        <f>CHOOSE(MATCH(B8584, {20,25,30,35,40,45,50,55,60,65,70,75,80,85}, 1), "20-24", "25-29", "30-34", "35-39", "40-44", "45-49", "50-54", "55-59", "60-64", "65-69", "70-74", "75-79", "80-84", "85+")</f>
        <v>30-34</v>
      </c>
      <c r="D8584" t="s">
        <v>7</v>
      </c>
    </row>
    <row r="8585" spans="1:4">
      <c r="A8585" t="s">
        <v>6</v>
      </c>
      <c r="B8585">
        <v>54</v>
      </c>
      <c r="C8585" t="str">
        <f>CHOOSE(MATCH(B8585, {20,25,30,35,40,45,50,55,60,65,70,75,80,85}, 1), "20-24", "25-29", "30-34", "35-39", "40-44", "45-49", "50-54", "55-59", "60-64", "65-69", "70-74", "75-79", "80-84", "85+")</f>
        <v>50-54</v>
      </c>
      <c r="D8585" t="s">
        <v>8</v>
      </c>
    </row>
    <row r="8586" spans="1:4">
      <c r="A8586" t="s">
        <v>6</v>
      </c>
      <c r="B8586">
        <v>35</v>
      </c>
      <c r="C8586" t="str">
        <f>CHOOSE(MATCH(B8586, {20,25,30,35,40,45,50,55,60,65,70,75,80,85}, 1), "20-24", "25-29", "30-34", "35-39", "40-44", "45-49", "50-54", "55-59", "60-64", "65-69", "70-74", "75-79", "80-84", "85+")</f>
        <v>35-39</v>
      </c>
      <c r="D8586" t="s">
        <v>7</v>
      </c>
    </row>
    <row r="8587" spans="1:4">
      <c r="A8587" t="s">
        <v>6</v>
      </c>
      <c r="B8587">
        <v>39</v>
      </c>
      <c r="C8587" t="str">
        <f>CHOOSE(MATCH(B8587, {20,25,30,35,40,45,50,55,60,65,70,75,80,85}, 1), "20-24", "25-29", "30-34", "35-39", "40-44", "45-49", "50-54", "55-59", "60-64", "65-69", "70-74", "75-79", "80-84", "85+")</f>
        <v>35-39</v>
      </c>
      <c r="D8587" t="s">
        <v>8</v>
      </c>
    </row>
    <row r="8588" spans="1:4">
      <c r="A8588" t="s">
        <v>6</v>
      </c>
      <c r="B8588">
        <v>45</v>
      </c>
      <c r="C8588" t="str">
        <f>CHOOSE(MATCH(B8588, {20,25,30,35,40,45,50,55,60,65,70,75,80,85}, 1), "20-24", "25-29", "30-34", "35-39", "40-44", "45-49", "50-54", "55-59", "60-64", "65-69", "70-74", "75-79", "80-84", "85+")</f>
        <v>45-49</v>
      </c>
      <c r="D8588" t="s">
        <v>7</v>
      </c>
    </row>
    <row r="8589" spans="1:4">
      <c r="A8589" t="s">
        <v>6</v>
      </c>
      <c r="B8589">
        <v>22</v>
      </c>
      <c r="C8589" t="str">
        <f>CHOOSE(MATCH(B8589, {20,25,30,35,40,45,50,55,60,65,70,75,80,85}, 1), "20-24", "25-29", "30-34", "35-39", "40-44", "45-49", "50-54", "55-59", "60-64", "65-69", "70-74", "75-79", "80-84", "85+")</f>
        <v>20-24</v>
      </c>
      <c r="D8589" t="s">
        <v>7</v>
      </c>
    </row>
    <row r="8590" spans="1:4">
      <c r="A8590" t="s">
        <v>6</v>
      </c>
      <c r="B8590">
        <v>52</v>
      </c>
      <c r="C8590" t="str">
        <f>CHOOSE(MATCH(B8590, {20,25,30,35,40,45,50,55,60,65,70,75,80,85}, 1), "20-24", "25-29", "30-34", "35-39", "40-44", "45-49", "50-54", "55-59", "60-64", "65-69", "70-74", "75-79", "80-84", "85+")</f>
        <v>50-54</v>
      </c>
      <c r="D8590" t="s">
        <v>7</v>
      </c>
    </row>
    <row r="8591" spans="1:4">
      <c r="A8591" t="s">
        <v>6</v>
      </c>
      <c r="B8591">
        <v>37</v>
      </c>
      <c r="C8591" t="str">
        <f>CHOOSE(MATCH(B8591, {20,25,30,35,40,45,50,55,60,65,70,75,80,85}, 1), "20-24", "25-29", "30-34", "35-39", "40-44", "45-49", "50-54", "55-59", "60-64", "65-69", "70-74", "75-79", "80-84", "85+")</f>
        <v>35-39</v>
      </c>
      <c r="D8591" t="s">
        <v>7</v>
      </c>
    </row>
    <row r="8592" spans="1:4">
      <c r="A8592" t="s">
        <v>6</v>
      </c>
      <c r="B8592">
        <v>36</v>
      </c>
      <c r="C8592" t="str">
        <f>CHOOSE(MATCH(B8592, {20,25,30,35,40,45,50,55,60,65,70,75,80,85}, 1), "20-24", "25-29", "30-34", "35-39", "40-44", "45-49", "50-54", "55-59", "60-64", "65-69", "70-74", "75-79", "80-84", "85+")</f>
        <v>35-39</v>
      </c>
      <c r="D8592" t="s">
        <v>8</v>
      </c>
    </row>
    <row r="8593" spans="1:4">
      <c r="A8593" t="s">
        <v>6</v>
      </c>
      <c r="B8593">
        <v>37</v>
      </c>
      <c r="C8593" t="str">
        <f>CHOOSE(MATCH(B8593, {20,25,30,35,40,45,50,55,60,65,70,75,80,85}, 1), "20-24", "25-29", "30-34", "35-39", "40-44", "45-49", "50-54", "55-59", "60-64", "65-69", "70-74", "75-79", "80-84", "85+")</f>
        <v>35-39</v>
      </c>
      <c r="D8593" t="s">
        <v>7</v>
      </c>
    </row>
    <row r="8594" spans="1:4">
      <c r="A8594" t="s">
        <v>6</v>
      </c>
      <c r="B8594">
        <v>36</v>
      </c>
      <c r="C8594" t="str">
        <f>CHOOSE(MATCH(B8594, {20,25,30,35,40,45,50,55,60,65,70,75,80,85}, 1), "20-24", "25-29", "30-34", "35-39", "40-44", "45-49", "50-54", "55-59", "60-64", "65-69", "70-74", "75-79", "80-84", "85+")</f>
        <v>35-39</v>
      </c>
      <c r="D8594" t="s">
        <v>7</v>
      </c>
    </row>
    <row r="8595" spans="1:4">
      <c r="A8595" t="s">
        <v>6</v>
      </c>
      <c r="B8595">
        <v>22</v>
      </c>
      <c r="C8595" t="str">
        <f>CHOOSE(MATCH(B8595, {20,25,30,35,40,45,50,55,60,65,70,75,80,85}, 1), "20-24", "25-29", "30-34", "35-39", "40-44", "45-49", "50-54", "55-59", "60-64", "65-69", "70-74", "75-79", "80-84", "85+")</f>
        <v>20-24</v>
      </c>
      <c r="D8595" t="s">
        <v>7</v>
      </c>
    </row>
    <row r="8596" spans="1:4">
      <c r="A8596" t="s">
        <v>6</v>
      </c>
      <c r="B8596">
        <v>25</v>
      </c>
      <c r="C8596" t="str">
        <f>CHOOSE(MATCH(B8596, {20,25,30,35,40,45,50,55,60,65,70,75,80,85}, 1), "20-24", "25-29", "30-34", "35-39", "40-44", "45-49", "50-54", "55-59", "60-64", "65-69", "70-74", "75-79", "80-84", "85+")</f>
        <v>25-29</v>
      </c>
      <c r="D8596" t="s">
        <v>7</v>
      </c>
    </row>
    <row r="8597" spans="1:4">
      <c r="A8597" t="s">
        <v>6</v>
      </c>
      <c r="B8597">
        <v>24</v>
      </c>
      <c r="C8597" t="str">
        <f>CHOOSE(MATCH(B8597, {20,25,30,35,40,45,50,55,60,65,70,75,80,85}, 1), "20-24", "25-29", "30-34", "35-39", "40-44", "45-49", "50-54", "55-59", "60-64", "65-69", "70-74", "75-79", "80-84", "85+")</f>
        <v>20-24</v>
      </c>
      <c r="D8597" t="s">
        <v>7</v>
      </c>
    </row>
    <row r="8598" spans="1:4">
      <c r="A8598" t="s">
        <v>6</v>
      </c>
      <c r="B8598">
        <v>35</v>
      </c>
      <c r="C8598" t="str">
        <f>CHOOSE(MATCH(B8598, {20,25,30,35,40,45,50,55,60,65,70,75,80,85}, 1), "20-24", "25-29", "30-34", "35-39", "40-44", "45-49", "50-54", "55-59", "60-64", "65-69", "70-74", "75-79", "80-84", "85+")</f>
        <v>35-39</v>
      </c>
      <c r="D8598" t="s">
        <v>7</v>
      </c>
    </row>
    <row r="8599" spans="1:4">
      <c r="A8599" t="s">
        <v>6</v>
      </c>
      <c r="B8599">
        <v>49</v>
      </c>
      <c r="C8599" t="str">
        <f>CHOOSE(MATCH(B8599, {20,25,30,35,40,45,50,55,60,65,70,75,80,85}, 1), "20-24", "25-29", "30-34", "35-39", "40-44", "45-49", "50-54", "55-59", "60-64", "65-69", "70-74", "75-79", "80-84", "85+")</f>
        <v>45-49</v>
      </c>
      <c r="D8599" t="s">
        <v>7</v>
      </c>
    </row>
    <row r="8600" spans="1:4">
      <c r="A8600" t="s">
        <v>6</v>
      </c>
      <c r="B8600">
        <v>71</v>
      </c>
      <c r="C8600" t="str">
        <f>CHOOSE(MATCH(B8600, {20,25,30,35,40,45,50,55,60,65,70,75,80,85}, 1), "20-24", "25-29", "30-34", "35-39", "40-44", "45-49", "50-54", "55-59", "60-64", "65-69", "70-74", "75-79", "80-84", "85+")</f>
        <v>70-74</v>
      </c>
      <c r="D8600" t="s">
        <v>8</v>
      </c>
    </row>
    <row r="8601" spans="1:4">
      <c r="A8601" t="s">
        <v>6</v>
      </c>
      <c r="B8601">
        <v>36</v>
      </c>
      <c r="C8601" t="str">
        <f>CHOOSE(MATCH(B8601, {20,25,30,35,40,45,50,55,60,65,70,75,80,85}, 1), "20-24", "25-29", "30-34", "35-39", "40-44", "45-49", "50-54", "55-59", "60-64", "65-69", "70-74", "75-79", "80-84", "85+")</f>
        <v>35-39</v>
      </c>
      <c r="D8601" t="s">
        <v>7</v>
      </c>
    </row>
    <row r="8602" spans="1:4">
      <c r="A8602" t="s">
        <v>6</v>
      </c>
      <c r="B8602">
        <v>49</v>
      </c>
      <c r="C8602" t="str">
        <f>CHOOSE(MATCH(B8602, {20,25,30,35,40,45,50,55,60,65,70,75,80,85}, 1), "20-24", "25-29", "30-34", "35-39", "40-44", "45-49", "50-54", "55-59", "60-64", "65-69", "70-74", "75-79", "80-84", "85+")</f>
        <v>45-49</v>
      </c>
      <c r="D8602" t="s">
        <v>8</v>
      </c>
    </row>
    <row r="8603" spans="1:4">
      <c r="A8603" t="s">
        <v>6</v>
      </c>
      <c r="B8603">
        <v>25</v>
      </c>
      <c r="C8603" t="str">
        <f>CHOOSE(MATCH(B8603, {20,25,30,35,40,45,50,55,60,65,70,75,80,85}, 1), "20-24", "25-29", "30-34", "35-39", "40-44", "45-49", "50-54", "55-59", "60-64", "65-69", "70-74", "75-79", "80-84", "85+")</f>
        <v>25-29</v>
      </c>
      <c r="D8603" t="s">
        <v>7</v>
      </c>
    </row>
    <row r="8604" spans="1:4">
      <c r="A8604" t="s">
        <v>6</v>
      </c>
      <c r="B8604">
        <v>34</v>
      </c>
      <c r="C8604" t="str">
        <f>CHOOSE(MATCH(B8604, {20,25,30,35,40,45,50,55,60,65,70,75,80,85}, 1), "20-24", "25-29", "30-34", "35-39", "40-44", "45-49", "50-54", "55-59", "60-64", "65-69", "70-74", "75-79", "80-84", "85+")</f>
        <v>30-34</v>
      </c>
      <c r="D8604" t="s">
        <v>7</v>
      </c>
    </row>
    <row r="8605" spans="1:4">
      <c r="A8605" t="s">
        <v>6</v>
      </c>
      <c r="B8605">
        <v>39</v>
      </c>
      <c r="C8605" t="str">
        <f>CHOOSE(MATCH(B8605, {20,25,30,35,40,45,50,55,60,65,70,75,80,85}, 1), "20-24", "25-29", "30-34", "35-39", "40-44", "45-49", "50-54", "55-59", "60-64", "65-69", "70-74", "75-79", "80-84", "85+")</f>
        <v>35-39</v>
      </c>
      <c r="D8605" t="s">
        <v>8</v>
      </c>
    </row>
    <row r="8606" spans="1:4">
      <c r="A8606" t="s">
        <v>6</v>
      </c>
      <c r="B8606">
        <v>22</v>
      </c>
      <c r="C8606" t="str">
        <f>CHOOSE(MATCH(B8606, {20,25,30,35,40,45,50,55,60,65,70,75,80,85}, 1), "20-24", "25-29", "30-34", "35-39", "40-44", "45-49", "50-54", "55-59", "60-64", "65-69", "70-74", "75-79", "80-84", "85+")</f>
        <v>20-24</v>
      </c>
      <c r="D8606" t="s">
        <v>7</v>
      </c>
    </row>
    <row r="8607" spans="1:4">
      <c r="A8607" t="s">
        <v>6</v>
      </c>
      <c r="B8607">
        <v>73</v>
      </c>
      <c r="C8607" t="str">
        <f>CHOOSE(MATCH(B8607, {20,25,30,35,40,45,50,55,60,65,70,75,80,85}, 1), "20-24", "25-29", "30-34", "35-39", "40-44", "45-49", "50-54", "55-59", "60-64", "65-69", "70-74", "75-79", "80-84", "85+")</f>
        <v>70-74</v>
      </c>
      <c r="D8607" t="s">
        <v>7</v>
      </c>
    </row>
    <row r="8608" spans="1:4">
      <c r="A8608" t="s">
        <v>6</v>
      </c>
      <c r="B8608">
        <v>24</v>
      </c>
      <c r="C8608" t="str">
        <f>CHOOSE(MATCH(B8608, {20,25,30,35,40,45,50,55,60,65,70,75,80,85}, 1), "20-24", "25-29", "30-34", "35-39", "40-44", "45-49", "50-54", "55-59", "60-64", "65-69", "70-74", "75-79", "80-84", "85+")</f>
        <v>20-24</v>
      </c>
      <c r="D8608" t="s">
        <v>7</v>
      </c>
    </row>
    <row r="8609" spans="1:4">
      <c r="A8609" t="s">
        <v>6</v>
      </c>
      <c r="B8609">
        <v>53</v>
      </c>
      <c r="C8609" t="str">
        <f>CHOOSE(MATCH(B8609, {20,25,30,35,40,45,50,55,60,65,70,75,80,85}, 1), "20-24", "25-29", "30-34", "35-39", "40-44", "45-49", "50-54", "55-59", "60-64", "65-69", "70-74", "75-79", "80-84", "85+")</f>
        <v>50-54</v>
      </c>
      <c r="D8609" t="s">
        <v>8</v>
      </c>
    </row>
    <row r="8610" spans="1:4">
      <c r="A8610" t="s">
        <v>6</v>
      </c>
      <c r="B8610">
        <v>36</v>
      </c>
      <c r="C8610" t="str">
        <f>CHOOSE(MATCH(B8610, {20,25,30,35,40,45,50,55,60,65,70,75,80,85}, 1), "20-24", "25-29", "30-34", "35-39", "40-44", "45-49", "50-54", "55-59", "60-64", "65-69", "70-74", "75-79", "80-84", "85+")</f>
        <v>35-39</v>
      </c>
      <c r="D8610" t="s">
        <v>8</v>
      </c>
    </row>
    <row r="8611" spans="1:4">
      <c r="A8611" t="s">
        <v>6</v>
      </c>
      <c r="B8611">
        <v>45</v>
      </c>
      <c r="C8611" t="str">
        <f>CHOOSE(MATCH(B8611, {20,25,30,35,40,45,50,55,60,65,70,75,80,85}, 1), "20-24", "25-29", "30-34", "35-39", "40-44", "45-49", "50-54", "55-59", "60-64", "65-69", "70-74", "75-79", "80-84", "85+")</f>
        <v>45-49</v>
      </c>
      <c r="D8611" t="s">
        <v>7</v>
      </c>
    </row>
    <row r="8612" spans="1:4">
      <c r="A8612" t="s">
        <v>6</v>
      </c>
      <c r="B8612">
        <v>29</v>
      </c>
      <c r="C8612" t="str">
        <f>CHOOSE(MATCH(B8612, {20,25,30,35,40,45,50,55,60,65,70,75,80,85}, 1), "20-24", "25-29", "30-34", "35-39", "40-44", "45-49", "50-54", "55-59", "60-64", "65-69", "70-74", "75-79", "80-84", "85+")</f>
        <v>25-29</v>
      </c>
      <c r="D8612" t="s">
        <v>7</v>
      </c>
    </row>
    <row r="8613" spans="1:4">
      <c r="A8613" t="s">
        <v>6</v>
      </c>
      <c r="B8613">
        <v>47</v>
      </c>
      <c r="C8613" t="str">
        <f>CHOOSE(MATCH(B8613, {20,25,30,35,40,45,50,55,60,65,70,75,80,85}, 1), "20-24", "25-29", "30-34", "35-39", "40-44", "45-49", "50-54", "55-59", "60-64", "65-69", "70-74", "75-79", "80-84", "85+")</f>
        <v>45-49</v>
      </c>
      <c r="D8613" t="s">
        <v>7</v>
      </c>
    </row>
    <row r="8614" spans="1:4">
      <c r="A8614" t="s">
        <v>6</v>
      </c>
      <c r="B8614">
        <v>46</v>
      </c>
      <c r="C8614" t="str">
        <f>CHOOSE(MATCH(B8614, {20,25,30,35,40,45,50,55,60,65,70,75,80,85}, 1), "20-24", "25-29", "30-34", "35-39", "40-44", "45-49", "50-54", "55-59", "60-64", "65-69", "70-74", "75-79", "80-84", "85+")</f>
        <v>45-49</v>
      </c>
      <c r="D8614" t="s">
        <v>8</v>
      </c>
    </row>
    <row r="8615" spans="1:4">
      <c r="A8615" t="s">
        <v>6</v>
      </c>
      <c r="B8615">
        <v>35</v>
      </c>
      <c r="C8615" t="str">
        <f>CHOOSE(MATCH(B8615, {20,25,30,35,40,45,50,55,60,65,70,75,80,85}, 1), "20-24", "25-29", "30-34", "35-39", "40-44", "45-49", "50-54", "55-59", "60-64", "65-69", "70-74", "75-79", "80-84", "85+")</f>
        <v>35-39</v>
      </c>
      <c r="D8615" t="s">
        <v>7</v>
      </c>
    </row>
    <row r="8616" spans="1:4">
      <c r="A8616" t="s">
        <v>6</v>
      </c>
      <c r="B8616">
        <v>23</v>
      </c>
      <c r="C8616" t="str">
        <f>CHOOSE(MATCH(B8616, {20,25,30,35,40,45,50,55,60,65,70,75,80,85}, 1), "20-24", "25-29", "30-34", "35-39", "40-44", "45-49", "50-54", "55-59", "60-64", "65-69", "70-74", "75-79", "80-84", "85+")</f>
        <v>20-24</v>
      </c>
      <c r="D8616" t="s">
        <v>8</v>
      </c>
    </row>
    <row r="8617" spans="1:4">
      <c r="A8617" t="s">
        <v>6</v>
      </c>
      <c r="B8617">
        <v>37</v>
      </c>
      <c r="C8617" t="str">
        <f>CHOOSE(MATCH(B8617, {20,25,30,35,40,45,50,55,60,65,70,75,80,85}, 1), "20-24", "25-29", "30-34", "35-39", "40-44", "45-49", "50-54", "55-59", "60-64", "65-69", "70-74", "75-79", "80-84", "85+")</f>
        <v>35-39</v>
      </c>
      <c r="D8617" t="s">
        <v>7</v>
      </c>
    </row>
    <row r="8618" spans="1:4">
      <c r="A8618" t="s">
        <v>6</v>
      </c>
      <c r="B8618">
        <v>59</v>
      </c>
      <c r="C8618" t="str">
        <f>CHOOSE(MATCH(B8618, {20,25,30,35,40,45,50,55,60,65,70,75,80,85}, 1), "20-24", "25-29", "30-34", "35-39", "40-44", "45-49", "50-54", "55-59", "60-64", "65-69", "70-74", "75-79", "80-84", "85+")</f>
        <v>55-59</v>
      </c>
      <c r="D8618" t="s">
        <v>8</v>
      </c>
    </row>
    <row r="8619" spans="1:4">
      <c r="A8619" t="s">
        <v>6</v>
      </c>
      <c r="B8619">
        <v>23</v>
      </c>
      <c r="C8619" t="str">
        <f>CHOOSE(MATCH(B8619, {20,25,30,35,40,45,50,55,60,65,70,75,80,85}, 1), "20-24", "25-29", "30-34", "35-39", "40-44", "45-49", "50-54", "55-59", "60-64", "65-69", "70-74", "75-79", "80-84", "85+")</f>
        <v>20-24</v>
      </c>
      <c r="D8619" t="s">
        <v>8</v>
      </c>
    </row>
    <row r="8620" spans="1:4">
      <c r="A8620" t="s">
        <v>6</v>
      </c>
      <c r="B8620">
        <v>27</v>
      </c>
      <c r="C8620" t="str">
        <f>CHOOSE(MATCH(B8620, {20,25,30,35,40,45,50,55,60,65,70,75,80,85}, 1), "20-24", "25-29", "30-34", "35-39", "40-44", "45-49", "50-54", "55-59", "60-64", "65-69", "70-74", "75-79", "80-84", "85+")</f>
        <v>25-29</v>
      </c>
      <c r="D8620" t="s">
        <v>7</v>
      </c>
    </row>
    <row r="8621" spans="1:4">
      <c r="A8621" t="s">
        <v>6</v>
      </c>
      <c r="B8621">
        <v>26</v>
      </c>
      <c r="C8621" t="str">
        <f>CHOOSE(MATCH(B8621, {20,25,30,35,40,45,50,55,60,65,70,75,80,85}, 1), "20-24", "25-29", "30-34", "35-39", "40-44", "45-49", "50-54", "55-59", "60-64", "65-69", "70-74", "75-79", "80-84", "85+")</f>
        <v>25-29</v>
      </c>
      <c r="D8621" t="s">
        <v>8</v>
      </c>
    </row>
    <row r="8622" spans="1:4">
      <c r="A8622" t="s">
        <v>6</v>
      </c>
      <c r="B8622">
        <v>49</v>
      </c>
      <c r="C8622" t="str">
        <f>CHOOSE(MATCH(B8622, {20,25,30,35,40,45,50,55,60,65,70,75,80,85}, 1), "20-24", "25-29", "30-34", "35-39", "40-44", "45-49", "50-54", "55-59", "60-64", "65-69", "70-74", "75-79", "80-84", "85+")</f>
        <v>45-49</v>
      </c>
      <c r="D8622" t="s">
        <v>7</v>
      </c>
    </row>
    <row r="8623" spans="1:4">
      <c r="A8623" t="s">
        <v>6</v>
      </c>
      <c r="B8623">
        <v>47</v>
      </c>
      <c r="C8623" t="str">
        <f>CHOOSE(MATCH(B8623, {20,25,30,35,40,45,50,55,60,65,70,75,80,85}, 1), "20-24", "25-29", "30-34", "35-39", "40-44", "45-49", "50-54", "55-59", "60-64", "65-69", "70-74", "75-79", "80-84", "85+")</f>
        <v>45-49</v>
      </c>
      <c r="D8623" t="s">
        <v>7</v>
      </c>
    </row>
    <row r="8624" spans="1:4">
      <c r="A8624" t="s">
        <v>6</v>
      </c>
      <c r="B8624">
        <v>27</v>
      </c>
      <c r="C8624" t="str">
        <f>CHOOSE(MATCH(B8624, {20,25,30,35,40,45,50,55,60,65,70,75,80,85}, 1), "20-24", "25-29", "30-34", "35-39", "40-44", "45-49", "50-54", "55-59", "60-64", "65-69", "70-74", "75-79", "80-84", "85+")</f>
        <v>25-29</v>
      </c>
      <c r="D8624" t="s">
        <v>7</v>
      </c>
    </row>
    <row r="8625" spans="1:4">
      <c r="A8625" t="s">
        <v>6</v>
      </c>
      <c r="B8625">
        <v>26</v>
      </c>
      <c r="C8625" t="str">
        <f>CHOOSE(MATCH(B8625, {20,25,30,35,40,45,50,55,60,65,70,75,80,85}, 1), "20-24", "25-29", "30-34", "35-39", "40-44", "45-49", "50-54", "55-59", "60-64", "65-69", "70-74", "75-79", "80-84", "85+")</f>
        <v>25-29</v>
      </c>
      <c r="D8625" t="s">
        <v>8</v>
      </c>
    </row>
    <row r="8626" spans="1:4">
      <c r="A8626" t="s">
        <v>6</v>
      </c>
      <c r="B8626">
        <v>24</v>
      </c>
      <c r="C8626" t="str">
        <f>CHOOSE(MATCH(B8626, {20,25,30,35,40,45,50,55,60,65,70,75,80,85}, 1), "20-24", "25-29", "30-34", "35-39", "40-44", "45-49", "50-54", "55-59", "60-64", "65-69", "70-74", "75-79", "80-84", "85+")</f>
        <v>20-24</v>
      </c>
      <c r="D8626" t="s">
        <v>8</v>
      </c>
    </row>
    <row r="8627" spans="1:4">
      <c r="A8627" t="s">
        <v>6</v>
      </c>
      <c r="B8627">
        <v>58</v>
      </c>
      <c r="C8627" t="str">
        <f>CHOOSE(MATCH(B8627, {20,25,30,35,40,45,50,55,60,65,70,75,80,85}, 1), "20-24", "25-29", "30-34", "35-39", "40-44", "45-49", "50-54", "55-59", "60-64", "65-69", "70-74", "75-79", "80-84", "85+")</f>
        <v>55-59</v>
      </c>
      <c r="D8627" t="s">
        <v>8</v>
      </c>
    </row>
    <row r="8628" spans="1:4">
      <c r="A8628" t="s">
        <v>6</v>
      </c>
      <c r="B8628">
        <v>36</v>
      </c>
      <c r="C8628" t="str">
        <f>CHOOSE(MATCH(B8628, {20,25,30,35,40,45,50,55,60,65,70,75,80,85}, 1), "20-24", "25-29", "30-34", "35-39", "40-44", "45-49", "50-54", "55-59", "60-64", "65-69", "70-74", "75-79", "80-84", "85+")</f>
        <v>35-39</v>
      </c>
      <c r="D8628" t="s">
        <v>7</v>
      </c>
    </row>
    <row r="8629" spans="1:4">
      <c r="A8629" t="s">
        <v>6</v>
      </c>
      <c r="B8629">
        <v>59</v>
      </c>
      <c r="C8629" t="str">
        <f>CHOOSE(MATCH(B8629, {20,25,30,35,40,45,50,55,60,65,70,75,80,85}, 1), "20-24", "25-29", "30-34", "35-39", "40-44", "45-49", "50-54", "55-59", "60-64", "65-69", "70-74", "75-79", "80-84", "85+")</f>
        <v>55-59</v>
      </c>
      <c r="D8629" t="s">
        <v>8</v>
      </c>
    </row>
    <row r="8630" spans="1:4">
      <c r="A8630" t="s">
        <v>6</v>
      </c>
      <c r="B8630">
        <v>27</v>
      </c>
      <c r="C8630" t="str">
        <f>CHOOSE(MATCH(B8630, {20,25,30,35,40,45,50,55,60,65,70,75,80,85}, 1), "20-24", "25-29", "30-34", "35-39", "40-44", "45-49", "50-54", "55-59", "60-64", "65-69", "70-74", "75-79", "80-84", "85+")</f>
        <v>25-29</v>
      </c>
      <c r="D8630" t="s">
        <v>7</v>
      </c>
    </row>
    <row r="8631" spans="1:4">
      <c r="A8631" t="s">
        <v>6</v>
      </c>
      <c r="B8631">
        <v>26</v>
      </c>
      <c r="C8631" t="str">
        <f>CHOOSE(MATCH(B8631, {20,25,30,35,40,45,50,55,60,65,70,75,80,85}, 1), "20-24", "25-29", "30-34", "35-39", "40-44", "45-49", "50-54", "55-59", "60-64", "65-69", "70-74", "75-79", "80-84", "85+")</f>
        <v>25-29</v>
      </c>
      <c r="D8631" t="s">
        <v>7</v>
      </c>
    </row>
    <row r="8632" spans="1:4">
      <c r="A8632" t="s">
        <v>6</v>
      </c>
      <c r="B8632">
        <v>31</v>
      </c>
      <c r="C8632" t="str">
        <f>CHOOSE(MATCH(B8632, {20,25,30,35,40,45,50,55,60,65,70,75,80,85}, 1), "20-24", "25-29", "30-34", "35-39", "40-44", "45-49", "50-54", "55-59", "60-64", "65-69", "70-74", "75-79", "80-84", "85+")</f>
        <v>30-34</v>
      </c>
      <c r="D8632" t="s">
        <v>7</v>
      </c>
    </row>
    <row r="8633" spans="1:4">
      <c r="A8633" t="s">
        <v>6</v>
      </c>
      <c r="B8633">
        <v>29</v>
      </c>
      <c r="C8633" t="str">
        <f>CHOOSE(MATCH(B8633, {20,25,30,35,40,45,50,55,60,65,70,75,80,85}, 1), "20-24", "25-29", "30-34", "35-39", "40-44", "45-49", "50-54", "55-59", "60-64", "65-69", "70-74", "75-79", "80-84", "85+")</f>
        <v>25-29</v>
      </c>
      <c r="D8633" t="s">
        <v>8</v>
      </c>
    </row>
    <row r="8634" spans="1:4">
      <c r="A8634" t="s">
        <v>6</v>
      </c>
      <c r="B8634">
        <v>45</v>
      </c>
      <c r="C8634" t="str">
        <f>CHOOSE(MATCH(B8634, {20,25,30,35,40,45,50,55,60,65,70,75,80,85}, 1), "20-24", "25-29", "30-34", "35-39", "40-44", "45-49", "50-54", "55-59", "60-64", "65-69", "70-74", "75-79", "80-84", "85+")</f>
        <v>45-49</v>
      </c>
      <c r="D8634" t="s">
        <v>7</v>
      </c>
    </row>
    <row r="8635" spans="1:4">
      <c r="A8635" t="s">
        <v>6</v>
      </c>
      <c r="B8635">
        <v>31</v>
      </c>
      <c r="C8635" t="str">
        <f>CHOOSE(MATCH(B8635, {20,25,30,35,40,45,50,55,60,65,70,75,80,85}, 1), "20-24", "25-29", "30-34", "35-39", "40-44", "45-49", "50-54", "55-59", "60-64", "65-69", "70-74", "75-79", "80-84", "85+")</f>
        <v>30-34</v>
      </c>
      <c r="D8635" t="s">
        <v>7</v>
      </c>
    </row>
    <row r="8636" spans="1:4">
      <c r="A8636" t="s">
        <v>6</v>
      </c>
      <c r="B8636">
        <v>25</v>
      </c>
      <c r="C8636" t="str">
        <f>CHOOSE(MATCH(B8636, {20,25,30,35,40,45,50,55,60,65,70,75,80,85}, 1), "20-24", "25-29", "30-34", "35-39", "40-44", "45-49", "50-54", "55-59", "60-64", "65-69", "70-74", "75-79", "80-84", "85+")</f>
        <v>25-29</v>
      </c>
      <c r="D8636" t="s">
        <v>7</v>
      </c>
    </row>
    <row r="8637" spans="1:4">
      <c r="A8637" t="s">
        <v>6</v>
      </c>
      <c r="B8637">
        <v>38</v>
      </c>
      <c r="C8637" t="str">
        <f>CHOOSE(MATCH(B8637, {20,25,30,35,40,45,50,55,60,65,70,75,80,85}, 1), "20-24", "25-29", "30-34", "35-39", "40-44", "45-49", "50-54", "55-59", "60-64", "65-69", "70-74", "75-79", "80-84", "85+")</f>
        <v>35-39</v>
      </c>
      <c r="D8637" t="s">
        <v>7</v>
      </c>
    </row>
    <row r="8638" spans="1:4">
      <c r="A8638" t="s">
        <v>6</v>
      </c>
      <c r="B8638">
        <v>70</v>
      </c>
      <c r="C8638" t="str">
        <f>CHOOSE(MATCH(B8638, {20,25,30,35,40,45,50,55,60,65,70,75,80,85}, 1), "20-24", "25-29", "30-34", "35-39", "40-44", "45-49", "50-54", "55-59", "60-64", "65-69", "70-74", "75-79", "80-84", "85+")</f>
        <v>70-74</v>
      </c>
      <c r="D8638" t="s">
        <v>8</v>
      </c>
    </row>
    <row r="8639" spans="1:4">
      <c r="A8639" t="s">
        <v>6</v>
      </c>
      <c r="B8639">
        <v>37</v>
      </c>
      <c r="C8639" t="str">
        <f>CHOOSE(MATCH(B8639, {20,25,30,35,40,45,50,55,60,65,70,75,80,85}, 1), "20-24", "25-29", "30-34", "35-39", "40-44", "45-49", "50-54", "55-59", "60-64", "65-69", "70-74", "75-79", "80-84", "85+")</f>
        <v>35-39</v>
      </c>
      <c r="D8639" t="s">
        <v>7</v>
      </c>
    </row>
    <row r="8640" spans="1:4">
      <c r="A8640" t="s">
        <v>6</v>
      </c>
      <c r="B8640">
        <v>31</v>
      </c>
      <c r="C8640" t="str">
        <f>CHOOSE(MATCH(B8640, {20,25,30,35,40,45,50,55,60,65,70,75,80,85}, 1), "20-24", "25-29", "30-34", "35-39", "40-44", "45-49", "50-54", "55-59", "60-64", "65-69", "70-74", "75-79", "80-84", "85+")</f>
        <v>30-34</v>
      </c>
      <c r="D8640" t="s">
        <v>7</v>
      </c>
    </row>
    <row r="8641" spans="1:4">
      <c r="A8641" t="s">
        <v>6</v>
      </c>
      <c r="B8641">
        <v>26</v>
      </c>
      <c r="C8641" t="str">
        <f>CHOOSE(MATCH(B8641, {20,25,30,35,40,45,50,55,60,65,70,75,80,85}, 1), "20-24", "25-29", "30-34", "35-39", "40-44", "45-49", "50-54", "55-59", "60-64", "65-69", "70-74", "75-79", "80-84", "85+")</f>
        <v>25-29</v>
      </c>
      <c r="D8641" t="s">
        <v>8</v>
      </c>
    </row>
    <row r="8642" spans="1:4">
      <c r="A8642" t="s">
        <v>6</v>
      </c>
      <c r="B8642">
        <v>29</v>
      </c>
      <c r="C8642" t="str">
        <f>CHOOSE(MATCH(B8642, {20,25,30,35,40,45,50,55,60,65,70,75,80,85}, 1), "20-24", "25-29", "30-34", "35-39", "40-44", "45-49", "50-54", "55-59", "60-64", "65-69", "70-74", "75-79", "80-84", "85+")</f>
        <v>25-29</v>
      </c>
      <c r="D8642" t="s">
        <v>7</v>
      </c>
    </row>
    <row r="8643" spans="1:4">
      <c r="A8643" t="s">
        <v>6</v>
      </c>
      <c r="B8643">
        <v>45</v>
      </c>
      <c r="C8643" t="str">
        <f>CHOOSE(MATCH(B8643, {20,25,30,35,40,45,50,55,60,65,70,75,80,85}, 1), "20-24", "25-29", "30-34", "35-39", "40-44", "45-49", "50-54", "55-59", "60-64", "65-69", "70-74", "75-79", "80-84", "85+")</f>
        <v>45-49</v>
      </c>
      <c r="D8643" t="s">
        <v>7</v>
      </c>
    </row>
    <row r="8644" spans="1:4">
      <c r="A8644" t="s">
        <v>6</v>
      </c>
      <c r="B8644">
        <v>35</v>
      </c>
      <c r="C8644" t="str">
        <f>CHOOSE(MATCH(B8644, {20,25,30,35,40,45,50,55,60,65,70,75,80,85}, 1), "20-24", "25-29", "30-34", "35-39", "40-44", "45-49", "50-54", "55-59", "60-64", "65-69", "70-74", "75-79", "80-84", "85+")</f>
        <v>35-39</v>
      </c>
      <c r="D8644" t="s">
        <v>8</v>
      </c>
    </row>
    <row r="8645" spans="1:4">
      <c r="A8645" t="s">
        <v>6</v>
      </c>
      <c r="B8645">
        <v>31</v>
      </c>
      <c r="C8645" t="str">
        <f>CHOOSE(MATCH(B8645, {20,25,30,35,40,45,50,55,60,65,70,75,80,85}, 1), "20-24", "25-29", "30-34", "35-39", "40-44", "45-49", "50-54", "55-59", "60-64", "65-69", "70-74", "75-79", "80-84", "85+")</f>
        <v>30-34</v>
      </c>
      <c r="D8645" t="s">
        <v>8</v>
      </c>
    </row>
    <row r="8646" spans="1:4">
      <c r="A8646" t="s">
        <v>6</v>
      </c>
      <c r="B8646">
        <v>32</v>
      </c>
      <c r="C8646" t="str">
        <f>CHOOSE(MATCH(B8646, {20,25,30,35,40,45,50,55,60,65,70,75,80,85}, 1), "20-24", "25-29", "30-34", "35-39", "40-44", "45-49", "50-54", "55-59", "60-64", "65-69", "70-74", "75-79", "80-84", "85+")</f>
        <v>30-34</v>
      </c>
      <c r="D8646" t="s">
        <v>8</v>
      </c>
    </row>
    <row r="8647" spans="1:4">
      <c r="A8647" t="s">
        <v>6</v>
      </c>
      <c r="B8647">
        <v>21</v>
      </c>
      <c r="C8647" t="str">
        <f>CHOOSE(MATCH(B8647, {20,25,30,35,40,45,50,55,60,65,70,75,80,85}, 1), "20-24", "25-29", "30-34", "35-39", "40-44", "45-49", "50-54", "55-59", "60-64", "65-69", "70-74", "75-79", "80-84", "85+")</f>
        <v>20-24</v>
      </c>
      <c r="D8647" t="s">
        <v>7</v>
      </c>
    </row>
    <row r="8648" spans="1:4">
      <c r="A8648" t="s">
        <v>6</v>
      </c>
      <c r="B8648">
        <v>49</v>
      </c>
      <c r="C8648" t="str">
        <f>CHOOSE(MATCH(B8648, {20,25,30,35,40,45,50,55,60,65,70,75,80,85}, 1), "20-24", "25-29", "30-34", "35-39", "40-44", "45-49", "50-54", "55-59", "60-64", "65-69", "70-74", "75-79", "80-84", "85+")</f>
        <v>45-49</v>
      </c>
      <c r="D8648" t="s">
        <v>8</v>
      </c>
    </row>
    <row r="8649" spans="1:4">
      <c r="A8649" t="s">
        <v>6</v>
      </c>
      <c r="B8649">
        <v>44</v>
      </c>
      <c r="C8649" t="str">
        <f>CHOOSE(MATCH(B8649, {20,25,30,35,40,45,50,55,60,65,70,75,80,85}, 1), "20-24", "25-29", "30-34", "35-39", "40-44", "45-49", "50-54", "55-59", "60-64", "65-69", "70-74", "75-79", "80-84", "85+")</f>
        <v>40-44</v>
      </c>
      <c r="D8649" t="s">
        <v>7</v>
      </c>
    </row>
    <row r="8650" spans="1:4">
      <c r="A8650" t="s">
        <v>6</v>
      </c>
      <c r="B8650">
        <v>60</v>
      </c>
      <c r="C8650" t="str">
        <f>CHOOSE(MATCH(B8650, {20,25,30,35,40,45,50,55,60,65,70,75,80,85}, 1), "20-24", "25-29", "30-34", "35-39", "40-44", "45-49", "50-54", "55-59", "60-64", "65-69", "70-74", "75-79", "80-84", "85+")</f>
        <v>60-64</v>
      </c>
      <c r="D8650" t="s">
        <v>8</v>
      </c>
    </row>
    <row r="8651" spans="1:4">
      <c r="A8651" t="s">
        <v>6</v>
      </c>
      <c r="B8651">
        <v>49</v>
      </c>
      <c r="C8651" t="str">
        <f>CHOOSE(MATCH(B8651, {20,25,30,35,40,45,50,55,60,65,70,75,80,85}, 1), "20-24", "25-29", "30-34", "35-39", "40-44", "45-49", "50-54", "55-59", "60-64", "65-69", "70-74", "75-79", "80-84", "85+")</f>
        <v>45-49</v>
      </c>
      <c r="D8651" t="s">
        <v>8</v>
      </c>
    </row>
    <row r="8652" spans="1:4">
      <c r="A8652" t="s">
        <v>6</v>
      </c>
      <c r="B8652">
        <v>20</v>
      </c>
      <c r="C8652" t="str">
        <f>CHOOSE(MATCH(B8652, {20,25,30,35,40,45,50,55,60,65,70,75,80,85}, 1), "20-24", "25-29", "30-34", "35-39", "40-44", "45-49", "50-54", "55-59", "60-64", "65-69", "70-74", "75-79", "80-84", "85+")</f>
        <v>20-24</v>
      </c>
      <c r="D8652" t="s">
        <v>7</v>
      </c>
    </row>
    <row r="8653" spans="1:4">
      <c r="A8653" t="s">
        <v>6</v>
      </c>
      <c r="B8653">
        <v>75</v>
      </c>
      <c r="C8653" t="str">
        <f>CHOOSE(MATCH(B8653, {20,25,30,35,40,45,50,55,60,65,70,75,80,85}, 1), "20-24", "25-29", "30-34", "35-39", "40-44", "45-49", "50-54", "55-59", "60-64", "65-69", "70-74", "75-79", "80-84", "85+")</f>
        <v>75-79</v>
      </c>
      <c r="D8653" t="s">
        <v>8</v>
      </c>
    </row>
    <row r="8654" spans="1:4">
      <c r="A8654" t="s">
        <v>6</v>
      </c>
      <c r="B8654">
        <v>31</v>
      </c>
      <c r="C8654" t="str">
        <f>CHOOSE(MATCH(B8654, {20,25,30,35,40,45,50,55,60,65,70,75,80,85}, 1), "20-24", "25-29", "30-34", "35-39", "40-44", "45-49", "50-54", "55-59", "60-64", "65-69", "70-74", "75-79", "80-84", "85+")</f>
        <v>30-34</v>
      </c>
      <c r="D8654" t="s">
        <v>7</v>
      </c>
    </row>
    <row r="8655" spans="1:4">
      <c r="A8655" t="s">
        <v>6</v>
      </c>
      <c r="B8655">
        <v>30</v>
      </c>
      <c r="C8655" t="str">
        <f>CHOOSE(MATCH(B8655, {20,25,30,35,40,45,50,55,60,65,70,75,80,85}, 1), "20-24", "25-29", "30-34", "35-39", "40-44", "45-49", "50-54", "55-59", "60-64", "65-69", "70-74", "75-79", "80-84", "85+")</f>
        <v>30-34</v>
      </c>
      <c r="D8655" t="s">
        <v>8</v>
      </c>
    </row>
    <row r="8656" spans="1:4">
      <c r="A8656" t="s">
        <v>6</v>
      </c>
      <c r="B8656">
        <v>30</v>
      </c>
      <c r="C8656" t="str">
        <f>CHOOSE(MATCH(B8656, {20,25,30,35,40,45,50,55,60,65,70,75,80,85}, 1), "20-24", "25-29", "30-34", "35-39", "40-44", "45-49", "50-54", "55-59", "60-64", "65-69", "70-74", "75-79", "80-84", "85+")</f>
        <v>30-34</v>
      </c>
      <c r="D8656" t="s">
        <v>7</v>
      </c>
    </row>
    <row r="8657" spans="1:4">
      <c r="A8657" t="s">
        <v>6</v>
      </c>
      <c r="B8657">
        <v>33</v>
      </c>
      <c r="C8657" t="str">
        <f>CHOOSE(MATCH(B8657, {20,25,30,35,40,45,50,55,60,65,70,75,80,85}, 1), "20-24", "25-29", "30-34", "35-39", "40-44", "45-49", "50-54", "55-59", "60-64", "65-69", "70-74", "75-79", "80-84", "85+")</f>
        <v>30-34</v>
      </c>
      <c r="D8657" t="s">
        <v>7</v>
      </c>
    </row>
    <row r="8658" spans="1:4">
      <c r="A8658" t="s">
        <v>6</v>
      </c>
      <c r="B8658">
        <v>46</v>
      </c>
      <c r="C8658" t="str">
        <f>CHOOSE(MATCH(B8658, {20,25,30,35,40,45,50,55,60,65,70,75,80,85}, 1), "20-24", "25-29", "30-34", "35-39", "40-44", "45-49", "50-54", "55-59", "60-64", "65-69", "70-74", "75-79", "80-84", "85+")</f>
        <v>45-49</v>
      </c>
      <c r="D8658" t="s">
        <v>7</v>
      </c>
    </row>
    <row r="8659" spans="1:4">
      <c r="A8659" t="s">
        <v>6</v>
      </c>
      <c r="B8659">
        <v>38</v>
      </c>
      <c r="C8659" t="str">
        <f>CHOOSE(MATCH(B8659, {20,25,30,35,40,45,50,55,60,65,70,75,80,85}, 1), "20-24", "25-29", "30-34", "35-39", "40-44", "45-49", "50-54", "55-59", "60-64", "65-69", "70-74", "75-79", "80-84", "85+")</f>
        <v>35-39</v>
      </c>
      <c r="D8659" t="s">
        <v>8</v>
      </c>
    </row>
    <row r="8660" spans="1:4">
      <c r="A8660" t="s">
        <v>6</v>
      </c>
      <c r="B8660">
        <v>60</v>
      </c>
      <c r="C8660" t="str">
        <f>CHOOSE(MATCH(B8660, {20,25,30,35,40,45,50,55,60,65,70,75,80,85}, 1), "20-24", "25-29", "30-34", "35-39", "40-44", "45-49", "50-54", "55-59", "60-64", "65-69", "70-74", "75-79", "80-84", "85+")</f>
        <v>60-64</v>
      </c>
      <c r="D8660" t="s">
        <v>8</v>
      </c>
    </row>
    <row r="8661" spans="1:4">
      <c r="A8661" t="s">
        <v>6</v>
      </c>
      <c r="B8661">
        <v>54</v>
      </c>
      <c r="C8661" t="str">
        <f>CHOOSE(MATCH(B8661, {20,25,30,35,40,45,50,55,60,65,70,75,80,85}, 1), "20-24", "25-29", "30-34", "35-39", "40-44", "45-49", "50-54", "55-59", "60-64", "65-69", "70-74", "75-79", "80-84", "85+")</f>
        <v>50-54</v>
      </c>
      <c r="D8661" t="s">
        <v>8</v>
      </c>
    </row>
    <row r="8662" spans="1:4">
      <c r="A8662" t="s">
        <v>6</v>
      </c>
      <c r="B8662">
        <v>47</v>
      </c>
      <c r="C8662" t="str">
        <f>CHOOSE(MATCH(B8662, {20,25,30,35,40,45,50,55,60,65,70,75,80,85}, 1), "20-24", "25-29", "30-34", "35-39", "40-44", "45-49", "50-54", "55-59", "60-64", "65-69", "70-74", "75-79", "80-84", "85+")</f>
        <v>45-49</v>
      </c>
      <c r="D8662" t="s">
        <v>7</v>
      </c>
    </row>
    <row r="8663" spans="1:4">
      <c r="A8663" t="s">
        <v>6</v>
      </c>
      <c r="B8663">
        <v>29</v>
      </c>
      <c r="C8663" t="str">
        <f>CHOOSE(MATCH(B8663, {20,25,30,35,40,45,50,55,60,65,70,75,80,85}, 1), "20-24", "25-29", "30-34", "35-39", "40-44", "45-49", "50-54", "55-59", "60-64", "65-69", "70-74", "75-79", "80-84", "85+")</f>
        <v>25-29</v>
      </c>
      <c r="D8663" t="s">
        <v>7</v>
      </c>
    </row>
    <row r="8664" spans="1:4">
      <c r="A8664" t="s">
        <v>6</v>
      </c>
      <c r="B8664">
        <v>30</v>
      </c>
      <c r="C8664" t="str">
        <f>CHOOSE(MATCH(B8664, {20,25,30,35,40,45,50,55,60,65,70,75,80,85}, 1), "20-24", "25-29", "30-34", "35-39", "40-44", "45-49", "50-54", "55-59", "60-64", "65-69", "70-74", "75-79", "80-84", "85+")</f>
        <v>30-34</v>
      </c>
      <c r="D8664" t="s">
        <v>8</v>
      </c>
    </row>
    <row r="8665" spans="1:4">
      <c r="A8665" t="s">
        <v>6</v>
      </c>
      <c r="B8665">
        <v>42</v>
      </c>
      <c r="C8665" t="str">
        <f>CHOOSE(MATCH(B8665, {20,25,30,35,40,45,50,55,60,65,70,75,80,85}, 1), "20-24", "25-29", "30-34", "35-39", "40-44", "45-49", "50-54", "55-59", "60-64", "65-69", "70-74", "75-79", "80-84", "85+")</f>
        <v>40-44</v>
      </c>
      <c r="D8665" t="s">
        <v>8</v>
      </c>
    </row>
    <row r="8666" spans="1:4">
      <c r="A8666" t="s">
        <v>6</v>
      </c>
      <c r="B8666">
        <v>53</v>
      </c>
      <c r="C8666" t="str">
        <f>CHOOSE(MATCH(B8666, {20,25,30,35,40,45,50,55,60,65,70,75,80,85}, 1), "20-24", "25-29", "30-34", "35-39", "40-44", "45-49", "50-54", "55-59", "60-64", "65-69", "70-74", "75-79", "80-84", "85+")</f>
        <v>50-54</v>
      </c>
      <c r="D8666" t="s">
        <v>8</v>
      </c>
    </row>
    <row r="8667" spans="1:4">
      <c r="A8667" t="s">
        <v>6</v>
      </c>
      <c r="B8667">
        <v>29</v>
      </c>
      <c r="C8667" t="str">
        <f>CHOOSE(MATCH(B8667, {20,25,30,35,40,45,50,55,60,65,70,75,80,85}, 1), "20-24", "25-29", "30-34", "35-39", "40-44", "45-49", "50-54", "55-59", "60-64", "65-69", "70-74", "75-79", "80-84", "85+")</f>
        <v>25-29</v>
      </c>
      <c r="D8667" t="s">
        <v>8</v>
      </c>
    </row>
    <row r="8668" spans="1:4">
      <c r="A8668" t="s">
        <v>6</v>
      </c>
      <c r="B8668">
        <v>43</v>
      </c>
      <c r="C8668" t="str">
        <f>CHOOSE(MATCH(B8668, {20,25,30,35,40,45,50,55,60,65,70,75,80,85}, 1), "20-24", "25-29", "30-34", "35-39", "40-44", "45-49", "50-54", "55-59", "60-64", "65-69", "70-74", "75-79", "80-84", "85+")</f>
        <v>40-44</v>
      </c>
      <c r="D8668" t="s">
        <v>7</v>
      </c>
    </row>
    <row r="8669" spans="1:4">
      <c r="A8669" t="s">
        <v>6</v>
      </c>
      <c r="B8669">
        <v>36</v>
      </c>
      <c r="C8669" t="str">
        <f>CHOOSE(MATCH(B8669, {20,25,30,35,40,45,50,55,60,65,70,75,80,85}, 1), "20-24", "25-29", "30-34", "35-39", "40-44", "45-49", "50-54", "55-59", "60-64", "65-69", "70-74", "75-79", "80-84", "85+")</f>
        <v>35-39</v>
      </c>
      <c r="D8669" t="s">
        <v>7</v>
      </c>
    </row>
    <row r="8670" spans="1:4">
      <c r="A8670" t="s">
        <v>6</v>
      </c>
      <c r="B8670">
        <v>22</v>
      </c>
      <c r="C8670" t="str">
        <f>CHOOSE(MATCH(B8670, {20,25,30,35,40,45,50,55,60,65,70,75,80,85}, 1), "20-24", "25-29", "30-34", "35-39", "40-44", "45-49", "50-54", "55-59", "60-64", "65-69", "70-74", "75-79", "80-84", "85+")</f>
        <v>20-24</v>
      </c>
      <c r="D8670" t="s">
        <v>7</v>
      </c>
    </row>
    <row r="8671" spans="1:4">
      <c r="A8671" t="s">
        <v>6</v>
      </c>
      <c r="B8671">
        <v>36</v>
      </c>
      <c r="C8671" t="str">
        <f>CHOOSE(MATCH(B8671, {20,25,30,35,40,45,50,55,60,65,70,75,80,85}, 1), "20-24", "25-29", "30-34", "35-39", "40-44", "45-49", "50-54", "55-59", "60-64", "65-69", "70-74", "75-79", "80-84", "85+")</f>
        <v>35-39</v>
      </c>
      <c r="D8671" t="s">
        <v>8</v>
      </c>
    </row>
    <row r="8672" spans="1:4">
      <c r="A8672" t="s">
        <v>6</v>
      </c>
      <c r="B8672">
        <v>29</v>
      </c>
      <c r="C8672" t="str">
        <f>CHOOSE(MATCH(B8672, {20,25,30,35,40,45,50,55,60,65,70,75,80,85}, 1), "20-24", "25-29", "30-34", "35-39", "40-44", "45-49", "50-54", "55-59", "60-64", "65-69", "70-74", "75-79", "80-84", "85+")</f>
        <v>25-29</v>
      </c>
      <c r="D8672" t="s">
        <v>7</v>
      </c>
    </row>
    <row r="8673" spans="1:4">
      <c r="A8673" t="s">
        <v>6</v>
      </c>
      <c r="B8673">
        <v>43</v>
      </c>
      <c r="C8673" t="str">
        <f>CHOOSE(MATCH(B8673, {20,25,30,35,40,45,50,55,60,65,70,75,80,85}, 1), "20-24", "25-29", "30-34", "35-39", "40-44", "45-49", "50-54", "55-59", "60-64", "65-69", "70-74", "75-79", "80-84", "85+")</f>
        <v>40-44</v>
      </c>
      <c r="D8673" t="s">
        <v>7</v>
      </c>
    </row>
    <row r="8674" spans="1:4">
      <c r="A8674" t="s">
        <v>6</v>
      </c>
      <c r="B8674">
        <v>62</v>
      </c>
      <c r="C8674" t="str">
        <f>CHOOSE(MATCH(B8674, {20,25,30,35,40,45,50,55,60,65,70,75,80,85}, 1), "20-24", "25-29", "30-34", "35-39", "40-44", "45-49", "50-54", "55-59", "60-64", "65-69", "70-74", "75-79", "80-84", "85+")</f>
        <v>60-64</v>
      </c>
      <c r="D8674" t="s">
        <v>8</v>
      </c>
    </row>
    <row r="8675" spans="1:4">
      <c r="A8675" t="s">
        <v>6</v>
      </c>
      <c r="B8675">
        <v>22</v>
      </c>
      <c r="C8675" t="str">
        <f>CHOOSE(MATCH(B8675, {20,25,30,35,40,45,50,55,60,65,70,75,80,85}, 1), "20-24", "25-29", "30-34", "35-39", "40-44", "45-49", "50-54", "55-59", "60-64", "65-69", "70-74", "75-79", "80-84", "85+")</f>
        <v>20-24</v>
      </c>
      <c r="D8675" t="s">
        <v>7</v>
      </c>
    </row>
    <row r="8676" spans="1:4">
      <c r="A8676" t="s">
        <v>6</v>
      </c>
      <c r="B8676">
        <v>58</v>
      </c>
      <c r="C8676" t="str">
        <f>CHOOSE(MATCH(B8676, {20,25,30,35,40,45,50,55,60,65,70,75,80,85}, 1), "20-24", "25-29", "30-34", "35-39", "40-44", "45-49", "50-54", "55-59", "60-64", "65-69", "70-74", "75-79", "80-84", "85+")</f>
        <v>55-59</v>
      </c>
      <c r="D8676" t="s">
        <v>7</v>
      </c>
    </row>
    <row r="8677" spans="1:4">
      <c r="A8677" t="s">
        <v>6</v>
      </c>
      <c r="B8677">
        <v>26</v>
      </c>
      <c r="C8677" t="str">
        <f>CHOOSE(MATCH(B8677, {20,25,30,35,40,45,50,55,60,65,70,75,80,85}, 1), "20-24", "25-29", "30-34", "35-39", "40-44", "45-49", "50-54", "55-59", "60-64", "65-69", "70-74", "75-79", "80-84", "85+")</f>
        <v>25-29</v>
      </c>
      <c r="D8677" t="s">
        <v>7</v>
      </c>
    </row>
    <row r="8678" spans="1:4">
      <c r="A8678" t="s">
        <v>6</v>
      </c>
      <c r="B8678">
        <v>35</v>
      </c>
      <c r="C8678" t="str">
        <f>CHOOSE(MATCH(B8678, {20,25,30,35,40,45,50,55,60,65,70,75,80,85}, 1), "20-24", "25-29", "30-34", "35-39", "40-44", "45-49", "50-54", "55-59", "60-64", "65-69", "70-74", "75-79", "80-84", "85+")</f>
        <v>35-39</v>
      </c>
      <c r="D8678" t="s">
        <v>8</v>
      </c>
    </row>
    <row r="8679" spans="1:4">
      <c r="A8679" t="s">
        <v>6</v>
      </c>
      <c r="B8679">
        <v>63</v>
      </c>
      <c r="C8679" t="str">
        <f>CHOOSE(MATCH(B8679, {20,25,30,35,40,45,50,55,60,65,70,75,80,85}, 1), "20-24", "25-29", "30-34", "35-39", "40-44", "45-49", "50-54", "55-59", "60-64", "65-69", "70-74", "75-79", "80-84", "85+")</f>
        <v>60-64</v>
      </c>
      <c r="D8679" t="s">
        <v>7</v>
      </c>
    </row>
    <row r="8680" spans="1:4">
      <c r="A8680" t="s">
        <v>6</v>
      </c>
      <c r="B8680">
        <v>62</v>
      </c>
      <c r="C8680" t="str">
        <f>CHOOSE(MATCH(B8680, {20,25,30,35,40,45,50,55,60,65,70,75,80,85}, 1), "20-24", "25-29", "30-34", "35-39", "40-44", "45-49", "50-54", "55-59", "60-64", "65-69", "70-74", "75-79", "80-84", "85+")</f>
        <v>60-64</v>
      </c>
      <c r="D8680" t="s">
        <v>8</v>
      </c>
    </row>
    <row r="8681" spans="1:4">
      <c r="A8681" t="s">
        <v>6</v>
      </c>
      <c r="B8681">
        <v>89</v>
      </c>
      <c r="C8681" t="str">
        <f>CHOOSE(MATCH(B8681, {20,25,30,35,40,45,50,55,60,65,70,75,80,85}, 1), "20-24", "25-29", "30-34", "35-39", "40-44", "45-49", "50-54", "55-59", "60-64", "65-69", "70-74", "75-79", "80-84", "85+")</f>
        <v>85+</v>
      </c>
      <c r="D8681" t="s">
        <v>7</v>
      </c>
    </row>
    <row r="8682" spans="1:4">
      <c r="A8682" t="s">
        <v>6</v>
      </c>
      <c r="B8682">
        <v>62</v>
      </c>
      <c r="C8682" t="str">
        <f>CHOOSE(MATCH(B8682, {20,25,30,35,40,45,50,55,60,65,70,75,80,85}, 1), "20-24", "25-29", "30-34", "35-39", "40-44", "45-49", "50-54", "55-59", "60-64", "65-69", "70-74", "75-79", "80-84", "85+")</f>
        <v>60-64</v>
      </c>
      <c r="D8682" t="s">
        <v>7</v>
      </c>
    </row>
    <row r="8683" spans="1:4">
      <c r="A8683" t="s">
        <v>6</v>
      </c>
      <c r="B8683">
        <v>31</v>
      </c>
      <c r="C8683" t="str">
        <f>CHOOSE(MATCH(B8683, {20,25,30,35,40,45,50,55,60,65,70,75,80,85}, 1), "20-24", "25-29", "30-34", "35-39", "40-44", "45-49", "50-54", "55-59", "60-64", "65-69", "70-74", "75-79", "80-84", "85+")</f>
        <v>30-34</v>
      </c>
      <c r="D8683" t="s">
        <v>8</v>
      </c>
    </row>
    <row r="8684" spans="1:4">
      <c r="A8684" t="s">
        <v>6</v>
      </c>
      <c r="B8684">
        <v>26</v>
      </c>
      <c r="C8684" t="str">
        <f>CHOOSE(MATCH(B8684, {20,25,30,35,40,45,50,55,60,65,70,75,80,85}, 1), "20-24", "25-29", "30-34", "35-39", "40-44", "45-49", "50-54", "55-59", "60-64", "65-69", "70-74", "75-79", "80-84", "85+")</f>
        <v>25-29</v>
      </c>
      <c r="D8684" t="s">
        <v>8</v>
      </c>
    </row>
    <row r="8685" spans="1:4">
      <c r="A8685" t="s">
        <v>6</v>
      </c>
      <c r="B8685">
        <v>60</v>
      </c>
      <c r="C8685" t="str">
        <f>CHOOSE(MATCH(B8685, {20,25,30,35,40,45,50,55,60,65,70,75,80,85}, 1), "20-24", "25-29", "30-34", "35-39", "40-44", "45-49", "50-54", "55-59", "60-64", "65-69", "70-74", "75-79", "80-84", "85+")</f>
        <v>60-64</v>
      </c>
      <c r="D8685" t="s">
        <v>8</v>
      </c>
    </row>
    <row r="8686" spans="1:4">
      <c r="A8686" t="s">
        <v>6</v>
      </c>
      <c r="B8686">
        <v>29</v>
      </c>
      <c r="C8686" t="str">
        <f>CHOOSE(MATCH(B8686, {20,25,30,35,40,45,50,55,60,65,70,75,80,85}, 1), "20-24", "25-29", "30-34", "35-39", "40-44", "45-49", "50-54", "55-59", "60-64", "65-69", "70-74", "75-79", "80-84", "85+")</f>
        <v>25-29</v>
      </c>
      <c r="D8686" t="s">
        <v>7</v>
      </c>
    </row>
    <row r="8687" spans="1:4">
      <c r="A8687" t="s">
        <v>6</v>
      </c>
      <c r="B8687">
        <v>34</v>
      </c>
      <c r="C8687" t="str">
        <f>CHOOSE(MATCH(B8687, {20,25,30,35,40,45,50,55,60,65,70,75,80,85}, 1), "20-24", "25-29", "30-34", "35-39", "40-44", "45-49", "50-54", "55-59", "60-64", "65-69", "70-74", "75-79", "80-84", "85+")</f>
        <v>30-34</v>
      </c>
      <c r="D8687" t="s">
        <v>7</v>
      </c>
    </row>
    <row r="8688" spans="1:4">
      <c r="A8688" t="s">
        <v>6</v>
      </c>
      <c r="B8688">
        <v>60</v>
      </c>
      <c r="C8688" t="str">
        <f>CHOOSE(MATCH(B8688, {20,25,30,35,40,45,50,55,60,65,70,75,80,85}, 1), "20-24", "25-29", "30-34", "35-39", "40-44", "45-49", "50-54", "55-59", "60-64", "65-69", "70-74", "75-79", "80-84", "85+")</f>
        <v>60-64</v>
      </c>
      <c r="D8688" t="s">
        <v>7</v>
      </c>
    </row>
    <row r="8689" spans="1:4">
      <c r="A8689" t="s">
        <v>6</v>
      </c>
      <c r="B8689">
        <v>20</v>
      </c>
      <c r="C8689" t="str">
        <f>CHOOSE(MATCH(B8689, {20,25,30,35,40,45,50,55,60,65,70,75,80,85}, 1), "20-24", "25-29", "30-34", "35-39", "40-44", "45-49", "50-54", "55-59", "60-64", "65-69", "70-74", "75-79", "80-84", "85+")</f>
        <v>20-24</v>
      </c>
      <c r="D8689" t="s">
        <v>7</v>
      </c>
    </row>
    <row r="8690" spans="1:4">
      <c r="A8690" t="s">
        <v>6</v>
      </c>
      <c r="B8690">
        <v>42</v>
      </c>
      <c r="C8690" t="str">
        <f>CHOOSE(MATCH(B8690, {20,25,30,35,40,45,50,55,60,65,70,75,80,85}, 1), "20-24", "25-29", "30-34", "35-39", "40-44", "45-49", "50-54", "55-59", "60-64", "65-69", "70-74", "75-79", "80-84", "85+")</f>
        <v>40-44</v>
      </c>
      <c r="D8690" t="s">
        <v>8</v>
      </c>
    </row>
    <row r="8691" spans="1:4">
      <c r="A8691" t="s">
        <v>6</v>
      </c>
      <c r="B8691">
        <v>59</v>
      </c>
      <c r="C8691" t="str">
        <f>CHOOSE(MATCH(B8691, {20,25,30,35,40,45,50,55,60,65,70,75,80,85}, 1), "20-24", "25-29", "30-34", "35-39", "40-44", "45-49", "50-54", "55-59", "60-64", "65-69", "70-74", "75-79", "80-84", "85+")</f>
        <v>55-59</v>
      </c>
      <c r="D8691" t="s">
        <v>8</v>
      </c>
    </row>
    <row r="8692" spans="1:4">
      <c r="A8692" t="s">
        <v>6</v>
      </c>
      <c r="B8692">
        <v>34</v>
      </c>
      <c r="C8692" t="str">
        <f>CHOOSE(MATCH(B8692, {20,25,30,35,40,45,50,55,60,65,70,75,80,85}, 1), "20-24", "25-29", "30-34", "35-39", "40-44", "45-49", "50-54", "55-59", "60-64", "65-69", "70-74", "75-79", "80-84", "85+")</f>
        <v>30-34</v>
      </c>
      <c r="D8692" t="s">
        <v>7</v>
      </c>
    </row>
    <row r="8693" spans="1:4">
      <c r="A8693" t="s">
        <v>6</v>
      </c>
      <c r="B8693">
        <v>30</v>
      </c>
      <c r="C8693" t="str">
        <f>CHOOSE(MATCH(B8693, {20,25,30,35,40,45,50,55,60,65,70,75,80,85}, 1), "20-24", "25-29", "30-34", "35-39", "40-44", "45-49", "50-54", "55-59", "60-64", "65-69", "70-74", "75-79", "80-84", "85+")</f>
        <v>30-34</v>
      </c>
      <c r="D8693" t="s">
        <v>7</v>
      </c>
    </row>
    <row r="8694" spans="1:4">
      <c r="A8694" t="s">
        <v>6</v>
      </c>
      <c r="B8694">
        <v>35</v>
      </c>
      <c r="C8694" t="str">
        <f>CHOOSE(MATCH(B8694, {20,25,30,35,40,45,50,55,60,65,70,75,80,85}, 1), "20-24", "25-29", "30-34", "35-39", "40-44", "45-49", "50-54", "55-59", "60-64", "65-69", "70-74", "75-79", "80-84", "85+")</f>
        <v>35-39</v>
      </c>
      <c r="D8694" t="s">
        <v>7</v>
      </c>
    </row>
    <row r="8695" spans="1:4">
      <c r="A8695" t="s">
        <v>6</v>
      </c>
      <c r="B8695">
        <v>28</v>
      </c>
      <c r="C8695" t="str">
        <f>CHOOSE(MATCH(B8695, {20,25,30,35,40,45,50,55,60,65,70,75,80,85}, 1), "20-24", "25-29", "30-34", "35-39", "40-44", "45-49", "50-54", "55-59", "60-64", "65-69", "70-74", "75-79", "80-84", "85+")</f>
        <v>25-29</v>
      </c>
      <c r="D8695" t="s">
        <v>8</v>
      </c>
    </row>
    <row r="8696" spans="1:4">
      <c r="A8696" t="s">
        <v>6</v>
      </c>
      <c r="B8696">
        <v>40</v>
      </c>
      <c r="C8696" t="str">
        <f>CHOOSE(MATCH(B8696, {20,25,30,35,40,45,50,55,60,65,70,75,80,85}, 1), "20-24", "25-29", "30-34", "35-39", "40-44", "45-49", "50-54", "55-59", "60-64", "65-69", "70-74", "75-79", "80-84", "85+")</f>
        <v>40-44</v>
      </c>
      <c r="D8696" t="s">
        <v>8</v>
      </c>
    </row>
    <row r="8697" spans="1:4">
      <c r="A8697" t="s">
        <v>6</v>
      </c>
      <c r="B8697">
        <v>33</v>
      </c>
      <c r="C8697" t="str">
        <f>CHOOSE(MATCH(B8697, {20,25,30,35,40,45,50,55,60,65,70,75,80,85}, 1), "20-24", "25-29", "30-34", "35-39", "40-44", "45-49", "50-54", "55-59", "60-64", "65-69", "70-74", "75-79", "80-84", "85+")</f>
        <v>30-34</v>
      </c>
      <c r="D8697" t="s">
        <v>7</v>
      </c>
    </row>
    <row r="8698" spans="1:4">
      <c r="A8698" t="s">
        <v>6</v>
      </c>
      <c r="B8698">
        <v>57</v>
      </c>
      <c r="C8698" t="str">
        <f>CHOOSE(MATCH(B8698, {20,25,30,35,40,45,50,55,60,65,70,75,80,85}, 1), "20-24", "25-29", "30-34", "35-39", "40-44", "45-49", "50-54", "55-59", "60-64", "65-69", "70-74", "75-79", "80-84", "85+")</f>
        <v>55-59</v>
      </c>
      <c r="D8698" t="s">
        <v>7</v>
      </c>
    </row>
    <row r="8699" spans="1:4">
      <c r="A8699" t="s">
        <v>6</v>
      </c>
      <c r="B8699">
        <v>63</v>
      </c>
      <c r="C8699" t="str">
        <f>CHOOSE(MATCH(B8699, {20,25,30,35,40,45,50,55,60,65,70,75,80,85}, 1), "20-24", "25-29", "30-34", "35-39", "40-44", "45-49", "50-54", "55-59", "60-64", "65-69", "70-74", "75-79", "80-84", "85+")</f>
        <v>60-64</v>
      </c>
      <c r="D8699" t="s">
        <v>8</v>
      </c>
    </row>
    <row r="8700" spans="1:4">
      <c r="A8700" t="s">
        <v>6</v>
      </c>
      <c r="B8700">
        <v>25</v>
      </c>
      <c r="C8700" t="str">
        <f>CHOOSE(MATCH(B8700, {20,25,30,35,40,45,50,55,60,65,70,75,80,85}, 1), "20-24", "25-29", "30-34", "35-39", "40-44", "45-49", "50-54", "55-59", "60-64", "65-69", "70-74", "75-79", "80-84", "85+")</f>
        <v>25-29</v>
      </c>
      <c r="D8700" t="s">
        <v>7</v>
      </c>
    </row>
    <row r="8701" spans="1:4">
      <c r="A8701" t="s">
        <v>6</v>
      </c>
      <c r="B8701">
        <v>33</v>
      </c>
      <c r="C8701" t="str">
        <f>CHOOSE(MATCH(B8701, {20,25,30,35,40,45,50,55,60,65,70,75,80,85}, 1), "20-24", "25-29", "30-34", "35-39", "40-44", "45-49", "50-54", "55-59", "60-64", "65-69", "70-74", "75-79", "80-84", "85+")</f>
        <v>30-34</v>
      </c>
      <c r="D8701" t="s">
        <v>8</v>
      </c>
    </row>
    <row r="8702" spans="1:4">
      <c r="A8702" t="s">
        <v>6</v>
      </c>
      <c r="B8702">
        <v>75</v>
      </c>
      <c r="C8702" t="str">
        <f>CHOOSE(MATCH(B8702, {20,25,30,35,40,45,50,55,60,65,70,75,80,85}, 1), "20-24", "25-29", "30-34", "35-39", "40-44", "45-49", "50-54", "55-59", "60-64", "65-69", "70-74", "75-79", "80-84", "85+")</f>
        <v>75-79</v>
      </c>
      <c r="D8702" t="s">
        <v>8</v>
      </c>
    </row>
    <row r="8703" spans="1:4">
      <c r="A8703" t="s">
        <v>6</v>
      </c>
      <c r="B8703">
        <v>44</v>
      </c>
      <c r="C8703" t="str">
        <f>CHOOSE(MATCH(B8703, {20,25,30,35,40,45,50,55,60,65,70,75,80,85}, 1), "20-24", "25-29", "30-34", "35-39", "40-44", "45-49", "50-54", "55-59", "60-64", "65-69", "70-74", "75-79", "80-84", "85+")</f>
        <v>40-44</v>
      </c>
      <c r="D8703" t="s">
        <v>7</v>
      </c>
    </row>
    <row r="8704" spans="1:4">
      <c r="A8704" t="s">
        <v>6</v>
      </c>
      <c r="B8704">
        <v>24</v>
      </c>
      <c r="C8704" t="str">
        <f>CHOOSE(MATCH(B8704, {20,25,30,35,40,45,50,55,60,65,70,75,80,85}, 1), "20-24", "25-29", "30-34", "35-39", "40-44", "45-49", "50-54", "55-59", "60-64", "65-69", "70-74", "75-79", "80-84", "85+")</f>
        <v>20-24</v>
      </c>
      <c r="D8704" t="s">
        <v>8</v>
      </c>
    </row>
    <row r="8705" spans="1:4">
      <c r="A8705" t="s">
        <v>6</v>
      </c>
      <c r="B8705">
        <v>74</v>
      </c>
      <c r="C8705" t="str">
        <f>CHOOSE(MATCH(B8705, {20,25,30,35,40,45,50,55,60,65,70,75,80,85}, 1), "20-24", "25-29", "30-34", "35-39", "40-44", "45-49", "50-54", "55-59", "60-64", "65-69", "70-74", "75-79", "80-84", "85+")</f>
        <v>70-74</v>
      </c>
      <c r="D8705" t="s">
        <v>7</v>
      </c>
    </row>
    <row r="8706" spans="1:4">
      <c r="A8706" t="s">
        <v>6</v>
      </c>
      <c r="B8706">
        <v>43</v>
      </c>
      <c r="C8706" t="str">
        <f>CHOOSE(MATCH(B8706, {20,25,30,35,40,45,50,55,60,65,70,75,80,85}, 1), "20-24", "25-29", "30-34", "35-39", "40-44", "45-49", "50-54", "55-59", "60-64", "65-69", "70-74", "75-79", "80-84", "85+")</f>
        <v>40-44</v>
      </c>
      <c r="D8706" t="s">
        <v>7</v>
      </c>
    </row>
    <row r="8707" spans="1:4">
      <c r="A8707" t="s">
        <v>6</v>
      </c>
      <c r="B8707">
        <v>34</v>
      </c>
      <c r="C8707" t="str">
        <f>CHOOSE(MATCH(B8707, {20,25,30,35,40,45,50,55,60,65,70,75,80,85}, 1), "20-24", "25-29", "30-34", "35-39", "40-44", "45-49", "50-54", "55-59", "60-64", "65-69", "70-74", "75-79", "80-84", "85+")</f>
        <v>30-34</v>
      </c>
      <c r="D8707" t="s">
        <v>8</v>
      </c>
    </row>
    <row r="8708" spans="1:4">
      <c r="A8708" t="s">
        <v>6</v>
      </c>
      <c r="B8708">
        <v>42</v>
      </c>
      <c r="C8708" t="str">
        <f>CHOOSE(MATCH(B8708, {20,25,30,35,40,45,50,55,60,65,70,75,80,85}, 1), "20-24", "25-29", "30-34", "35-39", "40-44", "45-49", "50-54", "55-59", "60-64", "65-69", "70-74", "75-79", "80-84", "85+")</f>
        <v>40-44</v>
      </c>
      <c r="D8708" t="s">
        <v>7</v>
      </c>
    </row>
    <row r="8709" spans="1:4">
      <c r="A8709" t="s">
        <v>6</v>
      </c>
      <c r="B8709">
        <v>28</v>
      </c>
      <c r="C8709" t="str">
        <f>CHOOSE(MATCH(B8709, {20,25,30,35,40,45,50,55,60,65,70,75,80,85}, 1), "20-24", "25-29", "30-34", "35-39", "40-44", "45-49", "50-54", "55-59", "60-64", "65-69", "70-74", "75-79", "80-84", "85+")</f>
        <v>25-29</v>
      </c>
      <c r="D8709" t="s">
        <v>7</v>
      </c>
    </row>
    <row r="8710" spans="1:4">
      <c r="A8710" t="s">
        <v>6</v>
      </c>
      <c r="B8710">
        <v>51</v>
      </c>
      <c r="C8710" t="str">
        <f>CHOOSE(MATCH(B8710, {20,25,30,35,40,45,50,55,60,65,70,75,80,85}, 1), "20-24", "25-29", "30-34", "35-39", "40-44", "45-49", "50-54", "55-59", "60-64", "65-69", "70-74", "75-79", "80-84", "85+")</f>
        <v>50-54</v>
      </c>
      <c r="D8710" t="s">
        <v>7</v>
      </c>
    </row>
    <row r="8711" spans="1:4">
      <c r="A8711" t="s">
        <v>6</v>
      </c>
      <c r="B8711">
        <v>26</v>
      </c>
      <c r="C8711" t="str">
        <f>CHOOSE(MATCH(B8711, {20,25,30,35,40,45,50,55,60,65,70,75,80,85}, 1), "20-24", "25-29", "30-34", "35-39", "40-44", "45-49", "50-54", "55-59", "60-64", "65-69", "70-74", "75-79", "80-84", "85+")</f>
        <v>25-29</v>
      </c>
      <c r="D8711" t="s">
        <v>7</v>
      </c>
    </row>
    <row r="8712" spans="1:4">
      <c r="A8712" t="s">
        <v>6</v>
      </c>
      <c r="B8712">
        <v>28</v>
      </c>
      <c r="C8712" t="str">
        <f>CHOOSE(MATCH(B8712, {20,25,30,35,40,45,50,55,60,65,70,75,80,85}, 1), "20-24", "25-29", "30-34", "35-39", "40-44", "45-49", "50-54", "55-59", "60-64", "65-69", "70-74", "75-79", "80-84", "85+")</f>
        <v>25-29</v>
      </c>
      <c r="D8712" t="s">
        <v>8</v>
      </c>
    </row>
    <row r="8713" spans="1:4">
      <c r="A8713" t="s">
        <v>6</v>
      </c>
      <c r="B8713">
        <v>33</v>
      </c>
      <c r="C8713" t="str">
        <f>CHOOSE(MATCH(B8713, {20,25,30,35,40,45,50,55,60,65,70,75,80,85}, 1), "20-24", "25-29", "30-34", "35-39", "40-44", "45-49", "50-54", "55-59", "60-64", "65-69", "70-74", "75-79", "80-84", "85+")</f>
        <v>30-34</v>
      </c>
      <c r="D8713" t="s">
        <v>7</v>
      </c>
    </row>
    <row r="8714" spans="1:4">
      <c r="A8714" t="s">
        <v>6</v>
      </c>
      <c r="B8714">
        <v>35</v>
      </c>
      <c r="C8714" t="str">
        <f>CHOOSE(MATCH(B8714, {20,25,30,35,40,45,50,55,60,65,70,75,80,85}, 1), "20-24", "25-29", "30-34", "35-39", "40-44", "45-49", "50-54", "55-59", "60-64", "65-69", "70-74", "75-79", "80-84", "85+")</f>
        <v>35-39</v>
      </c>
      <c r="D8714" t="s">
        <v>7</v>
      </c>
    </row>
    <row r="8715" spans="1:4">
      <c r="A8715" t="s">
        <v>6</v>
      </c>
      <c r="B8715">
        <v>65</v>
      </c>
      <c r="C8715" t="str">
        <f>CHOOSE(MATCH(B8715, {20,25,30,35,40,45,50,55,60,65,70,75,80,85}, 1), "20-24", "25-29", "30-34", "35-39", "40-44", "45-49", "50-54", "55-59", "60-64", "65-69", "70-74", "75-79", "80-84", "85+")</f>
        <v>65-69</v>
      </c>
      <c r="D8715" t="s">
        <v>8</v>
      </c>
    </row>
    <row r="8716" spans="1:4">
      <c r="A8716" t="s">
        <v>6</v>
      </c>
      <c r="B8716">
        <v>57</v>
      </c>
      <c r="C8716" t="str">
        <f>CHOOSE(MATCH(B8716, {20,25,30,35,40,45,50,55,60,65,70,75,80,85}, 1), "20-24", "25-29", "30-34", "35-39", "40-44", "45-49", "50-54", "55-59", "60-64", "65-69", "70-74", "75-79", "80-84", "85+")</f>
        <v>55-59</v>
      </c>
      <c r="D8716" t="s">
        <v>8</v>
      </c>
    </row>
    <row r="8717" spans="1:4">
      <c r="A8717" t="s">
        <v>6</v>
      </c>
      <c r="B8717">
        <v>37</v>
      </c>
      <c r="C8717" t="str">
        <f>CHOOSE(MATCH(B8717, {20,25,30,35,40,45,50,55,60,65,70,75,80,85}, 1), "20-24", "25-29", "30-34", "35-39", "40-44", "45-49", "50-54", "55-59", "60-64", "65-69", "70-74", "75-79", "80-84", "85+")</f>
        <v>35-39</v>
      </c>
      <c r="D8717" t="s">
        <v>7</v>
      </c>
    </row>
    <row r="8718" spans="1:4">
      <c r="A8718" t="s">
        <v>6</v>
      </c>
      <c r="B8718">
        <v>32</v>
      </c>
      <c r="C8718" t="str">
        <f>CHOOSE(MATCH(B8718, {20,25,30,35,40,45,50,55,60,65,70,75,80,85}, 1), "20-24", "25-29", "30-34", "35-39", "40-44", "45-49", "50-54", "55-59", "60-64", "65-69", "70-74", "75-79", "80-84", "85+")</f>
        <v>30-34</v>
      </c>
      <c r="D8718" t="s">
        <v>7</v>
      </c>
    </row>
    <row r="8719" spans="1:4">
      <c r="A8719" t="s">
        <v>6</v>
      </c>
      <c r="B8719">
        <v>44</v>
      </c>
      <c r="C8719" t="str">
        <f>CHOOSE(MATCH(B8719, {20,25,30,35,40,45,50,55,60,65,70,75,80,85}, 1), "20-24", "25-29", "30-34", "35-39", "40-44", "45-49", "50-54", "55-59", "60-64", "65-69", "70-74", "75-79", "80-84", "85+")</f>
        <v>40-44</v>
      </c>
      <c r="D8719" t="s">
        <v>8</v>
      </c>
    </row>
    <row r="8720" spans="1:4">
      <c r="A8720" t="s">
        <v>6</v>
      </c>
      <c r="B8720">
        <v>40</v>
      </c>
      <c r="C8720" t="str">
        <f>CHOOSE(MATCH(B8720, {20,25,30,35,40,45,50,55,60,65,70,75,80,85}, 1), "20-24", "25-29", "30-34", "35-39", "40-44", "45-49", "50-54", "55-59", "60-64", "65-69", "70-74", "75-79", "80-84", "85+")</f>
        <v>40-44</v>
      </c>
      <c r="D8720" t="s">
        <v>8</v>
      </c>
    </row>
    <row r="8721" spans="1:4">
      <c r="A8721" t="s">
        <v>6</v>
      </c>
      <c r="B8721">
        <v>32</v>
      </c>
      <c r="C8721" t="str">
        <f>CHOOSE(MATCH(B8721, {20,25,30,35,40,45,50,55,60,65,70,75,80,85}, 1), "20-24", "25-29", "30-34", "35-39", "40-44", "45-49", "50-54", "55-59", "60-64", "65-69", "70-74", "75-79", "80-84", "85+")</f>
        <v>30-34</v>
      </c>
      <c r="D8721" t="s">
        <v>7</v>
      </c>
    </row>
    <row r="8722" spans="1:4">
      <c r="A8722" t="s">
        <v>6</v>
      </c>
      <c r="B8722">
        <v>32</v>
      </c>
      <c r="C8722" t="str">
        <f>CHOOSE(MATCH(B8722, {20,25,30,35,40,45,50,55,60,65,70,75,80,85}, 1), "20-24", "25-29", "30-34", "35-39", "40-44", "45-49", "50-54", "55-59", "60-64", "65-69", "70-74", "75-79", "80-84", "85+")</f>
        <v>30-34</v>
      </c>
      <c r="D8722" t="s">
        <v>7</v>
      </c>
    </row>
    <row r="8723" spans="1:4">
      <c r="A8723" t="s">
        <v>6</v>
      </c>
      <c r="B8723">
        <v>78</v>
      </c>
      <c r="C8723" t="str">
        <f>CHOOSE(MATCH(B8723, {20,25,30,35,40,45,50,55,60,65,70,75,80,85}, 1), "20-24", "25-29", "30-34", "35-39", "40-44", "45-49", "50-54", "55-59", "60-64", "65-69", "70-74", "75-79", "80-84", "85+")</f>
        <v>75-79</v>
      </c>
      <c r="D8723" t="s">
        <v>8</v>
      </c>
    </row>
    <row r="8724" spans="1:4">
      <c r="A8724" t="s">
        <v>6</v>
      </c>
      <c r="B8724">
        <v>32</v>
      </c>
      <c r="C8724" t="str">
        <f>CHOOSE(MATCH(B8724, {20,25,30,35,40,45,50,55,60,65,70,75,80,85}, 1), "20-24", "25-29", "30-34", "35-39", "40-44", "45-49", "50-54", "55-59", "60-64", "65-69", "70-74", "75-79", "80-84", "85+")</f>
        <v>30-34</v>
      </c>
      <c r="D8724" t="s">
        <v>8</v>
      </c>
    </row>
    <row r="8725" spans="1:4">
      <c r="A8725" t="s">
        <v>6</v>
      </c>
      <c r="B8725">
        <v>25</v>
      </c>
      <c r="C8725" t="str">
        <f>CHOOSE(MATCH(B8725, {20,25,30,35,40,45,50,55,60,65,70,75,80,85}, 1), "20-24", "25-29", "30-34", "35-39", "40-44", "45-49", "50-54", "55-59", "60-64", "65-69", "70-74", "75-79", "80-84", "85+")</f>
        <v>25-29</v>
      </c>
      <c r="D8725" t="s">
        <v>7</v>
      </c>
    </row>
    <row r="8726" spans="1:4">
      <c r="A8726" t="s">
        <v>6</v>
      </c>
      <c r="B8726">
        <v>45</v>
      </c>
      <c r="C8726" t="str">
        <f>CHOOSE(MATCH(B8726, {20,25,30,35,40,45,50,55,60,65,70,75,80,85}, 1), "20-24", "25-29", "30-34", "35-39", "40-44", "45-49", "50-54", "55-59", "60-64", "65-69", "70-74", "75-79", "80-84", "85+")</f>
        <v>45-49</v>
      </c>
      <c r="D8726" t="s">
        <v>7</v>
      </c>
    </row>
    <row r="8727" spans="1:4">
      <c r="A8727" t="s">
        <v>6</v>
      </c>
      <c r="B8727">
        <v>35</v>
      </c>
      <c r="C8727" t="str">
        <f>CHOOSE(MATCH(B8727, {20,25,30,35,40,45,50,55,60,65,70,75,80,85}, 1), "20-24", "25-29", "30-34", "35-39", "40-44", "45-49", "50-54", "55-59", "60-64", "65-69", "70-74", "75-79", "80-84", "85+")</f>
        <v>35-39</v>
      </c>
      <c r="D8727" t="s">
        <v>7</v>
      </c>
    </row>
    <row r="8728" spans="1:4">
      <c r="A8728" t="s">
        <v>6</v>
      </c>
      <c r="B8728">
        <v>44</v>
      </c>
      <c r="C8728" t="str">
        <f>CHOOSE(MATCH(B8728, {20,25,30,35,40,45,50,55,60,65,70,75,80,85}, 1), "20-24", "25-29", "30-34", "35-39", "40-44", "45-49", "50-54", "55-59", "60-64", "65-69", "70-74", "75-79", "80-84", "85+")</f>
        <v>40-44</v>
      </c>
      <c r="D8728" t="s">
        <v>7</v>
      </c>
    </row>
    <row r="8729" spans="1:4">
      <c r="A8729" t="s">
        <v>6</v>
      </c>
      <c r="B8729">
        <v>37</v>
      </c>
      <c r="C8729" t="str">
        <f>CHOOSE(MATCH(B8729, {20,25,30,35,40,45,50,55,60,65,70,75,80,85}, 1), "20-24", "25-29", "30-34", "35-39", "40-44", "45-49", "50-54", "55-59", "60-64", "65-69", "70-74", "75-79", "80-84", "85+")</f>
        <v>35-39</v>
      </c>
      <c r="D8729" t="s">
        <v>8</v>
      </c>
    </row>
    <row r="8730" spans="1:4">
      <c r="A8730" t="s">
        <v>6</v>
      </c>
      <c r="B8730">
        <v>41</v>
      </c>
      <c r="C8730" t="str">
        <f>CHOOSE(MATCH(B8730, {20,25,30,35,40,45,50,55,60,65,70,75,80,85}, 1), "20-24", "25-29", "30-34", "35-39", "40-44", "45-49", "50-54", "55-59", "60-64", "65-69", "70-74", "75-79", "80-84", "85+")</f>
        <v>40-44</v>
      </c>
      <c r="D8730" t="s">
        <v>7</v>
      </c>
    </row>
    <row r="8731" spans="1:4">
      <c r="A8731" t="s">
        <v>6</v>
      </c>
      <c r="B8731">
        <v>33</v>
      </c>
      <c r="C8731" t="str">
        <f>CHOOSE(MATCH(B8731, {20,25,30,35,40,45,50,55,60,65,70,75,80,85}, 1), "20-24", "25-29", "30-34", "35-39", "40-44", "45-49", "50-54", "55-59", "60-64", "65-69", "70-74", "75-79", "80-84", "85+")</f>
        <v>30-34</v>
      </c>
      <c r="D8731" t="s">
        <v>8</v>
      </c>
    </row>
    <row r="8732" spans="1:4">
      <c r="A8732" t="s">
        <v>6</v>
      </c>
      <c r="B8732">
        <v>36</v>
      </c>
      <c r="C8732" t="str">
        <f>CHOOSE(MATCH(B8732, {20,25,30,35,40,45,50,55,60,65,70,75,80,85}, 1), "20-24", "25-29", "30-34", "35-39", "40-44", "45-49", "50-54", "55-59", "60-64", "65-69", "70-74", "75-79", "80-84", "85+")</f>
        <v>35-39</v>
      </c>
      <c r="D8732" t="s">
        <v>7</v>
      </c>
    </row>
    <row r="8733" spans="1:4">
      <c r="A8733" t="s">
        <v>6</v>
      </c>
      <c r="B8733">
        <v>28</v>
      </c>
      <c r="C8733" t="str">
        <f>CHOOSE(MATCH(B8733, {20,25,30,35,40,45,50,55,60,65,70,75,80,85}, 1), "20-24", "25-29", "30-34", "35-39", "40-44", "45-49", "50-54", "55-59", "60-64", "65-69", "70-74", "75-79", "80-84", "85+")</f>
        <v>25-29</v>
      </c>
      <c r="D8733" t="s">
        <v>7</v>
      </c>
    </row>
    <row r="8734" spans="1:4">
      <c r="A8734" t="s">
        <v>6</v>
      </c>
      <c r="B8734">
        <v>42</v>
      </c>
      <c r="C8734" t="str">
        <f>CHOOSE(MATCH(B8734, {20,25,30,35,40,45,50,55,60,65,70,75,80,85}, 1), "20-24", "25-29", "30-34", "35-39", "40-44", "45-49", "50-54", "55-59", "60-64", "65-69", "70-74", "75-79", "80-84", "85+")</f>
        <v>40-44</v>
      </c>
      <c r="D8734" t="s">
        <v>8</v>
      </c>
    </row>
    <row r="8735" spans="1:4">
      <c r="A8735" t="s">
        <v>6</v>
      </c>
      <c r="B8735">
        <v>33</v>
      </c>
      <c r="C8735" t="str">
        <f>CHOOSE(MATCH(B8735, {20,25,30,35,40,45,50,55,60,65,70,75,80,85}, 1), "20-24", "25-29", "30-34", "35-39", "40-44", "45-49", "50-54", "55-59", "60-64", "65-69", "70-74", "75-79", "80-84", "85+")</f>
        <v>30-34</v>
      </c>
      <c r="D8735" t="s">
        <v>7</v>
      </c>
    </row>
    <row r="8736" spans="1:4">
      <c r="A8736" t="s">
        <v>6</v>
      </c>
      <c r="B8736">
        <v>60</v>
      </c>
      <c r="C8736" t="str">
        <f>CHOOSE(MATCH(B8736, {20,25,30,35,40,45,50,55,60,65,70,75,80,85}, 1), "20-24", "25-29", "30-34", "35-39", "40-44", "45-49", "50-54", "55-59", "60-64", "65-69", "70-74", "75-79", "80-84", "85+")</f>
        <v>60-64</v>
      </c>
      <c r="D8736" t="s">
        <v>8</v>
      </c>
    </row>
    <row r="8737" spans="1:4">
      <c r="A8737" t="s">
        <v>6</v>
      </c>
      <c r="B8737">
        <v>39</v>
      </c>
      <c r="C8737" t="str">
        <f>CHOOSE(MATCH(B8737, {20,25,30,35,40,45,50,55,60,65,70,75,80,85}, 1), "20-24", "25-29", "30-34", "35-39", "40-44", "45-49", "50-54", "55-59", "60-64", "65-69", "70-74", "75-79", "80-84", "85+")</f>
        <v>35-39</v>
      </c>
      <c r="D8737" t="s">
        <v>7</v>
      </c>
    </row>
    <row r="8738" spans="1:4">
      <c r="A8738" t="s">
        <v>6</v>
      </c>
      <c r="B8738">
        <v>23</v>
      </c>
      <c r="C8738" t="str">
        <f>CHOOSE(MATCH(B8738, {20,25,30,35,40,45,50,55,60,65,70,75,80,85}, 1), "20-24", "25-29", "30-34", "35-39", "40-44", "45-49", "50-54", "55-59", "60-64", "65-69", "70-74", "75-79", "80-84", "85+")</f>
        <v>20-24</v>
      </c>
      <c r="D8738" t="s">
        <v>7</v>
      </c>
    </row>
    <row r="8739" spans="1:4">
      <c r="A8739" t="s">
        <v>6</v>
      </c>
      <c r="B8739">
        <v>34</v>
      </c>
      <c r="C8739" t="str">
        <f>CHOOSE(MATCH(B8739, {20,25,30,35,40,45,50,55,60,65,70,75,80,85}, 1), "20-24", "25-29", "30-34", "35-39", "40-44", "45-49", "50-54", "55-59", "60-64", "65-69", "70-74", "75-79", "80-84", "85+")</f>
        <v>30-34</v>
      </c>
      <c r="D8739" t="s">
        <v>8</v>
      </c>
    </row>
    <row r="8740" spans="1:4">
      <c r="A8740" t="s">
        <v>6</v>
      </c>
      <c r="B8740">
        <v>40</v>
      </c>
      <c r="C8740" t="str">
        <f>CHOOSE(MATCH(B8740, {20,25,30,35,40,45,50,55,60,65,70,75,80,85}, 1), "20-24", "25-29", "30-34", "35-39", "40-44", "45-49", "50-54", "55-59", "60-64", "65-69", "70-74", "75-79", "80-84", "85+")</f>
        <v>40-44</v>
      </c>
      <c r="D8740" t="s">
        <v>7</v>
      </c>
    </row>
    <row r="8741" spans="1:4">
      <c r="A8741" t="s">
        <v>6</v>
      </c>
      <c r="B8741">
        <v>30</v>
      </c>
      <c r="C8741" t="str">
        <f>CHOOSE(MATCH(B8741, {20,25,30,35,40,45,50,55,60,65,70,75,80,85}, 1), "20-24", "25-29", "30-34", "35-39", "40-44", "45-49", "50-54", "55-59", "60-64", "65-69", "70-74", "75-79", "80-84", "85+")</f>
        <v>30-34</v>
      </c>
      <c r="D8741" t="s">
        <v>7</v>
      </c>
    </row>
    <row r="8742" spans="1:4">
      <c r="A8742" t="s">
        <v>6</v>
      </c>
      <c r="B8742">
        <v>35</v>
      </c>
      <c r="C8742" t="str">
        <f>CHOOSE(MATCH(B8742, {20,25,30,35,40,45,50,55,60,65,70,75,80,85}, 1), "20-24", "25-29", "30-34", "35-39", "40-44", "45-49", "50-54", "55-59", "60-64", "65-69", "70-74", "75-79", "80-84", "85+")</f>
        <v>35-39</v>
      </c>
      <c r="D8742" t="s">
        <v>7</v>
      </c>
    </row>
    <row r="8743" spans="1:4">
      <c r="A8743" t="s">
        <v>6</v>
      </c>
      <c r="B8743">
        <v>27</v>
      </c>
      <c r="C8743" t="str">
        <f>CHOOSE(MATCH(B8743, {20,25,30,35,40,45,50,55,60,65,70,75,80,85}, 1), "20-24", "25-29", "30-34", "35-39", "40-44", "45-49", "50-54", "55-59", "60-64", "65-69", "70-74", "75-79", "80-84", "85+")</f>
        <v>25-29</v>
      </c>
      <c r="D8743" t="s">
        <v>7</v>
      </c>
    </row>
    <row r="8744" spans="1:4">
      <c r="A8744" t="s">
        <v>6</v>
      </c>
      <c r="B8744">
        <v>35</v>
      </c>
      <c r="C8744" t="str">
        <f>CHOOSE(MATCH(B8744, {20,25,30,35,40,45,50,55,60,65,70,75,80,85}, 1), "20-24", "25-29", "30-34", "35-39", "40-44", "45-49", "50-54", "55-59", "60-64", "65-69", "70-74", "75-79", "80-84", "85+")</f>
        <v>35-39</v>
      </c>
      <c r="D8744" t="s">
        <v>8</v>
      </c>
    </row>
    <row r="8745" spans="1:4">
      <c r="A8745" t="s">
        <v>6</v>
      </c>
      <c r="B8745">
        <v>24</v>
      </c>
      <c r="C8745" t="str">
        <f>CHOOSE(MATCH(B8745, {20,25,30,35,40,45,50,55,60,65,70,75,80,85}, 1), "20-24", "25-29", "30-34", "35-39", "40-44", "45-49", "50-54", "55-59", "60-64", "65-69", "70-74", "75-79", "80-84", "85+")</f>
        <v>20-24</v>
      </c>
      <c r="D8745" t="s">
        <v>7</v>
      </c>
    </row>
    <row r="8746" spans="1:4">
      <c r="A8746" t="s">
        <v>6</v>
      </c>
      <c r="B8746">
        <v>49</v>
      </c>
      <c r="C8746" t="str">
        <f>CHOOSE(MATCH(B8746, {20,25,30,35,40,45,50,55,60,65,70,75,80,85}, 1), "20-24", "25-29", "30-34", "35-39", "40-44", "45-49", "50-54", "55-59", "60-64", "65-69", "70-74", "75-79", "80-84", "85+")</f>
        <v>45-49</v>
      </c>
      <c r="D8746" t="s">
        <v>7</v>
      </c>
    </row>
    <row r="8747" spans="1:4">
      <c r="A8747" t="s">
        <v>6</v>
      </c>
      <c r="B8747">
        <v>31</v>
      </c>
      <c r="C8747" t="str">
        <f>CHOOSE(MATCH(B8747, {20,25,30,35,40,45,50,55,60,65,70,75,80,85}, 1), "20-24", "25-29", "30-34", "35-39", "40-44", "45-49", "50-54", "55-59", "60-64", "65-69", "70-74", "75-79", "80-84", "85+")</f>
        <v>30-34</v>
      </c>
      <c r="D8747" t="s">
        <v>7</v>
      </c>
    </row>
    <row r="8748" spans="1:4">
      <c r="A8748" t="s">
        <v>6</v>
      </c>
      <c r="B8748">
        <v>48</v>
      </c>
      <c r="C8748" t="str">
        <f>CHOOSE(MATCH(B8748, {20,25,30,35,40,45,50,55,60,65,70,75,80,85}, 1), "20-24", "25-29", "30-34", "35-39", "40-44", "45-49", "50-54", "55-59", "60-64", "65-69", "70-74", "75-79", "80-84", "85+")</f>
        <v>45-49</v>
      </c>
      <c r="D8748" t="s">
        <v>7</v>
      </c>
    </row>
    <row r="8749" spans="1:4">
      <c r="A8749" t="s">
        <v>6</v>
      </c>
      <c r="B8749">
        <v>28</v>
      </c>
      <c r="C8749" t="str">
        <f>CHOOSE(MATCH(B8749, {20,25,30,35,40,45,50,55,60,65,70,75,80,85}, 1), "20-24", "25-29", "30-34", "35-39", "40-44", "45-49", "50-54", "55-59", "60-64", "65-69", "70-74", "75-79", "80-84", "85+")</f>
        <v>25-29</v>
      </c>
      <c r="D8749" t="s">
        <v>7</v>
      </c>
    </row>
    <row r="8750" spans="1:4">
      <c r="A8750" t="s">
        <v>6</v>
      </c>
      <c r="B8750">
        <v>31</v>
      </c>
      <c r="C8750" t="str">
        <f>CHOOSE(MATCH(B8750, {20,25,30,35,40,45,50,55,60,65,70,75,80,85}, 1), "20-24", "25-29", "30-34", "35-39", "40-44", "45-49", "50-54", "55-59", "60-64", "65-69", "70-74", "75-79", "80-84", "85+")</f>
        <v>30-34</v>
      </c>
      <c r="D8750" t="s">
        <v>7</v>
      </c>
    </row>
    <row r="8751" spans="1:4">
      <c r="A8751" t="s">
        <v>6</v>
      </c>
      <c r="B8751">
        <v>34</v>
      </c>
      <c r="C8751" t="str">
        <f>CHOOSE(MATCH(B8751, {20,25,30,35,40,45,50,55,60,65,70,75,80,85}, 1), "20-24", "25-29", "30-34", "35-39", "40-44", "45-49", "50-54", "55-59", "60-64", "65-69", "70-74", "75-79", "80-84", "85+")</f>
        <v>30-34</v>
      </c>
      <c r="D8751" t="s">
        <v>8</v>
      </c>
    </row>
    <row r="8752" spans="1:4">
      <c r="A8752" t="s">
        <v>6</v>
      </c>
      <c r="B8752">
        <v>40</v>
      </c>
      <c r="C8752" t="str">
        <f>CHOOSE(MATCH(B8752, {20,25,30,35,40,45,50,55,60,65,70,75,80,85}, 1), "20-24", "25-29", "30-34", "35-39", "40-44", "45-49", "50-54", "55-59", "60-64", "65-69", "70-74", "75-79", "80-84", "85+")</f>
        <v>40-44</v>
      </c>
      <c r="D8752" t="s">
        <v>7</v>
      </c>
    </row>
    <row r="8753" spans="1:4">
      <c r="A8753" t="s">
        <v>6</v>
      </c>
      <c r="B8753">
        <v>43</v>
      </c>
      <c r="C8753" t="str">
        <f>CHOOSE(MATCH(B8753, {20,25,30,35,40,45,50,55,60,65,70,75,80,85}, 1), "20-24", "25-29", "30-34", "35-39", "40-44", "45-49", "50-54", "55-59", "60-64", "65-69", "70-74", "75-79", "80-84", "85+")</f>
        <v>40-44</v>
      </c>
      <c r="D8753" t="s">
        <v>8</v>
      </c>
    </row>
    <row r="8754" spans="1:4">
      <c r="A8754" t="s">
        <v>6</v>
      </c>
      <c r="B8754">
        <v>33</v>
      </c>
      <c r="C8754" t="str">
        <f>CHOOSE(MATCH(B8754, {20,25,30,35,40,45,50,55,60,65,70,75,80,85}, 1), "20-24", "25-29", "30-34", "35-39", "40-44", "45-49", "50-54", "55-59", "60-64", "65-69", "70-74", "75-79", "80-84", "85+")</f>
        <v>30-34</v>
      </c>
      <c r="D8754" t="s">
        <v>7</v>
      </c>
    </row>
    <row r="8755" spans="1:4">
      <c r="A8755" t="s">
        <v>6</v>
      </c>
      <c r="B8755">
        <v>28</v>
      </c>
      <c r="C8755" t="str">
        <f>CHOOSE(MATCH(B8755, {20,25,30,35,40,45,50,55,60,65,70,75,80,85}, 1), "20-24", "25-29", "30-34", "35-39", "40-44", "45-49", "50-54", "55-59", "60-64", "65-69", "70-74", "75-79", "80-84", "85+")</f>
        <v>25-29</v>
      </c>
      <c r="D8755" t="s">
        <v>8</v>
      </c>
    </row>
    <row r="8756" spans="1:4">
      <c r="A8756" t="s">
        <v>6</v>
      </c>
      <c r="B8756">
        <v>25</v>
      </c>
      <c r="C8756" t="str">
        <f>CHOOSE(MATCH(B8756, {20,25,30,35,40,45,50,55,60,65,70,75,80,85}, 1), "20-24", "25-29", "30-34", "35-39", "40-44", "45-49", "50-54", "55-59", "60-64", "65-69", "70-74", "75-79", "80-84", "85+")</f>
        <v>25-29</v>
      </c>
      <c r="D8756" t="s">
        <v>8</v>
      </c>
    </row>
    <row r="8757" spans="1:4">
      <c r="A8757" t="s">
        <v>6</v>
      </c>
      <c r="B8757">
        <v>26</v>
      </c>
      <c r="C8757" t="str">
        <f>CHOOSE(MATCH(B8757, {20,25,30,35,40,45,50,55,60,65,70,75,80,85}, 1), "20-24", "25-29", "30-34", "35-39", "40-44", "45-49", "50-54", "55-59", "60-64", "65-69", "70-74", "75-79", "80-84", "85+")</f>
        <v>25-29</v>
      </c>
      <c r="D8757" t="s">
        <v>8</v>
      </c>
    </row>
    <row r="8758" spans="1:4">
      <c r="A8758" t="s">
        <v>6</v>
      </c>
      <c r="B8758">
        <v>65</v>
      </c>
      <c r="C8758" t="str">
        <f>CHOOSE(MATCH(B8758, {20,25,30,35,40,45,50,55,60,65,70,75,80,85}, 1), "20-24", "25-29", "30-34", "35-39", "40-44", "45-49", "50-54", "55-59", "60-64", "65-69", "70-74", "75-79", "80-84", "85+")</f>
        <v>65-69</v>
      </c>
      <c r="D8758" t="s">
        <v>8</v>
      </c>
    </row>
    <row r="8759" spans="1:4">
      <c r="A8759" t="s">
        <v>6</v>
      </c>
      <c r="B8759">
        <v>34</v>
      </c>
      <c r="C8759" t="str">
        <f>CHOOSE(MATCH(B8759, {20,25,30,35,40,45,50,55,60,65,70,75,80,85}, 1), "20-24", "25-29", "30-34", "35-39", "40-44", "45-49", "50-54", "55-59", "60-64", "65-69", "70-74", "75-79", "80-84", "85+")</f>
        <v>30-34</v>
      </c>
      <c r="D8759" t="s">
        <v>7</v>
      </c>
    </row>
    <row r="8760" spans="1:4">
      <c r="A8760" t="s">
        <v>6</v>
      </c>
      <c r="B8760">
        <v>42</v>
      </c>
      <c r="C8760" t="str">
        <f>CHOOSE(MATCH(B8760, {20,25,30,35,40,45,50,55,60,65,70,75,80,85}, 1), "20-24", "25-29", "30-34", "35-39", "40-44", "45-49", "50-54", "55-59", "60-64", "65-69", "70-74", "75-79", "80-84", "85+")</f>
        <v>40-44</v>
      </c>
      <c r="D8760" t="s">
        <v>7</v>
      </c>
    </row>
    <row r="8761" spans="1:4">
      <c r="A8761" t="s">
        <v>6</v>
      </c>
      <c r="B8761">
        <v>47</v>
      </c>
      <c r="C8761" t="str">
        <f>CHOOSE(MATCH(B8761, {20,25,30,35,40,45,50,55,60,65,70,75,80,85}, 1), "20-24", "25-29", "30-34", "35-39", "40-44", "45-49", "50-54", "55-59", "60-64", "65-69", "70-74", "75-79", "80-84", "85+")</f>
        <v>45-49</v>
      </c>
      <c r="D8761" t="s">
        <v>8</v>
      </c>
    </row>
    <row r="8762" spans="1:4">
      <c r="A8762" t="s">
        <v>6</v>
      </c>
      <c r="B8762">
        <v>89</v>
      </c>
      <c r="C8762" t="str">
        <f>CHOOSE(MATCH(B8762, {20,25,30,35,40,45,50,55,60,65,70,75,80,85}, 1), "20-24", "25-29", "30-34", "35-39", "40-44", "45-49", "50-54", "55-59", "60-64", "65-69", "70-74", "75-79", "80-84", "85+")</f>
        <v>85+</v>
      </c>
      <c r="D8762" t="s">
        <v>7</v>
      </c>
    </row>
    <row r="8763" spans="1:4">
      <c r="A8763" t="s">
        <v>6</v>
      </c>
      <c r="B8763">
        <v>52</v>
      </c>
      <c r="C8763" t="str">
        <f>CHOOSE(MATCH(B8763, {20,25,30,35,40,45,50,55,60,65,70,75,80,85}, 1), "20-24", "25-29", "30-34", "35-39", "40-44", "45-49", "50-54", "55-59", "60-64", "65-69", "70-74", "75-79", "80-84", "85+")</f>
        <v>50-54</v>
      </c>
      <c r="D8763" t="s">
        <v>8</v>
      </c>
    </row>
    <row r="8764" spans="1:4">
      <c r="A8764" t="s">
        <v>6</v>
      </c>
      <c r="B8764">
        <v>24</v>
      </c>
      <c r="C8764" t="str">
        <f>CHOOSE(MATCH(B8764, {20,25,30,35,40,45,50,55,60,65,70,75,80,85}, 1), "20-24", "25-29", "30-34", "35-39", "40-44", "45-49", "50-54", "55-59", "60-64", "65-69", "70-74", "75-79", "80-84", "85+")</f>
        <v>20-24</v>
      </c>
      <c r="D8764" t="s">
        <v>7</v>
      </c>
    </row>
    <row r="8765" spans="1:4">
      <c r="A8765" t="s">
        <v>6</v>
      </c>
      <c r="B8765">
        <v>75</v>
      </c>
      <c r="C8765" t="str">
        <f>CHOOSE(MATCH(B8765, {20,25,30,35,40,45,50,55,60,65,70,75,80,85}, 1), "20-24", "25-29", "30-34", "35-39", "40-44", "45-49", "50-54", "55-59", "60-64", "65-69", "70-74", "75-79", "80-84", "85+")</f>
        <v>75-79</v>
      </c>
      <c r="D8765" t="s">
        <v>8</v>
      </c>
    </row>
    <row r="8766" spans="1:4">
      <c r="A8766" t="s">
        <v>6</v>
      </c>
      <c r="B8766">
        <v>30</v>
      </c>
      <c r="C8766" t="str">
        <f>CHOOSE(MATCH(B8766, {20,25,30,35,40,45,50,55,60,65,70,75,80,85}, 1), "20-24", "25-29", "30-34", "35-39", "40-44", "45-49", "50-54", "55-59", "60-64", "65-69", "70-74", "75-79", "80-84", "85+")</f>
        <v>30-34</v>
      </c>
      <c r="D8766" t="s">
        <v>7</v>
      </c>
    </row>
    <row r="8767" spans="1:4">
      <c r="A8767" t="s">
        <v>6</v>
      </c>
      <c r="B8767">
        <v>37</v>
      </c>
      <c r="C8767" t="str">
        <f>CHOOSE(MATCH(B8767, {20,25,30,35,40,45,50,55,60,65,70,75,80,85}, 1), "20-24", "25-29", "30-34", "35-39", "40-44", "45-49", "50-54", "55-59", "60-64", "65-69", "70-74", "75-79", "80-84", "85+")</f>
        <v>35-39</v>
      </c>
      <c r="D8767" t="s">
        <v>8</v>
      </c>
    </row>
    <row r="8768" spans="1:4">
      <c r="A8768" t="s">
        <v>6</v>
      </c>
      <c r="B8768">
        <v>36</v>
      </c>
      <c r="C8768" t="str">
        <f>CHOOSE(MATCH(B8768, {20,25,30,35,40,45,50,55,60,65,70,75,80,85}, 1), "20-24", "25-29", "30-34", "35-39", "40-44", "45-49", "50-54", "55-59", "60-64", "65-69", "70-74", "75-79", "80-84", "85+")</f>
        <v>35-39</v>
      </c>
      <c r="D8768" t="s">
        <v>7</v>
      </c>
    </row>
    <row r="8769" spans="1:4">
      <c r="A8769" t="s">
        <v>6</v>
      </c>
      <c r="B8769">
        <v>39</v>
      </c>
      <c r="C8769" t="str">
        <f>CHOOSE(MATCH(B8769, {20,25,30,35,40,45,50,55,60,65,70,75,80,85}, 1), "20-24", "25-29", "30-34", "35-39", "40-44", "45-49", "50-54", "55-59", "60-64", "65-69", "70-74", "75-79", "80-84", "85+")</f>
        <v>35-39</v>
      </c>
      <c r="D8769" t="s">
        <v>8</v>
      </c>
    </row>
    <row r="8770" spans="1:4">
      <c r="A8770" t="s">
        <v>6</v>
      </c>
      <c r="B8770">
        <v>36</v>
      </c>
      <c r="C8770" t="str">
        <f>CHOOSE(MATCH(B8770, {20,25,30,35,40,45,50,55,60,65,70,75,80,85}, 1), "20-24", "25-29", "30-34", "35-39", "40-44", "45-49", "50-54", "55-59", "60-64", "65-69", "70-74", "75-79", "80-84", "85+")</f>
        <v>35-39</v>
      </c>
      <c r="D8770" t="s">
        <v>7</v>
      </c>
    </row>
    <row r="8771" spans="1:4">
      <c r="A8771" t="s">
        <v>6</v>
      </c>
      <c r="B8771">
        <v>29</v>
      </c>
      <c r="C8771" t="str">
        <f>CHOOSE(MATCH(B8771, {20,25,30,35,40,45,50,55,60,65,70,75,80,85}, 1), "20-24", "25-29", "30-34", "35-39", "40-44", "45-49", "50-54", "55-59", "60-64", "65-69", "70-74", "75-79", "80-84", "85+")</f>
        <v>25-29</v>
      </c>
      <c r="D8771" t="s">
        <v>7</v>
      </c>
    </row>
    <row r="8772" spans="1:4">
      <c r="A8772" t="s">
        <v>6</v>
      </c>
      <c r="B8772">
        <v>40</v>
      </c>
      <c r="C8772" t="str">
        <f>CHOOSE(MATCH(B8772, {20,25,30,35,40,45,50,55,60,65,70,75,80,85}, 1), "20-24", "25-29", "30-34", "35-39", "40-44", "45-49", "50-54", "55-59", "60-64", "65-69", "70-74", "75-79", "80-84", "85+")</f>
        <v>40-44</v>
      </c>
      <c r="D8772" t="s">
        <v>8</v>
      </c>
    </row>
    <row r="8773" spans="1:4">
      <c r="A8773" t="s">
        <v>6</v>
      </c>
      <c r="B8773">
        <v>75</v>
      </c>
      <c r="C8773" t="str">
        <f>CHOOSE(MATCH(B8773, {20,25,30,35,40,45,50,55,60,65,70,75,80,85}, 1), "20-24", "25-29", "30-34", "35-39", "40-44", "45-49", "50-54", "55-59", "60-64", "65-69", "70-74", "75-79", "80-84", "85+")</f>
        <v>75-79</v>
      </c>
      <c r="D8773" t="s">
        <v>7</v>
      </c>
    </row>
    <row r="8774" spans="1:4">
      <c r="A8774" t="s">
        <v>6</v>
      </c>
      <c r="B8774">
        <v>43</v>
      </c>
      <c r="C8774" t="str">
        <f>CHOOSE(MATCH(B8774, {20,25,30,35,40,45,50,55,60,65,70,75,80,85}, 1), "20-24", "25-29", "30-34", "35-39", "40-44", "45-49", "50-54", "55-59", "60-64", "65-69", "70-74", "75-79", "80-84", "85+")</f>
        <v>40-44</v>
      </c>
      <c r="D8774" t="s">
        <v>8</v>
      </c>
    </row>
    <row r="8775" spans="1:4">
      <c r="A8775" t="s">
        <v>6</v>
      </c>
      <c r="B8775">
        <v>45</v>
      </c>
      <c r="C8775" t="str">
        <f>CHOOSE(MATCH(B8775, {20,25,30,35,40,45,50,55,60,65,70,75,80,85}, 1), "20-24", "25-29", "30-34", "35-39", "40-44", "45-49", "50-54", "55-59", "60-64", "65-69", "70-74", "75-79", "80-84", "85+")</f>
        <v>45-49</v>
      </c>
      <c r="D8775" t="s">
        <v>8</v>
      </c>
    </row>
    <row r="8776" spans="1:4">
      <c r="A8776" t="s">
        <v>6</v>
      </c>
      <c r="B8776">
        <v>43</v>
      </c>
      <c r="C8776" t="str">
        <f>CHOOSE(MATCH(B8776, {20,25,30,35,40,45,50,55,60,65,70,75,80,85}, 1), "20-24", "25-29", "30-34", "35-39", "40-44", "45-49", "50-54", "55-59", "60-64", "65-69", "70-74", "75-79", "80-84", "85+")</f>
        <v>40-44</v>
      </c>
      <c r="D8776" t="s">
        <v>7</v>
      </c>
    </row>
    <row r="8777" spans="1:4">
      <c r="A8777" t="s">
        <v>6</v>
      </c>
      <c r="B8777">
        <v>73</v>
      </c>
      <c r="C8777" t="str">
        <f>CHOOSE(MATCH(B8777, {20,25,30,35,40,45,50,55,60,65,70,75,80,85}, 1), "20-24", "25-29", "30-34", "35-39", "40-44", "45-49", "50-54", "55-59", "60-64", "65-69", "70-74", "75-79", "80-84", "85+")</f>
        <v>70-74</v>
      </c>
      <c r="D8777" t="s">
        <v>7</v>
      </c>
    </row>
    <row r="8778" spans="1:4">
      <c r="A8778" t="s">
        <v>6</v>
      </c>
      <c r="B8778">
        <v>60</v>
      </c>
      <c r="C8778" t="str">
        <f>CHOOSE(MATCH(B8778, {20,25,30,35,40,45,50,55,60,65,70,75,80,85}, 1), "20-24", "25-29", "30-34", "35-39", "40-44", "45-49", "50-54", "55-59", "60-64", "65-69", "70-74", "75-79", "80-84", "85+")</f>
        <v>60-64</v>
      </c>
      <c r="D8778" t="s">
        <v>8</v>
      </c>
    </row>
    <row r="8779" spans="1:4">
      <c r="A8779" t="s">
        <v>6</v>
      </c>
      <c r="B8779">
        <v>41</v>
      </c>
      <c r="C8779" t="str">
        <f>CHOOSE(MATCH(B8779, {20,25,30,35,40,45,50,55,60,65,70,75,80,85}, 1), "20-24", "25-29", "30-34", "35-39", "40-44", "45-49", "50-54", "55-59", "60-64", "65-69", "70-74", "75-79", "80-84", "85+")</f>
        <v>40-44</v>
      </c>
      <c r="D8779" t="s">
        <v>7</v>
      </c>
    </row>
    <row r="8780" spans="1:4">
      <c r="A8780" t="s">
        <v>6</v>
      </c>
      <c r="B8780">
        <v>70</v>
      </c>
      <c r="C8780" t="str">
        <f>CHOOSE(MATCH(B8780, {20,25,30,35,40,45,50,55,60,65,70,75,80,85}, 1), "20-24", "25-29", "30-34", "35-39", "40-44", "45-49", "50-54", "55-59", "60-64", "65-69", "70-74", "75-79", "80-84", "85+")</f>
        <v>70-74</v>
      </c>
      <c r="D8780" t="s">
        <v>8</v>
      </c>
    </row>
    <row r="8781" spans="1:4">
      <c r="A8781" t="s">
        <v>6</v>
      </c>
      <c r="B8781">
        <v>27</v>
      </c>
      <c r="C8781" t="str">
        <f>CHOOSE(MATCH(B8781, {20,25,30,35,40,45,50,55,60,65,70,75,80,85}, 1), "20-24", "25-29", "30-34", "35-39", "40-44", "45-49", "50-54", "55-59", "60-64", "65-69", "70-74", "75-79", "80-84", "85+")</f>
        <v>25-29</v>
      </c>
      <c r="D8781" t="s">
        <v>7</v>
      </c>
    </row>
    <row r="8782" spans="1:4">
      <c r="A8782" t="s">
        <v>6</v>
      </c>
      <c r="B8782">
        <v>67</v>
      </c>
      <c r="C8782" t="str">
        <f>CHOOSE(MATCH(B8782, {20,25,30,35,40,45,50,55,60,65,70,75,80,85}, 1), "20-24", "25-29", "30-34", "35-39", "40-44", "45-49", "50-54", "55-59", "60-64", "65-69", "70-74", "75-79", "80-84", "85+")</f>
        <v>65-69</v>
      </c>
      <c r="D8782" t="s">
        <v>7</v>
      </c>
    </row>
    <row r="8783" spans="1:4">
      <c r="A8783" t="s">
        <v>6</v>
      </c>
      <c r="B8783">
        <v>34</v>
      </c>
      <c r="C8783" t="str">
        <f>CHOOSE(MATCH(B8783, {20,25,30,35,40,45,50,55,60,65,70,75,80,85}, 1), "20-24", "25-29", "30-34", "35-39", "40-44", "45-49", "50-54", "55-59", "60-64", "65-69", "70-74", "75-79", "80-84", "85+")</f>
        <v>30-34</v>
      </c>
      <c r="D8783" t="s">
        <v>8</v>
      </c>
    </row>
    <row r="8784" spans="1:4">
      <c r="A8784" t="s">
        <v>6</v>
      </c>
      <c r="B8784">
        <v>58</v>
      </c>
      <c r="C8784" t="str">
        <f>CHOOSE(MATCH(B8784, {20,25,30,35,40,45,50,55,60,65,70,75,80,85}, 1), "20-24", "25-29", "30-34", "35-39", "40-44", "45-49", "50-54", "55-59", "60-64", "65-69", "70-74", "75-79", "80-84", "85+")</f>
        <v>55-59</v>
      </c>
      <c r="D8784" t="s">
        <v>8</v>
      </c>
    </row>
    <row r="8785" spans="1:4">
      <c r="A8785" t="s">
        <v>6</v>
      </c>
      <c r="B8785">
        <v>35</v>
      </c>
      <c r="C8785" t="str">
        <f>CHOOSE(MATCH(B8785, {20,25,30,35,40,45,50,55,60,65,70,75,80,85}, 1), "20-24", "25-29", "30-34", "35-39", "40-44", "45-49", "50-54", "55-59", "60-64", "65-69", "70-74", "75-79", "80-84", "85+")</f>
        <v>35-39</v>
      </c>
      <c r="D8785" t="s">
        <v>8</v>
      </c>
    </row>
    <row r="8786" spans="1:4">
      <c r="A8786" t="s">
        <v>6</v>
      </c>
      <c r="B8786">
        <v>32</v>
      </c>
      <c r="C8786" t="str">
        <f>CHOOSE(MATCH(B8786, {20,25,30,35,40,45,50,55,60,65,70,75,80,85}, 1), "20-24", "25-29", "30-34", "35-39", "40-44", "45-49", "50-54", "55-59", "60-64", "65-69", "70-74", "75-79", "80-84", "85+")</f>
        <v>30-34</v>
      </c>
      <c r="D8786" t="s">
        <v>7</v>
      </c>
    </row>
    <row r="8787" spans="1:4">
      <c r="A8787" t="s">
        <v>6</v>
      </c>
      <c r="B8787">
        <v>31</v>
      </c>
      <c r="C8787" t="str">
        <f>CHOOSE(MATCH(B8787, {20,25,30,35,40,45,50,55,60,65,70,75,80,85}, 1), "20-24", "25-29", "30-34", "35-39", "40-44", "45-49", "50-54", "55-59", "60-64", "65-69", "70-74", "75-79", "80-84", "85+")</f>
        <v>30-34</v>
      </c>
      <c r="D8787" t="s">
        <v>8</v>
      </c>
    </row>
    <row r="8788" spans="1:4">
      <c r="A8788" t="s">
        <v>6</v>
      </c>
      <c r="B8788">
        <v>22</v>
      </c>
      <c r="C8788" t="str">
        <f>CHOOSE(MATCH(B8788, {20,25,30,35,40,45,50,55,60,65,70,75,80,85}, 1), "20-24", "25-29", "30-34", "35-39", "40-44", "45-49", "50-54", "55-59", "60-64", "65-69", "70-74", "75-79", "80-84", "85+")</f>
        <v>20-24</v>
      </c>
      <c r="D8788" t="s">
        <v>8</v>
      </c>
    </row>
    <row r="8789" spans="1:4">
      <c r="A8789" t="s">
        <v>6</v>
      </c>
      <c r="B8789">
        <v>36</v>
      </c>
      <c r="C8789" t="str">
        <f>CHOOSE(MATCH(B8789, {20,25,30,35,40,45,50,55,60,65,70,75,80,85}, 1), "20-24", "25-29", "30-34", "35-39", "40-44", "45-49", "50-54", "55-59", "60-64", "65-69", "70-74", "75-79", "80-84", "85+")</f>
        <v>35-39</v>
      </c>
      <c r="D8789" t="s">
        <v>8</v>
      </c>
    </row>
    <row r="8790" spans="1:4">
      <c r="A8790" t="s">
        <v>6</v>
      </c>
      <c r="B8790">
        <v>31</v>
      </c>
      <c r="C8790" t="str">
        <f>CHOOSE(MATCH(B8790, {20,25,30,35,40,45,50,55,60,65,70,75,80,85}, 1), "20-24", "25-29", "30-34", "35-39", "40-44", "45-49", "50-54", "55-59", "60-64", "65-69", "70-74", "75-79", "80-84", "85+")</f>
        <v>30-34</v>
      </c>
      <c r="D8790" t="s">
        <v>8</v>
      </c>
    </row>
    <row r="8791" spans="1:4">
      <c r="A8791" t="s">
        <v>6</v>
      </c>
      <c r="B8791">
        <v>32</v>
      </c>
      <c r="C8791" t="str">
        <f>CHOOSE(MATCH(B8791, {20,25,30,35,40,45,50,55,60,65,70,75,80,85}, 1), "20-24", "25-29", "30-34", "35-39", "40-44", "45-49", "50-54", "55-59", "60-64", "65-69", "70-74", "75-79", "80-84", "85+")</f>
        <v>30-34</v>
      </c>
      <c r="D8791" t="s">
        <v>7</v>
      </c>
    </row>
    <row r="8792" spans="1:4">
      <c r="A8792" t="s">
        <v>6</v>
      </c>
      <c r="B8792">
        <v>29</v>
      </c>
      <c r="C8792" t="str">
        <f>CHOOSE(MATCH(B8792, {20,25,30,35,40,45,50,55,60,65,70,75,80,85}, 1), "20-24", "25-29", "30-34", "35-39", "40-44", "45-49", "50-54", "55-59", "60-64", "65-69", "70-74", "75-79", "80-84", "85+")</f>
        <v>25-29</v>
      </c>
      <c r="D8792" t="s">
        <v>8</v>
      </c>
    </row>
    <row r="8793" spans="1:4">
      <c r="A8793" t="s">
        <v>6</v>
      </c>
      <c r="B8793">
        <v>32</v>
      </c>
      <c r="C8793" t="str">
        <f>CHOOSE(MATCH(B8793, {20,25,30,35,40,45,50,55,60,65,70,75,80,85}, 1), "20-24", "25-29", "30-34", "35-39", "40-44", "45-49", "50-54", "55-59", "60-64", "65-69", "70-74", "75-79", "80-84", "85+")</f>
        <v>30-34</v>
      </c>
      <c r="D8793" t="s">
        <v>7</v>
      </c>
    </row>
    <row r="8794" spans="1:4">
      <c r="A8794" t="s">
        <v>6</v>
      </c>
      <c r="B8794">
        <v>44</v>
      </c>
      <c r="C8794" t="str">
        <f>CHOOSE(MATCH(B8794, {20,25,30,35,40,45,50,55,60,65,70,75,80,85}, 1), "20-24", "25-29", "30-34", "35-39", "40-44", "45-49", "50-54", "55-59", "60-64", "65-69", "70-74", "75-79", "80-84", "85+")</f>
        <v>40-44</v>
      </c>
      <c r="D8794" t="s">
        <v>7</v>
      </c>
    </row>
    <row r="8795" spans="1:4">
      <c r="A8795" t="s">
        <v>6</v>
      </c>
      <c r="B8795">
        <v>57</v>
      </c>
      <c r="C8795" t="str">
        <f>CHOOSE(MATCH(B8795, {20,25,30,35,40,45,50,55,60,65,70,75,80,85}, 1), "20-24", "25-29", "30-34", "35-39", "40-44", "45-49", "50-54", "55-59", "60-64", "65-69", "70-74", "75-79", "80-84", "85+")</f>
        <v>55-59</v>
      </c>
      <c r="D8795" t="s">
        <v>8</v>
      </c>
    </row>
    <row r="8796" spans="1:4">
      <c r="A8796" t="s">
        <v>6</v>
      </c>
      <c r="B8796">
        <v>34</v>
      </c>
      <c r="C8796" t="str">
        <f>CHOOSE(MATCH(B8796, {20,25,30,35,40,45,50,55,60,65,70,75,80,85}, 1), "20-24", "25-29", "30-34", "35-39", "40-44", "45-49", "50-54", "55-59", "60-64", "65-69", "70-74", "75-79", "80-84", "85+")</f>
        <v>30-34</v>
      </c>
      <c r="D8796" t="s">
        <v>7</v>
      </c>
    </row>
    <row r="8797" spans="1:4">
      <c r="A8797" t="s">
        <v>6</v>
      </c>
      <c r="B8797">
        <v>27</v>
      </c>
      <c r="C8797" t="str">
        <f>CHOOSE(MATCH(B8797, {20,25,30,35,40,45,50,55,60,65,70,75,80,85}, 1), "20-24", "25-29", "30-34", "35-39", "40-44", "45-49", "50-54", "55-59", "60-64", "65-69", "70-74", "75-79", "80-84", "85+")</f>
        <v>25-29</v>
      </c>
      <c r="D8797" t="s">
        <v>8</v>
      </c>
    </row>
    <row r="8798" spans="1:4">
      <c r="A8798" t="s">
        <v>6</v>
      </c>
      <c r="B8798">
        <v>34</v>
      </c>
      <c r="C8798" t="str">
        <f>CHOOSE(MATCH(B8798, {20,25,30,35,40,45,50,55,60,65,70,75,80,85}, 1), "20-24", "25-29", "30-34", "35-39", "40-44", "45-49", "50-54", "55-59", "60-64", "65-69", "70-74", "75-79", "80-84", "85+")</f>
        <v>30-34</v>
      </c>
      <c r="D8798" t="s">
        <v>7</v>
      </c>
    </row>
    <row r="8799" spans="1:4">
      <c r="A8799" t="s">
        <v>6</v>
      </c>
      <c r="B8799">
        <v>30</v>
      </c>
      <c r="C8799" t="str">
        <f>CHOOSE(MATCH(B8799, {20,25,30,35,40,45,50,55,60,65,70,75,80,85}, 1), "20-24", "25-29", "30-34", "35-39", "40-44", "45-49", "50-54", "55-59", "60-64", "65-69", "70-74", "75-79", "80-84", "85+")</f>
        <v>30-34</v>
      </c>
      <c r="D8799" t="s">
        <v>8</v>
      </c>
    </row>
    <row r="8800" spans="1:4">
      <c r="A8800" t="s">
        <v>6</v>
      </c>
      <c r="B8800">
        <v>41</v>
      </c>
      <c r="C8800" t="str">
        <f>CHOOSE(MATCH(B8800, {20,25,30,35,40,45,50,55,60,65,70,75,80,85}, 1), "20-24", "25-29", "30-34", "35-39", "40-44", "45-49", "50-54", "55-59", "60-64", "65-69", "70-74", "75-79", "80-84", "85+")</f>
        <v>40-44</v>
      </c>
      <c r="D8800" t="s">
        <v>7</v>
      </c>
    </row>
    <row r="8801" spans="1:4">
      <c r="A8801" t="s">
        <v>6</v>
      </c>
      <c r="B8801">
        <v>37</v>
      </c>
      <c r="C8801" t="str">
        <f>CHOOSE(MATCH(B8801, {20,25,30,35,40,45,50,55,60,65,70,75,80,85}, 1), "20-24", "25-29", "30-34", "35-39", "40-44", "45-49", "50-54", "55-59", "60-64", "65-69", "70-74", "75-79", "80-84", "85+")</f>
        <v>35-39</v>
      </c>
      <c r="D8801" t="s">
        <v>7</v>
      </c>
    </row>
    <row r="8802" spans="1:4">
      <c r="A8802" t="s">
        <v>6</v>
      </c>
      <c r="B8802">
        <v>64</v>
      </c>
      <c r="C8802" t="str">
        <f>CHOOSE(MATCH(B8802, {20,25,30,35,40,45,50,55,60,65,70,75,80,85}, 1), "20-24", "25-29", "30-34", "35-39", "40-44", "45-49", "50-54", "55-59", "60-64", "65-69", "70-74", "75-79", "80-84", "85+")</f>
        <v>60-64</v>
      </c>
      <c r="D8802" t="s">
        <v>8</v>
      </c>
    </row>
    <row r="8803" spans="1:4">
      <c r="A8803" t="s">
        <v>6</v>
      </c>
      <c r="B8803">
        <v>59</v>
      </c>
      <c r="C8803" t="str">
        <f>CHOOSE(MATCH(B8803, {20,25,30,35,40,45,50,55,60,65,70,75,80,85}, 1), "20-24", "25-29", "30-34", "35-39", "40-44", "45-49", "50-54", "55-59", "60-64", "65-69", "70-74", "75-79", "80-84", "85+")</f>
        <v>55-59</v>
      </c>
      <c r="D8803" t="s">
        <v>8</v>
      </c>
    </row>
    <row r="8804" spans="1:4">
      <c r="A8804" t="s">
        <v>6</v>
      </c>
      <c r="B8804">
        <v>32</v>
      </c>
      <c r="C8804" t="str">
        <f>CHOOSE(MATCH(B8804, {20,25,30,35,40,45,50,55,60,65,70,75,80,85}, 1), "20-24", "25-29", "30-34", "35-39", "40-44", "45-49", "50-54", "55-59", "60-64", "65-69", "70-74", "75-79", "80-84", "85+")</f>
        <v>30-34</v>
      </c>
      <c r="D8804" t="s">
        <v>7</v>
      </c>
    </row>
    <row r="8805" spans="1:4">
      <c r="A8805" t="s">
        <v>6</v>
      </c>
      <c r="B8805">
        <v>75</v>
      </c>
      <c r="C8805" t="str">
        <f>CHOOSE(MATCH(B8805, {20,25,30,35,40,45,50,55,60,65,70,75,80,85}, 1), "20-24", "25-29", "30-34", "35-39", "40-44", "45-49", "50-54", "55-59", "60-64", "65-69", "70-74", "75-79", "80-84", "85+")</f>
        <v>75-79</v>
      </c>
      <c r="D8805" t="s">
        <v>7</v>
      </c>
    </row>
    <row r="8806" spans="1:4">
      <c r="A8806" t="s">
        <v>6</v>
      </c>
      <c r="B8806">
        <v>41</v>
      </c>
      <c r="C8806" t="str">
        <f>CHOOSE(MATCH(B8806, {20,25,30,35,40,45,50,55,60,65,70,75,80,85}, 1), "20-24", "25-29", "30-34", "35-39", "40-44", "45-49", "50-54", "55-59", "60-64", "65-69", "70-74", "75-79", "80-84", "85+")</f>
        <v>40-44</v>
      </c>
      <c r="D8806" t="s">
        <v>8</v>
      </c>
    </row>
    <row r="8807" spans="1:4">
      <c r="A8807" t="s">
        <v>6</v>
      </c>
      <c r="B8807">
        <v>31</v>
      </c>
      <c r="C8807" t="str">
        <f>CHOOSE(MATCH(B8807, {20,25,30,35,40,45,50,55,60,65,70,75,80,85}, 1), "20-24", "25-29", "30-34", "35-39", "40-44", "45-49", "50-54", "55-59", "60-64", "65-69", "70-74", "75-79", "80-84", "85+")</f>
        <v>30-34</v>
      </c>
      <c r="D8807" t="s">
        <v>7</v>
      </c>
    </row>
    <row r="8808" spans="1:4">
      <c r="A8808" t="s">
        <v>6</v>
      </c>
      <c r="B8808">
        <v>38</v>
      </c>
      <c r="C8808" t="str">
        <f>CHOOSE(MATCH(B8808, {20,25,30,35,40,45,50,55,60,65,70,75,80,85}, 1), "20-24", "25-29", "30-34", "35-39", "40-44", "45-49", "50-54", "55-59", "60-64", "65-69", "70-74", "75-79", "80-84", "85+")</f>
        <v>35-39</v>
      </c>
      <c r="D8808" t="s">
        <v>7</v>
      </c>
    </row>
    <row r="8809" spans="1:4">
      <c r="A8809" t="s">
        <v>6</v>
      </c>
      <c r="B8809">
        <v>33</v>
      </c>
      <c r="C8809" t="str">
        <f>CHOOSE(MATCH(B8809, {20,25,30,35,40,45,50,55,60,65,70,75,80,85}, 1), "20-24", "25-29", "30-34", "35-39", "40-44", "45-49", "50-54", "55-59", "60-64", "65-69", "70-74", "75-79", "80-84", "85+")</f>
        <v>30-34</v>
      </c>
      <c r="D8809" t="s">
        <v>8</v>
      </c>
    </row>
    <row r="8810" spans="1:4">
      <c r="A8810" t="s">
        <v>6</v>
      </c>
      <c r="B8810">
        <v>37</v>
      </c>
      <c r="C8810" t="str">
        <f>CHOOSE(MATCH(B8810, {20,25,30,35,40,45,50,55,60,65,70,75,80,85}, 1), "20-24", "25-29", "30-34", "35-39", "40-44", "45-49", "50-54", "55-59", "60-64", "65-69", "70-74", "75-79", "80-84", "85+")</f>
        <v>35-39</v>
      </c>
      <c r="D8810" t="s">
        <v>7</v>
      </c>
    </row>
    <row r="8811" spans="1:4">
      <c r="A8811" t="s">
        <v>6</v>
      </c>
      <c r="B8811">
        <v>23</v>
      </c>
      <c r="C8811" t="str">
        <f>CHOOSE(MATCH(B8811, {20,25,30,35,40,45,50,55,60,65,70,75,80,85}, 1), "20-24", "25-29", "30-34", "35-39", "40-44", "45-49", "50-54", "55-59", "60-64", "65-69", "70-74", "75-79", "80-84", "85+")</f>
        <v>20-24</v>
      </c>
      <c r="D8811" t="s">
        <v>7</v>
      </c>
    </row>
    <row r="8812" spans="1:4">
      <c r="A8812" t="s">
        <v>6</v>
      </c>
      <c r="B8812">
        <v>29</v>
      </c>
      <c r="C8812" t="str">
        <f>CHOOSE(MATCH(B8812, {20,25,30,35,40,45,50,55,60,65,70,75,80,85}, 1), "20-24", "25-29", "30-34", "35-39", "40-44", "45-49", "50-54", "55-59", "60-64", "65-69", "70-74", "75-79", "80-84", "85+")</f>
        <v>25-29</v>
      </c>
      <c r="D8812" t="s">
        <v>7</v>
      </c>
    </row>
    <row r="8813" spans="1:4">
      <c r="A8813" t="s">
        <v>6</v>
      </c>
      <c r="B8813">
        <v>41</v>
      </c>
      <c r="C8813" t="str">
        <f>CHOOSE(MATCH(B8813, {20,25,30,35,40,45,50,55,60,65,70,75,80,85}, 1), "20-24", "25-29", "30-34", "35-39", "40-44", "45-49", "50-54", "55-59", "60-64", "65-69", "70-74", "75-79", "80-84", "85+")</f>
        <v>40-44</v>
      </c>
      <c r="D8813" t="s">
        <v>7</v>
      </c>
    </row>
    <row r="8814" spans="1:4">
      <c r="A8814" t="s">
        <v>6</v>
      </c>
      <c r="B8814">
        <v>36</v>
      </c>
      <c r="C8814" t="str">
        <f>CHOOSE(MATCH(B8814, {20,25,30,35,40,45,50,55,60,65,70,75,80,85}, 1), "20-24", "25-29", "30-34", "35-39", "40-44", "45-49", "50-54", "55-59", "60-64", "65-69", "70-74", "75-79", "80-84", "85+")</f>
        <v>35-39</v>
      </c>
      <c r="D8814" t="s">
        <v>7</v>
      </c>
    </row>
    <row r="8815" spans="1:4">
      <c r="A8815" t="s">
        <v>6</v>
      </c>
      <c r="B8815">
        <v>40</v>
      </c>
      <c r="C8815" t="str">
        <f>CHOOSE(MATCH(B8815, {20,25,30,35,40,45,50,55,60,65,70,75,80,85}, 1), "20-24", "25-29", "30-34", "35-39", "40-44", "45-49", "50-54", "55-59", "60-64", "65-69", "70-74", "75-79", "80-84", "85+")</f>
        <v>40-44</v>
      </c>
      <c r="D8815" t="s">
        <v>7</v>
      </c>
    </row>
    <row r="8816" spans="1:4">
      <c r="A8816" t="s">
        <v>6</v>
      </c>
      <c r="B8816">
        <v>62</v>
      </c>
      <c r="C8816" t="str">
        <f>CHOOSE(MATCH(B8816, {20,25,30,35,40,45,50,55,60,65,70,75,80,85}, 1), "20-24", "25-29", "30-34", "35-39", "40-44", "45-49", "50-54", "55-59", "60-64", "65-69", "70-74", "75-79", "80-84", "85+")</f>
        <v>60-64</v>
      </c>
      <c r="D8816" t="s">
        <v>8</v>
      </c>
    </row>
    <row r="8817" spans="1:4">
      <c r="A8817" t="s">
        <v>6</v>
      </c>
      <c r="B8817">
        <v>33</v>
      </c>
      <c r="C8817" t="str">
        <f>CHOOSE(MATCH(B8817, {20,25,30,35,40,45,50,55,60,65,70,75,80,85}, 1), "20-24", "25-29", "30-34", "35-39", "40-44", "45-49", "50-54", "55-59", "60-64", "65-69", "70-74", "75-79", "80-84", "85+")</f>
        <v>30-34</v>
      </c>
      <c r="D8817" t="s">
        <v>7</v>
      </c>
    </row>
    <row r="8818" spans="1:4">
      <c r="A8818" t="s">
        <v>6</v>
      </c>
      <c r="B8818">
        <v>40</v>
      </c>
      <c r="C8818" t="str">
        <f>CHOOSE(MATCH(B8818, {20,25,30,35,40,45,50,55,60,65,70,75,80,85}, 1), "20-24", "25-29", "30-34", "35-39", "40-44", "45-49", "50-54", "55-59", "60-64", "65-69", "70-74", "75-79", "80-84", "85+")</f>
        <v>40-44</v>
      </c>
      <c r="D8818" t="s">
        <v>8</v>
      </c>
    </row>
    <row r="8819" spans="1:4">
      <c r="A8819" t="s">
        <v>6</v>
      </c>
      <c r="B8819">
        <v>25</v>
      </c>
      <c r="C8819" t="str">
        <f>CHOOSE(MATCH(B8819, {20,25,30,35,40,45,50,55,60,65,70,75,80,85}, 1), "20-24", "25-29", "30-34", "35-39", "40-44", "45-49", "50-54", "55-59", "60-64", "65-69", "70-74", "75-79", "80-84", "85+")</f>
        <v>25-29</v>
      </c>
      <c r="D8819" t="s">
        <v>7</v>
      </c>
    </row>
    <row r="8820" spans="1:4">
      <c r="A8820" t="s">
        <v>6</v>
      </c>
      <c r="B8820">
        <v>26</v>
      </c>
      <c r="C8820" t="str">
        <f>CHOOSE(MATCH(B8820, {20,25,30,35,40,45,50,55,60,65,70,75,80,85}, 1), "20-24", "25-29", "30-34", "35-39", "40-44", "45-49", "50-54", "55-59", "60-64", "65-69", "70-74", "75-79", "80-84", "85+")</f>
        <v>25-29</v>
      </c>
      <c r="D8820" t="s">
        <v>7</v>
      </c>
    </row>
    <row r="8821" spans="1:4">
      <c r="A8821" t="s">
        <v>6</v>
      </c>
      <c r="B8821">
        <v>33</v>
      </c>
      <c r="C8821" t="str">
        <f>CHOOSE(MATCH(B8821, {20,25,30,35,40,45,50,55,60,65,70,75,80,85}, 1), "20-24", "25-29", "30-34", "35-39", "40-44", "45-49", "50-54", "55-59", "60-64", "65-69", "70-74", "75-79", "80-84", "85+")</f>
        <v>30-34</v>
      </c>
      <c r="D8821" t="s">
        <v>8</v>
      </c>
    </row>
    <row r="8822" spans="1:4">
      <c r="A8822" t="s">
        <v>6</v>
      </c>
      <c r="B8822">
        <v>41</v>
      </c>
      <c r="C8822" t="str">
        <f>CHOOSE(MATCH(B8822, {20,25,30,35,40,45,50,55,60,65,70,75,80,85}, 1), "20-24", "25-29", "30-34", "35-39", "40-44", "45-49", "50-54", "55-59", "60-64", "65-69", "70-74", "75-79", "80-84", "85+")</f>
        <v>40-44</v>
      </c>
      <c r="D8822" t="s">
        <v>7</v>
      </c>
    </row>
    <row r="8823" spans="1:4">
      <c r="A8823" t="s">
        <v>6</v>
      </c>
      <c r="B8823">
        <v>35</v>
      </c>
      <c r="C8823" t="str">
        <f>CHOOSE(MATCH(B8823, {20,25,30,35,40,45,50,55,60,65,70,75,80,85}, 1), "20-24", "25-29", "30-34", "35-39", "40-44", "45-49", "50-54", "55-59", "60-64", "65-69", "70-74", "75-79", "80-84", "85+")</f>
        <v>35-39</v>
      </c>
      <c r="D8823" t="s">
        <v>7</v>
      </c>
    </row>
    <row r="8824" spans="1:4">
      <c r="A8824" t="s">
        <v>6</v>
      </c>
      <c r="B8824">
        <v>47</v>
      </c>
      <c r="C8824" t="str">
        <f>CHOOSE(MATCH(B8824, {20,25,30,35,40,45,50,55,60,65,70,75,80,85}, 1), "20-24", "25-29", "30-34", "35-39", "40-44", "45-49", "50-54", "55-59", "60-64", "65-69", "70-74", "75-79", "80-84", "85+")</f>
        <v>45-49</v>
      </c>
      <c r="D8824" t="s">
        <v>7</v>
      </c>
    </row>
    <row r="8825" spans="1:4">
      <c r="A8825" t="s">
        <v>6</v>
      </c>
      <c r="B8825">
        <v>38</v>
      </c>
      <c r="C8825" t="str">
        <f>CHOOSE(MATCH(B8825, {20,25,30,35,40,45,50,55,60,65,70,75,80,85}, 1), "20-24", "25-29", "30-34", "35-39", "40-44", "45-49", "50-54", "55-59", "60-64", "65-69", "70-74", "75-79", "80-84", "85+")</f>
        <v>35-39</v>
      </c>
      <c r="D8825" t="s">
        <v>7</v>
      </c>
    </row>
    <row r="8826" spans="1:4">
      <c r="A8826" t="s">
        <v>6</v>
      </c>
      <c r="B8826">
        <v>44</v>
      </c>
      <c r="C8826" t="str">
        <f>CHOOSE(MATCH(B8826, {20,25,30,35,40,45,50,55,60,65,70,75,80,85}, 1), "20-24", "25-29", "30-34", "35-39", "40-44", "45-49", "50-54", "55-59", "60-64", "65-69", "70-74", "75-79", "80-84", "85+")</f>
        <v>40-44</v>
      </c>
      <c r="D8826" t="s">
        <v>7</v>
      </c>
    </row>
    <row r="8827" spans="1:4">
      <c r="A8827" t="s">
        <v>6</v>
      </c>
      <c r="B8827">
        <v>64</v>
      </c>
      <c r="C8827" t="str">
        <f>CHOOSE(MATCH(B8827, {20,25,30,35,40,45,50,55,60,65,70,75,80,85}, 1), "20-24", "25-29", "30-34", "35-39", "40-44", "45-49", "50-54", "55-59", "60-64", "65-69", "70-74", "75-79", "80-84", "85+")</f>
        <v>60-64</v>
      </c>
      <c r="D8827" t="s">
        <v>7</v>
      </c>
    </row>
    <row r="8828" spans="1:4">
      <c r="A8828" t="s">
        <v>6</v>
      </c>
      <c r="B8828">
        <v>35</v>
      </c>
      <c r="C8828" t="str">
        <f>CHOOSE(MATCH(B8828, {20,25,30,35,40,45,50,55,60,65,70,75,80,85}, 1), "20-24", "25-29", "30-34", "35-39", "40-44", "45-49", "50-54", "55-59", "60-64", "65-69", "70-74", "75-79", "80-84", "85+")</f>
        <v>35-39</v>
      </c>
      <c r="D8828" t="s">
        <v>8</v>
      </c>
    </row>
    <row r="8829" spans="1:4">
      <c r="A8829" t="s">
        <v>6</v>
      </c>
      <c r="B8829">
        <v>28</v>
      </c>
      <c r="C8829" t="str">
        <f>CHOOSE(MATCH(B8829, {20,25,30,35,40,45,50,55,60,65,70,75,80,85}, 1), "20-24", "25-29", "30-34", "35-39", "40-44", "45-49", "50-54", "55-59", "60-64", "65-69", "70-74", "75-79", "80-84", "85+")</f>
        <v>25-29</v>
      </c>
      <c r="D8829" t="s">
        <v>7</v>
      </c>
    </row>
    <row r="8830" spans="1:4">
      <c r="A8830" t="s">
        <v>6</v>
      </c>
      <c r="B8830">
        <v>41</v>
      </c>
      <c r="C8830" t="str">
        <f>CHOOSE(MATCH(B8830, {20,25,30,35,40,45,50,55,60,65,70,75,80,85}, 1), "20-24", "25-29", "30-34", "35-39", "40-44", "45-49", "50-54", "55-59", "60-64", "65-69", "70-74", "75-79", "80-84", "85+")</f>
        <v>40-44</v>
      </c>
      <c r="D8830" t="s">
        <v>7</v>
      </c>
    </row>
    <row r="8831" spans="1:4">
      <c r="A8831" t="s">
        <v>6</v>
      </c>
      <c r="B8831">
        <v>36</v>
      </c>
      <c r="C8831" t="str">
        <f>CHOOSE(MATCH(B8831, {20,25,30,35,40,45,50,55,60,65,70,75,80,85}, 1), "20-24", "25-29", "30-34", "35-39", "40-44", "45-49", "50-54", "55-59", "60-64", "65-69", "70-74", "75-79", "80-84", "85+")</f>
        <v>35-39</v>
      </c>
      <c r="D8831" t="s">
        <v>8</v>
      </c>
    </row>
    <row r="8832" spans="1:4">
      <c r="A8832" t="s">
        <v>6</v>
      </c>
      <c r="B8832">
        <v>36</v>
      </c>
      <c r="C8832" t="str">
        <f>CHOOSE(MATCH(B8832, {20,25,30,35,40,45,50,55,60,65,70,75,80,85}, 1), "20-24", "25-29", "30-34", "35-39", "40-44", "45-49", "50-54", "55-59", "60-64", "65-69", "70-74", "75-79", "80-84", "85+")</f>
        <v>35-39</v>
      </c>
      <c r="D8832" t="s">
        <v>7</v>
      </c>
    </row>
    <row r="8833" spans="1:4">
      <c r="A8833" t="s">
        <v>6</v>
      </c>
      <c r="B8833">
        <v>32</v>
      </c>
      <c r="C8833" t="str">
        <f>CHOOSE(MATCH(B8833, {20,25,30,35,40,45,50,55,60,65,70,75,80,85}, 1), "20-24", "25-29", "30-34", "35-39", "40-44", "45-49", "50-54", "55-59", "60-64", "65-69", "70-74", "75-79", "80-84", "85+")</f>
        <v>30-34</v>
      </c>
      <c r="D8833" t="s">
        <v>7</v>
      </c>
    </row>
    <row r="8834" spans="1:4">
      <c r="A8834" t="s">
        <v>6</v>
      </c>
      <c r="B8834">
        <v>41</v>
      </c>
      <c r="C8834" t="str">
        <f>CHOOSE(MATCH(B8834, {20,25,30,35,40,45,50,55,60,65,70,75,80,85}, 1), "20-24", "25-29", "30-34", "35-39", "40-44", "45-49", "50-54", "55-59", "60-64", "65-69", "70-74", "75-79", "80-84", "85+")</f>
        <v>40-44</v>
      </c>
      <c r="D8834" t="s">
        <v>7</v>
      </c>
    </row>
    <row r="8835" spans="1:4">
      <c r="A8835" t="s">
        <v>6</v>
      </c>
      <c r="B8835">
        <v>36</v>
      </c>
      <c r="C8835" t="str">
        <f>CHOOSE(MATCH(B8835, {20,25,30,35,40,45,50,55,60,65,70,75,80,85}, 1), "20-24", "25-29", "30-34", "35-39", "40-44", "45-49", "50-54", "55-59", "60-64", "65-69", "70-74", "75-79", "80-84", "85+")</f>
        <v>35-39</v>
      </c>
      <c r="D8835" t="s">
        <v>8</v>
      </c>
    </row>
    <row r="8836" spans="1:4">
      <c r="A8836" t="s">
        <v>6</v>
      </c>
      <c r="B8836">
        <v>28</v>
      </c>
      <c r="C8836" t="str">
        <f>CHOOSE(MATCH(B8836, {20,25,30,35,40,45,50,55,60,65,70,75,80,85}, 1), "20-24", "25-29", "30-34", "35-39", "40-44", "45-49", "50-54", "55-59", "60-64", "65-69", "70-74", "75-79", "80-84", "85+")</f>
        <v>25-29</v>
      </c>
      <c r="D8836" t="s">
        <v>8</v>
      </c>
    </row>
    <row r="8837" spans="1:4">
      <c r="A8837" t="s">
        <v>6</v>
      </c>
      <c r="B8837">
        <v>42</v>
      </c>
      <c r="C8837" t="str">
        <f>CHOOSE(MATCH(B8837, {20,25,30,35,40,45,50,55,60,65,70,75,80,85}, 1), "20-24", "25-29", "30-34", "35-39", "40-44", "45-49", "50-54", "55-59", "60-64", "65-69", "70-74", "75-79", "80-84", "85+")</f>
        <v>40-44</v>
      </c>
      <c r="D8837" t="s">
        <v>8</v>
      </c>
    </row>
    <row r="8838" spans="1:4">
      <c r="A8838" t="s">
        <v>6</v>
      </c>
      <c r="B8838">
        <v>41</v>
      </c>
      <c r="C8838" t="str">
        <f>CHOOSE(MATCH(B8838, {20,25,30,35,40,45,50,55,60,65,70,75,80,85}, 1), "20-24", "25-29", "30-34", "35-39", "40-44", "45-49", "50-54", "55-59", "60-64", "65-69", "70-74", "75-79", "80-84", "85+")</f>
        <v>40-44</v>
      </c>
      <c r="D8838" t="s">
        <v>7</v>
      </c>
    </row>
    <row r="8839" spans="1:4">
      <c r="A8839" t="s">
        <v>6</v>
      </c>
      <c r="B8839">
        <v>30</v>
      </c>
      <c r="C8839" t="str">
        <f>CHOOSE(MATCH(B8839, {20,25,30,35,40,45,50,55,60,65,70,75,80,85}, 1), "20-24", "25-29", "30-34", "35-39", "40-44", "45-49", "50-54", "55-59", "60-64", "65-69", "70-74", "75-79", "80-84", "85+")</f>
        <v>30-34</v>
      </c>
      <c r="D8839" t="s">
        <v>7</v>
      </c>
    </row>
    <row r="8840" spans="1:4">
      <c r="A8840" t="s">
        <v>6</v>
      </c>
      <c r="B8840">
        <v>50</v>
      </c>
      <c r="C8840" t="str">
        <f>CHOOSE(MATCH(B8840, {20,25,30,35,40,45,50,55,60,65,70,75,80,85}, 1), "20-24", "25-29", "30-34", "35-39", "40-44", "45-49", "50-54", "55-59", "60-64", "65-69", "70-74", "75-79", "80-84", "85+")</f>
        <v>50-54</v>
      </c>
      <c r="D8840" t="s">
        <v>7</v>
      </c>
    </row>
    <row r="8841" spans="1:4">
      <c r="A8841" t="s">
        <v>6</v>
      </c>
      <c r="B8841">
        <v>40</v>
      </c>
      <c r="C8841" t="str">
        <f>CHOOSE(MATCH(B8841, {20,25,30,35,40,45,50,55,60,65,70,75,80,85}, 1), "20-24", "25-29", "30-34", "35-39", "40-44", "45-49", "50-54", "55-59", "60-64", "65-69", "70-74", "75-79", "80-84", "85+")</f>
        <v>40-44</v>
      </c>
      <c r="D8841" t="s">
        <v>7</v>
      </c>
    </row>
    <row r="8842" spans="1:4">
      <c r="A8842" t="s">
        <v>6</v>
      </c>
      <c r="B8842">
        <v>29</v>
      </c>
      <c r="C8842" t="str">
        <f>CHOOSE(MATCH(B8842, {20,25,30,35,40,45,50,55,60,65,70,75,80,85}, 1), "20-24", "25-29", "30-34", "35-39", "40-44", "45-49", "50-54", "55-59", "60-64", "65-69", "70-74", "75-79", "80-84", "85+")</f>
        <v>25-29</v>
      </c>
      <c r="D8842" t="s">
        <v>8</v>
      </c>
    </row>
    <row r="8843" spans="1:4">
      <c r="A8843" t="s">
        <v>6</v>
      </c>
      <c r="B8843">
        <v>23</v>
      </c>
      <c r="C8843" t="str">
        <f>CHOOSE(MATCH(B8843, {20,25,30,35,40,45,50,55,60,65,70,75,80,85}, 1), "20-24", "25-29", "30-34", "35-39", "40-44", "45-49", "50-54", "55-59", "60-64", "65-69", "70-74", "75-79", "80-84", "85+")</f>
        <v>20-24</v>
      </c>
      <c r="D8843" t="s">
        <v>8</v>
      </c>
    </row>
    <row r="8844" spans="1:4">
      <c r="A8844" t="s">
        <v>6</v>
      </c>
      <c r="B8844">
        <v>53</v>
      </c>
      <c r="C8844" t="str">
        <f>CHOOSE(MATCH(B8844, {20,25,30,35,40,45,50,55,60,65,70,75,80,85}, 1), "20-24", "25-29", "30-34", "35-39", "40-44", "45-49", "50-54", "55-59", "60-64", "65-69", "70-74", "75-79", "80-84", "85+")</f>
        <v>50-54</v>
      </c>
      <c r="D8844" t="s">
        <v>8</v>
      </c>
    </row>
    <row r="8845" spans="1:4">
      <c r="A8845" t="s">
        <v>6</v>
      </c>
      <c r="B8845">
        <v>23</v>
      </c>
      <c r="C8845" t="str">
        <f>CHOOSE(MATCH(B8845, {20,25,30,35,40,45,50,55,60,65,70,75,80,85}, 1), "20-24", "25-29", "30-34", "35-39", "40-44", "45-49", "50-54", "55-59", "60-64", "65-69", "70-74", "75-79", "80-84", "85+")</f>
        <v>20-24</v>
      </c>
      <c r="D8845" t="s">
        <v>7</v>
      </c>
    </row>
    <row r="8846" spans="1:4">
      <c r="A8846" t="s">
        <v>6</v>
      </c>
      <c r="B8846">
        <v>37</v>
      </c>
      <c r="C8846" t="str">
        <f>CHOOSE(MATCH(B8846, {20,25,30,35,40,45,50,55,60,65,70,75,80,85}, 1), "20-24", "25-29", "30-34", "35-39", "40-44", "45-49", "50-54", "55-59", "60-64", "65-69", "70-74", "75-79", "80-84", "85+")</f>
        <v>35-39</v>
      </c>
      <c r="D8846" t="s">
        <v>8</v>
      </c>
    </row>
    <row r="8847" spans="1:4">
      <c r="A8847" t="s">
        <v>6</v>
      </c>
      <c r="B8847">
        <v>37</v>
      </c>
      <c r="C8847" t="str">
        <f>CHOOSE(MATCH(B8847, {20,25,30,35,40,45,50,55,60,65,70,75,80,85}, 1), "20-24", "25-29", "30-34", "35-39", "40-44", "45-49", "50-54", "55-59", "60-64", "65-69", "70-74", "75-79", "80-84", "85+")</f>
        <v>35-39</v>
      </c>
      <c r="D8847" t="s">
        <v>8</v>
      </c>
    </row>
    <row r="8848" spans="1:4">
      <c r="A8848" t="s">
        <v>6</v>
      </c>
      <c r="B8848">
        <v>24</v>
      </c>
      <c r="C8848" t="str">
        <f>CHOOSE(MATCH(B8848, {20,25,30,35,40,45,50,55,60,65,70,75,80,85}, 1), "20-24", "25-29", "30-34", "35-39", "40-44", "45-49", "50-54", "55-59", "60-64", "65-69", "70-74", "75-79", "80-84", "85+")</f>
        <v>20-24</v>
      </c>
      <c r="D8848" t="s">
        <v>7</v>
      </c>
    </row>
    <row r="8849" spans="1:4">
      <c r="A8849" t="s">
        <v>6</v>
      </c>
      <c r="B8849">
        <v>43</v>
      </c>
      <c r="C8849" t="str">
        <f>CHOOSE(MATCH(B8849, {20,25,30,35,40,45,50,55,60,65,70,75,80,85}, 1), "20-24", "25-29", "30-34", "35-39", "40-44", "45-49", "50-54", "55-59", "60-64", "65-69", "70-74", "75-79", "80-84", "85+")</f>
        <v>40-44</v>
      </c>
      <c r="D8849" t="s">
        <v>8</v>
      </c>
    </row>
    <row r="8850" spans="1:4">
      <c r="A8850" t="s">
        <v>6</v>
      </c>
      <c r="B8850">
        <v>37</v>
      </c>
      <c r="C8850" t="str">
        <f>CHOOSE(MATCH(B8850, {20,25,30,35,40,45,50,55,60,65,70,75,80,85}, 1), "20-24", "25-29", "30-34", "35-39", "40-44", "45-49", "50-54", "55-59", "60-64", "65-69", "70-74", "75-79", "80-84", "85+")</f>
        <v>35-39</v>
      </c>
      <c r="D8850" t="s">
        <v>7</v>
      </c>
    </row>
    <row r="8851" spans="1:4">
      <c r="A8851" t="s">
        <v>6</v>
      </c>
      <c r="B8851">
        <v>27</v>
      </c>
      <c r="C8851" t="str">
        <f>CHOOSE(MATCH(B8851, {20,25,30,35,40,45,50,55,60,65,70,75,80,85}, 1), "20-24", "25-29", "30-34", "35-39", "40-44", "45-49", "50-54", "55-59", "60-64", "65-69", "70-74", "75-79", "80-84", "85+")</f>
        <v>25-29</v>
      </c>
      <c r="D8851" t="s">
        <v>7</v>
      </c>
    </row>
    <row r="8852" spans="1:4">
      <c r="A8852" t="s">
        <v>6</v>
      </c>
      <c r="B8852">
        <v>44</v>
      </c>
      <c r="C8852" t="str">
        <f>CHOOSE(MATCH(B8852, {20,25,30,35,40,45,50,55,60,65,70,75,80,85}, 1), "20-24", "25-29", "30-34", "35-39", "40-44", "45-49", "50-54", "55-59", "60-64", "65-69", "70-74", "75-79", "80-84", "85+")</f>
        <v>40-44</v>
      </c>
      <c r="D8852" t="s">
        <v>8</v>
      </c>
    </row>
    <row r="8853" spans="1:4">
      <c r="A8853" t="s">
        <v>6</v>
      </c>
      <c r="B8853">
        <v>41</v>
      </c>
      <c r="C8853" t="str">
        <f>CHOOSE(MATCH(B8853, {20,25,30,35,40,45,50,55,60,65,70,75,80,85}, 1), "20-24", "25-29", "30-34", "35-39", "40-44", "45-49", "50-54", "55-59", "60-64", "65-69", "70-74", "75-79", "80-84", "85+")</f>
        <v>40-44</v>
      </c>
      <c r="D8853" t="s">
        <v>7</v>
      </c>
    </row>
    <row r="8854" spans="1:4">
      <c r="A8854" t="s">
        <v>6</v>
      </c>
      <c r="B8854">
        <v>39</v>
      </c>
      <c r="C8854" t="str">
        <f>CHOOSE(MATCH(B8854, {20,25,30,35,40,45,50,55,60,65,70,75,80,85}, 1), "20-24", "25-29", "30-34", "35-39", "40-44", "45-49", "50-54", "55-59", "60-64", "65-69", "70-74", "75-79", "80-84", "85+")</f>
        <v>35-39</v>
      </c>
      <c r="D8854" t="s">
        <v>8</v>
      </c>
    </row>
    <row r="8855" spans="1:4">
      <c r="A8855" t="s">
        <v>6</v>
      </c>
      <c r="B8855">
        <v>57</v>
      </c>
      <c r="C8855" t="str">
        <f>CHOOSE(MATCH(B8855, {20,25,30,35,40,45,50,55,60,65,70,75,80,85}, 1), "20-24", "25-29", "30-34", "35-39", "40-44", "45-49", "50-54", "55-59", "60-64", "65-69", "70-74", "75-79", "80-84", "85+")</f>
        <v>55-59</v>
      </c>
      <c r="D8855" t="s">
        <v>8</v>
      </c>
    </row>
    <row r="8856" spans="1:4">
      <c r="A8856" t="s">
        <v>6</v>
      </c>
      <c r="B8856">
        <v>40</v>
      </c>
      <c r="C8856" t="str">
        <f>CHOOSE(MATCH(B8856, {20,25,30,35,40,45,50,55,60,65,70,75,80,85}, 1), "20-24", "25-29", "30-34", "35-39", "40-44", "45-49", "50-54", "55-59", "60-64", "65-69", "70-74", "75-79", "80-84", "85+")</f>
        <v>40-44</v>
      </c>
      <c r="D8856" t="s">
        <v>7</v>
      </c>
    </row>
    <row r="8857" spans="1:4">
      <c r="A8857" t="s">
        <v>6</v>
      </c>
      <c r="B8857">
        <v>40</v>
      </c>
      <c r="C8857" t="str">
        <f>CHOOSE(MATCH(B8857, {20,25,30,35,40,45,50,55,60,65,70,75,80,85}, 1), "20-24", "25-29", "30-34", "35-39", "40-44", "45-49", "50-54", "55-59", "60-64", "65-69", "70-74", "75-79", "80-84", "85+")</f>
        <v>40-44</v>
      </c>
      <c r="D8857" t="s">
        <v>7</v>
      </c>
    </row>
    <row r="8858" spans="1:4">
      <c r="A8858" t="s">
        <v>6</v>
      </c>
      <c r="B8858">
        <v>35</v>
      </c>
      <c r="C8858" t="str">
        <f>CHOOSE(MATCH(B8858, {20,25,30,35,40,45,50,55,60,65,70,75,80,85}, 1), "20-24", "25-29", "30-34", "35-39", "40-44", "45-49", "50-54", "55-59", "60-64", "65-69", "70-74", "75-79", "80-84", "85+")</f>
        <v>35-39</v>
      </c>
      <c r="D8858" t="s">
        <v>8</v>
      </c>
    </row>
    <row r="8859" spans="1:4">
      <c r="A8859" t="s">
        <v>6</v>
      </c>
      <c r="B8859">
        <v>41</v>
      </c>
      <c r="C8859" t="str">
        <f>CHOOSE(MATCH(B8859, {20,25,30,35,40,45,50,55,60,65,70,75,80,85}, 1), "20-24", "25-29", "30-34", "35-39", "40-44", "45-49", "50-54", "55-59", "60-64", "65-69", "70-74", "75-79", "80-84", "85+")</f>
        <v>40-44</v>
      </c>
      <c r="D8859" t="s">
        <v>7</v>
      </c>
    </row>
    <row r="8860" spans="1:4">
      <c r="A8860" t="s">
        <v>6</v>
      </c>
      <c r="B8860">
        <v>69</v>
      </c>
      <c r="C8860" t="str">
        <f>CHOOSE(MATCH(B8860, {20,25,30,35,40,45,50,55,60,65,70,75,80,85}, 1), "20-24", "25-29", "30-34", "35-39", "40-44", "45-49", "50-54", "55-59", "60-64", "65-69", "70-74", "75-79", "80-84", "85+")</f>
        <v>65-69</v>
      </c>
      <c r="D8860" t="s">
        <v>8</v>
      </c>
    </row>
    <row r="8861" spans="1:4">
      <c r="A8861" t="s">
        <v>6</v>
      </c>
      <c r="B8861">
        <v>47</v>
      </c>
      <c r="C8861" t="str">
        <f>CHOOSE(MATCH(B8861, {20,25,30,35,40,45,50,55,60,65,70,75,80,85}, 1), "20-24", "25-29", "30-34", "35-39", "40-44", "45-49", "50-54", "55-59", "60-64", "65-69", "70-74", "75-79", "80-84", "85+")</f>
        <v>45-49</v>
      </c>
      <c r="D8861" t="s">
        <v>7</v>
      </c>
    </row>
    <row r="8862" spans="1:4">
      <c r="A8862" t="s">
        <v>6</v>
      </c>
      <c r="B8862">
        <v>42</v>
      </c>
      <c r="C8862" t="str">
        <f>CHOOSE(MATCH(B8862, {20,25,30,35,40,45,50,55,60,65,70,75,80,85}, 1), "20-24", "25-29", "30-34", "35-39", "40-44", "45-49", "50-54", "55-59", "60-64", "65-69", "70-74", "75-79", "80-84", "85+")</f>
        <v>40-44</v>
      </c>
      <c r="D8862" t="s">
        <v>8</v>
      </c>
    </row>
    <row r="8863" spans="1:4">
      <c r="A8863" t="s">
        <v>6</v>
      </c>
      <c r="B8863">
        <v>51</v>
      </c>
      <c r="C8863" t="str">
        <f>CHOOSE(MATCH(B8863, {20,25,30,35,40,45,50,55,60,65,70,75,80,85}, 1), "20-24", "25-29", "30-34", "35-39", "40-44", "45-49", "50-54", "55-59", "60-64", "65-69", "70-74", "75-79", "80-84", "85+")</f>
        <v>50-54</v>
      </c>
      <c r="D8863" t="s">
        <v>7</v>
      </c>
    </row>
    <row r="8864" spans="1:4">
      <c r="A8864" t="s">
        <v>6</v>
      </c>
      <c r="B8864">
        <v>64</v>
      </c>
      <c r="C8864" t="str">
        <f>CHOOSE(MATCH(B8864, {20,25,30,35,40,45,50,55,60,65,70,75,80,85}, 1), "20-24", "25-29", "30-34", "35-39", "40-44", "45-49", "50-54", "55-59", "60-64", "65-69", "70-74", "75-79", "80-84", "85+")</f>
        <v>60-64</v>
      </c>
      <c r="D8864" t="s">
        <v>7</v>
      </c>
    </row>
    <row r="8865" spans="1:4">
      <c r="A8865" t="s">
        <v>6</v>
      </c>
      <c r="B8865">
        <v>36</v>
      </c>
      <c r="C8865" t="str">
        <f>CHOOSE(MATCH(B8865, {20,25,30,35,40,45,50,55,60,65,70,75,80,85}, 1), "20-24", "25-29", "30-34", "35-39", "40-44", "45-49", "50-54", "55-59", "60-64", "65-69", "70-74", "75-79", "80-84", "85+")</f>
        <v>35-39</v>
      </c>
      <c r="D8865" t="s">
        <v>8</v>
      </c>
    </row>
    <row r="8866" spans="1:4">
      <c r="A8866" t="s">
        <v>6</v>
      </c>
      <c r="B8866">
        <v>71</v>
      </c>
      <c r="C8866" t="str">
        <f>CHOOSE(MATCH(B8866, {20,25,30,35,40,45,50,55,60,65,70,75,80,85}, 1), "20-24", "25-29", "30-34", "35-39", "40-44", "45-49", "50-54", "55-59", "60-64", "65-69", "70-74", "75-79", "80-84", "85+")</f>
        <v>70-74</v>
      </c>
      <c r="D8866" t="s">
        <v>7</v>
      </c>
    </row>
    <row r="8867" spans="1:4">
      <c r="A8867" t="s">
        <v>6</v>
      </c>
      <c r="B8867">
        <v>35</v>
      </c>
      <c r="C8867" t="str">
        <f>CHOOSE(MATCH(B8867, {20,25,30,35,40,45,50,55,60,65,70,75,80,85}, 1), "20-24", "25-29", "30-34", "35-39", "40-44", "45-49", "50-54", "55-59", "60-64", "65-69", "70-74", "75-79", "80-84", "85+")</f>
        <v>35-39</v>
      </c>
      <c r="D8867" t="s">
        <v>7</v>
      </c>
    </row>
    <row r="8868" spans="1:4">
      <c r="A8868" t="s">
        <v>6</v>
      </c>
      <c r="B8868">
        <v>70</v>
      </c>
      <c r="C8868" t="str">
        <f>CHOOSE(MATCH(B8868, {20,25,30,35,40,45,50,55,60,65,70,75,80,85}, 1), "20-24", "25-29", "30-34", "35-39", "40-44", "45-49", "50-54", "55-59", "60-64", "65-69", "70-74", "75-79", "80-84", "85+")</f>
        <v>70-74</v>
      </c>
      <c r="D8868" t="s">
        <v>7</v>
      </c>
    </row>
    <row r="8869" spans="1:4">
      <c r="A8869" t="s">
        <v>6</v>
      </c>
      <c r="B8869">
        <v>48</v>
      </c>
      <c r="C8869" t="str">
        <f>CHOOSE(MATCH(B8869, {20,25,30,35,40,45,50,55,60,65,70,75,80,85}, 1), "20-24", "25-29", "30-34", "35-39", "40-44", "45-49", "50-54", "55-59", "60-64", "65-69", "70-74", "75-79", "80-84", "85+")</f>
        <v>45-49</v>
      </c>
      <c r="D8869" t="s">
        <v>7</v>
      </c>
    </row>
    <row r="8870" spans="1:4">
      <c r="A8870" t="s">
        <v>6</v>
      </c>
      <c r="B8870">
        <v>30</v>
      </c>
      <c r="C8870" t="str">
        <f>CHOOSE(MATCH(B8870, {20,25,30,35,40,45,50,55,60,65,70,75,80,85}, 1), "20-24", "25-29", "30-34", "35-39", "40-44", "45-49", "50-54", "55-59", "60-64", "65-69", "70-74", "75-79", "80-84", "85+")</f>
        <v>30-34</v>
      </c>
      <c r="D8870" t="s">
        <v>7</v>
      </c>
    </row>
    <row r="8871" spans="1:4">
      <c r="A8871" t="s">
        <v>6</v>
      </c>
      <c r="B8871">
        <v>57</v>
      </c>
      <c r="C8871" t="str">
        <f>CHOOSE(MATCH(B8871, {20,25,30,35,40,45,50,55,60,65,70,75,80,85}, 1), "20-24", "25-29", "30-34", "35-39", "40-44", "45-49", "50-54", "55-59", "60-64", "65-69", "70-74", "75-79", "80-84", "85+")</f>
        <v>55-59</v>
      </c>
      <c r="D8871" t="s">
        <v>7</v>
      </c>
    </row>
    <row r="8872" spans="1:4">
      <c r="A8872" t="s">
        <v>6</v>
      </c>
      <c r="B8872">
        <v>43</v>
      </c>
      <c r="C8872" t="str">
        <f>CHOOSE(MATCH(B8872, {20,25,30,35,40,45,50,55,60,65,70,75,80,85}, 1), "20-24", "25-29", "30-34", "35-39", "40-44", "45-49", "50-54", "55-59", "60-64", "65-69", "70-74", "75-79", "80-84", "85+")</f>
        <v>40-44</v>
      </c>
      <c r="D8872" t="s">
        <v>8</v>
      </c>
    </row>
    <row r="8873" spans="1:4">
      <c r="A8873" t="s">
        <v>6</v>
      </c>
      <c r="B8873">
        <v>38</v>
      </c>
      <c r="C8873" t="str">
        <f>CHOOSE(MATCH(B8873, {20,25,30,35,40,45,50,55,60,65,70,75,80,85}, 1), "20-24", "25-29", "30-34", "35-39", "40-44", "45-49", "50-54", "55-59", "60-64", "65-69", "70-74", "75-79", "80-84", "85+")</f>
        <v>35-39</v>
      </c>
      <c r="D8873" t="s">
        <v>7</v>
      </c>
    </row>
    <row r="8874" spans="1:4">
      <c r="A8874" t="s">
        <v>6</v>
      </c>
      <c r="B8874">
        <v>57</v>
      </c>
      <c r="C8874" t="str">
        <f>CHOOSE(MATCH(B8874, {20,25,30,35,40,45,50,55,60,65,70,75,80,85}, 1), "20-24", "25-29", "30-34", "35-39", "40-44", "45-49", "50-54", "55-59", "60-64", "65-69", "70-74", "75-79", "80-84", "85+")</f>
        <v>55-59</v>
      </c>
      <c r="D8874" t="s">
        <v>8</v>
      </c>
    </row>
    <row r="8875" spans="1:4">
      <c r="A8875" t="s">
        <v>6</v>
      </c>
      <c r="B8875">
        <v>32</v>
      </c>
      <c r="C8875" t="str">
        <f>CHOOSE(MATCH(B8875, {20,25,30,35,40,45,50,55,60,65,70,75,80,85}, 1), "20-24", "25-29", "30-34", "35-39", "40-44", "45-49", "50-54", "55-59", "60-64", "65-69", "70-74", "75-79", "80-84", "85+")</f>
        <v>30-34</v>
      </c>
      <c r="D8875" t="s">
        <v>7</v>
      </c>
    </row>
    <row r="8876" spans="1:4">
      <c r="A8876" t="s">
        <v>6</v>
      </c>
      <c r="B8876">
        <v>59</v>
      </c>
      <c r="C8876" t="str">
        <f>CHOOSE(MATCH(B8876, {20,25,30,35,40,45,50,55,60,65,70,75,80,85}, 1), "20-24", "25-29", "30-34", "35-39", "40-44", "45-49", "50-54", "55-59", "60-64", "65-69", "70-74", "75-79", "80-84", "85+")</f>
        <v>55-59</v>
      </c>
      <c r="D8876" t="s">
        <v>7</v>
      </c>
    </row>
    <row r="8877" spans="1:4">
      <c r="A8877" t="s">
        <v>6</v>
      </c>
      <c r="B8877">
        <v>33</v>
      </c>
      <c r="C8877" t="str">
        <f>CHOOSE(MATCH(B8877, {20,25,30,35,40,45,50,55,60,65,70,75,80,85}, 1), "20-24", "25-29", "30-34", "35-39", "40-44", "45-49", "50-54", "55-59", "60-64", "65-69", "70-74", "75-79", "80-84", "85+")</f>
        <v>30-34</v>
      </c>
      <c r="D8877" t="s">
        <v>7</v>
      </c>
    </row>
    <row r="8878" spans="1:4">
      <c r="A8878" t="s">
        <v>6</v>
      </c>
      <c r="B8878">
        <v>43</v>
      </c>
      <c r="C8878" t="str">
        <f>CHOOSE(MATCH(B8878, {20,25,30,35,40,45,50,55,60,65,70,75,80,85}, 1), "20-24", "25-29", "30-34", "35-39", "40-44", "45-49", "50-54", "55-59", "60-64", "65-69", "70-74", "75-79", "80-84", "85+")</f>
        <v>40-44</v>
      </c>
      <c r="D8878" t="s">
        <v>8</v>
      </c>
    </row>
    <row r="8879" spans="1:4">
      <c r="A8879" t="s">
        <v>6</v>
      </c>
      <c r="B8879">
        <v>28</v>
      </c>
      <c r="C8879" t="str">
        <f>CHOOSE(MATCH(B8879, {20,25,30,35,40,45,50,55,60,65,70,75,80,85}, 1), "20-24", "25-29", "30-34", "35-39", "40-44", "45-49", "50-54", "55-59", "60-64", "65-69", "70-74", "75-79", "80-84", "85+")</f>
        <v>25-29</v>
      </c>
      <c r="D8879" t="s">
        <v>8</v>
      </c>
    </row>
    <row r="8880" spans="1:4">
      <c r="A8880" t="s">
        <v>6</v>
      </c>
      <c r="B8880">
        <v>30</v>
      </c>
      <c r="C8880" t="str">
        <f>CHOOSE(MATCH(B8880, {20,25,30,35,40,45,50,55,60,65,70,75,80,85}, 1), "20-24", "25-29", "30-34", "35-39", "40-44", "45-49", "50-54", "55-59", "60-64", "65-69", "70-74", "75-79", "80-84", "85+")</f>
        <v>30-34</v>
      </c>
      <c r="D8880" t="s">
        <v>8</v>
      </c>
    </row>
    <row r="8881" spans="1:4">
      <c r="A8881" t="s">
        <v>6</v>
      </c>
      <c r="B8881">
        <v>69</v>
      </c>
      <c r="C8881" t="str">
        <f>CHOOSE(MATCH(B8881, {20,25,30,35,40,45,50,55,60,65,70,75,80,85}, 1), "20-24", "25-29", "30-34", "35-39", "40-44", "45-49", "50-54", "55-59", "60-64", "65-69", "70-74", "75-79", "80-84", "85+")</f>
        <v>65-69</v>
      </c>
      <c r="D8881" t="s">
        <v>7</v>
      </c>
    </row>
    <row r="8882" spans="1:4">
      <c r="A8882" t="s">
        <v>6</v>
      </c>
      <c r="B8882">
        <v>25</v>
      </c>
      <c r="C8882" t="str">
        <f>CHOOSE(MATCH(B8882, {20,25,30,35,40,45,50,55,60,65,70,75,80,85}, 1), "20-24", "25-29", "30-34", "35-39", "40-44", "45-49", "50-54", "55-59", "60-64", "65-69", "70-74", "75-79", "80-84", "85+")</f>
        <v>25-29</v>
      </c>
      <c r="D8882" t="s">
        <v>7</v>
      </c>
    </row>
    <row r="8883" spans="1:4">
      <c r="A8883" t="s">
        <v>6</v>
      </c>
      <c r="B8883">
        <v>22</v>
      </c>
      <c r="C8883" t="str">
        <f>CHOOSE(MATCH(B8883, {20,25,30,35,40,45,50,55,60,65,70,75,80,85}, 1), "20-24", "25-29", "30-34", "35-39", "40-44", "45-49", "50-54", "55-59", "60-64", "65-69", "70-74", "75-79", "80-84", "85+")</f>
        <v>20-24</v>
      </c>
      <c r="D8883" t="s">
        <v>7</v>
      </c>
    </row>
    <row r="8884" spans="1:4">
      <c r="A8884" t="s">
        <v>6</v>
      </c>
      <c r="B8884">
        <v>36</v>
      </c>
      <c r="C8884" t="str">
        <f>CHOOSE(MATCH(B8884, {20,25,30,35,40,45,50,55,60,65,70,75,80,85}, 1), "20-24", "25-29", "30-34", "35-39", "40-44", "45-49", "50-54", "55-59", "60-64", "65-69", "70-74", "75-79", "80-84", "85+")</f>
        <v>35-39</v>
      </c>
      <c r="D8884" t="s">
        <v>7</v>
      </c>
    </row>
    <row r="8885" spans="1:4">
      <c r="A8885" t="s">
        <v>6</v>
      </c>
      <c r="B8885">
        <v>26</v>
      </c>
      <c r="C8885" t="str">
        <f>CHOOSE(MATCH(B8885, {20,25,30,35,40,45,50,55,60,65,70,75,80,85}, 1), "20-24", "25-29", "30-34", "35-39", "40-44", "45-49", "50-54", "55-59", "60-64", "65-69", "70-74", "75-79", "80-84", "85+")</f>
        <v>25-29</v>
      </c>
      <c r="D8885" t="s">
        <v>7</v>
      </c>
    </row>
    <row r="8886" spans="1:4">
      <c r="A8886" t="s">
        <v>6</v>
      </c>
      <c r="B8886">
        <v>40</v>
      </c>
      <c r="C8886" t="str">
        <f>CHOOSE(MATCH(B8886, {20,25,30,35,40,45,50,55,60,65,70,75,80,85}, 1), "20-24", "25-29", "30-34", "35-39", "40-44", "45-49", "50-54", "55-59", "60-64", "65-69", "70-74", "75-79", "80-84", "85+")</f>
        <v>40-44</v>
      </c>
      <c r="D8886" t="s">
        <v>7</v>
      </c>
    </row>
    <row r="8887" spans="1:4">
      <c r="A8887" t="s">
        <v>6</v>
      </c>
      <c r="B8887">
        <v>23</v>
      </c>
      <c r="C8887" t="str">
        <f>CHOOSE(MATCH(B8887, {20,25,30,35,40,45,50,55,60,65,70,75,80,85}, 1), "20-24", "25-29", "30-34", "35-39", "40-44", "45-49", "50-54", "55-59", "60-64", "65-69", "70-74", "75-79", "80-84", "85+")</f>
        <v>20-24</v>
      </c>
      <c r="D8887" t="s">
        <v>7</v>
      </c>
    </row>
    <row r="8888" spans="1:4">
      <c r="A8888" t="s">
        <v>6</v>
      </c>
      <c r="B8888">
        <v>44</v>
      </c>
      <c r="C8888" t="str">
        <f>CHOOSE(MATCH(B8888, {20,25,30,35,40,45,50,55,60,65,70,75,80,85}, 1), "20-24", "25-29", "30-34", "35-39", "40-44", "45-49", "50-54", "55-59", "60-64", "65-69", "70-74", "75-79", "80-84", "85+")</f>
        <v>40-44</v>
      </c>
      <c r="D8888" t="s">
        <v>7</v>
      </c>
    </row>
    <row r="8889" spans="1:4">
      <c r="A8889" t="s">
        <v>6</v>
      </c>
      <c r="B8889">
        <v>44</v>
      </c>
      <c r="C8889" t="str">
        <f>CHOOSE(MATCH(B8889, {20,25,30,35,40,45,50,55,60,65,70,75,80,85}, 1), "20-24", "25-29", "30-34", "35-39", "40-44", "45-49", "50-54", "55-59", "60-64", "65-69", "70-74", "75-79", "80-84", "85+")</f>
        <v>40-44</v>
      </c>
      <c r="D8889" t="s">
        <v>7</v>
      </c>
    </row>
    <row r="8890" spans="1:4">
      <c r="A8890" t="s">
        <v>6</v>
      </c>
      <c r="B8890">
        <v>47</v>
      </c>
      <c r="C8890" t="str">
        <f>CHOOSE(MATCH(B8890, {20,25,30,35,40,45,50,55,60,65,70,75,80,85}, 1), "20-24", "25-29", "30-34", "35-39", "40-44", "45-49", "50-54", "55-59", "60-64", "65-69", "70-74", "75-79", "80-84", "85+")</f>
        <v>45-49</v>
      </c>
      <c r="D8890" t="s">
        <v>7</v>
      </c>
    </row>
    <row r="8891" spans="1:4">
      <c r="A8891" t="s">
        <v>6</v>
      </c>
      <c r="B8891">
        <v>30</v>
      </c>
      <c r="C8891" t="str">
        <f>CHOOSE(MATCH(B8891, {20,25,30,35,40,45,50,55,60,65,70,75,80,85}, 1), "20-24", "25-29", "30-34", "35-39", "40-44", "45-49", "50-54", "55-59", "60-64", "65-69", "70-74", "75-79", "80-84", "85+")</f>
        <v>30-34</v>
      </c>
      <c r="D8891" t="s">
        <v>7</v>
      </c>
    </row>
    <row r="8892" spans="1:4">
      <c r="A8892" t="s">
        <v>6</v>
      </c>
      <c r="B8892">
        <v>25</v>
      </c>
      <c r="C8892" t="str">
        <f>CHOOSE(MATCH(B8892, {20,25,30,35,40,45,50,55,60,65,70,75,80,85}, 1), "20-24", "25-29", "30-34", "35-39", "40-44", "45-49", "50-54", "55-59", "60-64", "65-69", "70-74", "75-79", "80-84", "85+")</f>
        <v>25-29</v>
      </c>
      <c r="D8892" t="s">
        <v>7</v>
      </c>
    </row>
    <row r="8893" spans="1:4">
      <c r="A8893" t="s">
        <v>6</v>
      </c>
      <c r="B8893">
        <v>52</v>
      </c>
      <c r="C8893" t="str">
        <f>CHOOSE(MATCH(B8893, {20,25,30,35,40,45,50,55,60,65,70,75,80,85}, 1), "20-24", "25-29", "30-34", "35-39", "40-44", "45-49", "50-54", "55-59", "60-64", "65-69", "70-74", "75-79", "80-84", "85+")</f>
        <v>50-54</v>
      </c>
      <c r="D8893" t="s">
        <v>7</v>
      </c>
    </row>
    <row r="8894" spans="1:4">
      <c r="A8894" t="s">
        <v>6</v>
      </c>
      <c r="B8894">
        <v>25</v>
      </c>
      <c r="C8894" t="str">
        <f>CHOOSE(MATCH(B8894, {20,25,30,35,40,45,50,55,60,65,70,75,80,85}, 1), "20-24", "25-29", "30-34", "35-39", "40-44", "45-49", "50-54", "55-59", "60-64", "65-69", "70-74", "75-79", "80-84", "85+")</f>
        <v>25-29</v>
      </c>
      <c r="D8894" t="s">
        <v>7</v>
      </c>
    </row>
    <row r="8895" spans="1:4">
      <c r="A8895" t="s">
        <v>6</v>
      </c>
      <c r="B8895">
        <v>43</v>
      </c>
      <c r="C8895" t="str">
        <f>CHOOSE(MATCH(B8895, {20,25,30,35,40,45,50,55,60,65,70,75,80,85}, 1), "20-24", "25-29", "30-34", "35-39", "40-44", "45-49", "50-54", "55-59", "60-64", "65-69", "70-74", "75-79", "80-84", "85+")</f>
        <v>40-44</v>
      </c>
      <c r="D8895" t="s">
        <v>7</v>
      </c>
    </row>
    <row r="8896" spans="1:4">
      <c r="A8896" t="s">
        <v>6</v>
      </c>
      <c r="B8896">
        <v>59</v>
      </c>
      <c r="C8896" t="str">
        <f>CHOOSE(MATCH(B8896, {20,25,30,35,40,45,50,55,60,65,70,75,80,85}, 1), "20-24", "25-29", "30-34", "35-39", "40-44", "45-49", "50-54", "55-59", "60-64", "65-69", "70-74", "75-79", "80-84", "85+")</f>
        <v>55-59</v>
      </c>
      <c r="D8896" t="s">
        <v>7</v>
      </c>
    </row>
    <row r="8897" spans="1:4">
      <c r="A8897" t="s">
        <v>6</v>
      </c>
      <c r="B8897">
        <v>33</v>
      </c>
      <c r="C8897" t="str">
        <f>CHOOSE(MATCH(B8897, {20,25,30,35,40,45,50,55,60,65,70,75,80,85}, 1), "20-24", "25-29", "30-34", "35-39", "40-44", "45-49", "50-54", "55-59", "60-64", "65-69", "70-74", "75-79", "80-84", "85+")</f>
        <v>30-34</v>
      </c>
      <c r="D8897" t="s">
        <v>8</v>
      </c>
    </row>
    <row r="8898" spans="1:4">
      <c r="A8898" t="s">
        <v>6</v>
      </c>
      <c r="B8898">
        <v>60</v>
      </c>
      <c r="C8898" t="str">
        <f>CHOOSE(MATCH(B8898, {20,25,30,35,40,45,50,55,60,65,70,75,80,85}, 1), "20-24", "25-29", "30-34", "35-39", "40-44", "45-49", "50-54", "55-59", "60-64", "65-69", "70-74", "75-79", "80-84", "85+")</f>
        <v>60-64</v>
      </c>
      <c r="D8898" t="s">
        <v>8</v>
      </c>
    </row>
    <row r="8899" spans="1:4">
      <c r="A8899" t="s">
        <v>6</v>
      </c>
      <c r="B8899">
        <v>44</v>
      </c>
      <c r="C8899" t="str">
        <f>CHOOSE(MATCH(B8899, {20,25,30,35,40,45,50,55,60,65,70,75,80,85}, 1), "20-24", "25-29", "30-34", "35-39", "40-44", "45-49", "50-54", "55-59", "60-64", "65-69", "70-74", "75-79", "80-84", "85+")</f>
        <v>40-44</v>
      </c>
      <c r="D8899" t="s">
        <v>7</v>
      </c>
    </row>
    <row r="8900" spans="1:4">
      <c r="A8900" t="s">
        <v>6</v>
      </c>
      <c r="B8900">
        <v>28</v>
      </c>
      <c r="C8900" t="str">
        <f>CHOOSE(MATCH(B8900, {20,25,30,35,40,45,50,55,60,65,70,75,80,85}, 1), "20-24", "25-29", "30-34", "35-39", "40-44", "45-49", "50-54", "55-59", "60-64", "65-69", "70-74", "75-79", "80-84", "85+")</f>
        <v>25-29</v>
      </c>
      <c r="D8900" t="s">
        <v>7</v>
      </c>
    </row>
    <row r="8901" spans="1:4">
      <c r="A8901" t="s">
        <v>6</v>
      </c>
      <c r="B8901">
        <v>85</v>
      </c>
      <c r="C8901" t="str">
        <f>CHOOSE(MATCH(B8901, {20,25,30,35,40,45,50,55,60,65,70,75,80,85}, 1), "20-24", "25-29", "30-34", "35-39", "40-44", "45-49", "50-54", "55-59", "60-64", "65-69", "70-74", "75-79", "80-84", "85+")</f>
        <v>85+</v>
      </c>
      <c r="D8901" t="s">
        <v>7</v>
      </c>
    </row>
    <row r="8902" spans="1:4">
      <c r="A8902" t="s">
        <v>6</v>
      </c>
      <c r="B8902">
        <v>29</v>
      </c>
      <c r="C8902" t="str">
        <f>CHOOSE(MATCH(B8902, {20,25,30,35,40,45,50,55,60,65,70,75,80,85}, 1), "20-24", "25-29", "30-34", "35-39", "40-44", "45-49", "50-54", "55-59", "60-64", "65-69", "70-74", "75-79", "80-84", "85+")</f>
        <v>25-29</v>
      </c>
      <c r="D8902" t="s">
        <v>7</v>
      </c>
    </row>
    <row r="8903" spans="1:4">
      <c r="A8903" t="s">
        <v>6</v>
      </c>
      <c r="B8903">
        <v>63</v>
      </c>
      <c r="C8903" t="str">
        <f>CHOOSE(MATCH(B8903, {20,25,30,35,40,45,50,55,60,65,70,75,80,85}, 1), "20-24", "25-29", "30-34", "35-39", "40-44", "45-49", "50-54", "55-59", "60-64", "65-69", "70-74", "75-79", "80-84", "85+")</f>
        <v>60-64</v>
      </c>
      <c r="D8903" t="s">
        <v>7</v>
      </c>
    </row>
    <row r="8904" spans="1:4">
      <c r="A8904" t="s">
        <v>6</v>
      </c>
      <c r="B8904">
        <v>29</v>
      </c>
      <c r="C8904" t="str">
        <f>CHOOSE(MATCH(B8904, {20,25,30,35,40,45,50,55,60,65,70,75,80,85}, 1), "20-24", "25-29", "30-34", "35-39", "40-44", "45-49", "50-54", "55-59", "60-64", "65-69", "70-74", "75-79", "80-84", "85+")</f>
        <v>25-29</v>
      </c>
      <c r="D8904" t="s">
        <v>7</v>
      </c>
    </row>
    <row r="8905" spans="1:4">
      <c r="A8905" t="s">
        <v>6</v>
      </c>
      <c r="B8905">
        <v>81</v>
      </c>
      <c r="C8905" t="str">
        <f>CHOOSE(MATCH(B8905, {20,25,30,35,40,45,50,55,60,65,70,75,80,85}, 1), "20-24", "25-29", "30-34", "35-39", "40-44", "45-49", "50-54", "55-59", "60-64", "65-69", "70-74", "75-79", "80-84", "85+")</f>
        <v>80-84</v>
      </c>
      <c r="D8905" t="s">
        <v>8</v>
      </c>
    </row>
    <row r="8906" spans="1:4">
      <c r="A8906" t="s">
        <v>6</v>
      </c>
      <c r="B8906">
        <v>32</v>
      </c>
      <c r="C8906" t="str">
        <f>CHOOSE(MATCH(B8906, {20,25,30,35,40,45,50,55,60,65,70,75,80,85}, 1), "20-24", "25-29", "30-34", "35-39", "40-44", "45-49", "50-54", "55-59", "60-64", "65-69", "70-74", "75-79", "80-84", "85+")</f>
        <v>30-34</v>
      </c>
      <c r="D8906" t="s">
        <v>7</v>
      </c>
    </row>
    <row r="8907" spans="1:4">
      <c r="A8907" t="s">
        <v>6</v>
      </c>
      <c r="B8907">
        <v>70</v>
      </c>
      <c r="C8907" t="str">
        <f>CHOOSE(MATCH(B8907, {20,25,30,35,40,45,50,55,60,65,70,75,80,85}, 1), "20-24", "25-29", "30-34", "35-39", "40-44", "45-49", "50-54", "55-59", "60-64", "65-69", "70-74", "75-79", "80-84", "85+")</f>
        <v>70-74</v>
      </c>
      <c r="D8907" t="s">
        <v>8</v>
      </c>
    </row>
    <row r="8908" spans="1:4">
      <c r="A8908" t="s">
        <v>6</v>
      </c>
      <c r="B8908">
        <v>48</v>
      </c>
      <c r="C8908" t="str">
        <f>CHOOSE(MATCH(B8908, {20,25,30,35,40,45,50,55,60,65,70,75,80,85}, 1), "20-24", "25-29", "30-34", "35-39", "40-44", "45-49", "50-54", "55-59", "60-64", "65-69", "70-74", "75-79", "80-84", "85+")</f>
        <v>45-49</v>
      </c>
      <c r="D8908" t="s">
        <v>7</v>
      </c>
    </row>
    <row r="8909" spans="1:4">
      <c r="A8909" t="s">
        <v>6</v>
      </c>
      <c r="B8909">
        <v>39</v>
      </c>
      <c r="C8909" t="str">
        <f>CHOOSE(MATCH(B8909, {20,25,30,35,40,45,50,55,60,65,70,75,80,85}, 1), "20-24", "25-29", "30-34", "35-39", "40-44", "45-49", "50-54", "55-59", "60-64", "65-69", "70-74", "75-79", "80-84", "85+")</f>
        <v>35-39</v>
      </c>
      <c r="D8909" t="s">
        <v>8</v>
      </c>
    </row>
    <row r="8910" spans="1:4">
      <c r="A8910" t="s">
        <v>6</v>
      </c>
      <c r="B8910">
        <v>32</v>
      </c>
      <c r="C8910" t="str">
        <f>CHOOSE(MATCH(B8910, {20,25,30,35,40,45,50,55,60,65,70,75,80,85}, 1), "20-24", "25-29", "30-34", "35-39", "40-44", "45-49", "50-54", "55-59", "60-64", "65-69", "70-74", "75-79", "80-84", "85+")</f>
        <v>30-34</v>
      </c>
      <c r="D8910" t="s">
        <v>7</v>
      </c>
    </row>
    <row r="8911" spans="1:4">
      <c r="A8911" t="s">
        <v>6</v>
      </c>
      <c r="B8911">
        <v>53</v>
      </c>
      <c r="C8911" t="str">
        <f>CHOOSE(MATCH(B8911, {20,25,30,35,40,45,50,55,60,65,70,75,80,85}, 1), "20-24", "25-29", "30-34", "35-39", "40-44", "45-49", "50-54", "55-59", "60-64", "65-69", "70-74", "75-79", "80-84", "85+")</f>
        <v>50-54</v>
      </c>
      <c r="D8911" t="s">
        <v>7</v>
      </c>
    </row>
    <row r="8912" spans="1:4">
      <c r="A8912" t="s">
        <v>6</v>
      </c>
      <c r="B8912">
        <v>25</v>
      </c>
      <c r="C8912" t="str">
        <f>CHOOSE(MATCH(B8912, {20,25,30,35,40,45,50,55,60,65,70,75,80,85}, 1), "20-24", "25-29", "30-34", "35-39", "40-44", "45-49", "50-54", "55-59", "60-64", "65-69", "70-74", "75-79", "80-84", "85+")</f>
        <v>25-29</v>
      </c>
      <c r="D8912" t="s">
        <v>8</v>
      </c>
    </row>
    <row r="8913" spans="1:4">
      <c r="A8913" t="s">
        <v>6</v>
      </c>
      <c r="B8913">
        <v>36</v>
      </c>
      <c r="C8913" t="str">
        <f>CHOOSE(MATCH(B8913, {20,25,30,35,40,45,50,55,60,65,70,75,80,85}, 1), "20-24", "25-29", "30-34", "35-39", "40-44", "45-49", "50-54", "55-59", "60-64", "65-69", "70-74", "75-79", "80-84", "85+")</f>
        <v>35-39</v>
      </c>
      <c r="D8913" t="s">
        <v>8</v>
      </c>
    </row>
    <row r="8914" spans="1:4">
      <c r="A8914" t="s">
        <v>6</v>
      </c>
      <c r="B8914">
        <v>34</v>
      </c>
      <c r="C8914" t="str">
        <f>CHOOSE(MATCH(B8914, {20,25,30,35,40,45,50,55,60,65,70,75,80,85}, 1), "20-24", "25-29", "30-34", "35-39", "40-44", "45-49", "50-54", "55-59", "60-64", "65-69", "70-74", "75-79", "80-84", "85+")</f>
        <v>30-34</v>
      </c>
      <c r="D8914" t="s">
        <v>7</v>
      </c>
    </row>
    <row r="8915" spans="1:4">
      <c r="A8915" t="s">
        <v>6</v>
      </c>
      <c r="B8915">
        <v>35</v>
      </c>
      <c r="C8915" t="str">
        <f>CHOOSE(MATCH(B8915, {20,25,30,35,40,45,50,55,60,65,70,75,80,85}, 1), "20-24", "25-29", "30-34", "35-39", "40-44", "45-49", "50-54", "55-59", "60-64", "65-69", "70-74", "75-79", "80-84", "85+")</f>
        <v>35-39</v>
      </c>
      <c r="D8915" t="s">
        <v>7</v>
      </c>
    </row>
    <row r="8916" spans="1:4">
      <c r="A8916" t="s">
        <v>6</v>
      </c>
      <c r="B8916">
        <v>35</v>
      </c>
      <c r="C8916" t="str">
        <f>CHOOSE(MATCH(B8916, {20,25,30,35,40,45,50,55,60,65,70,75,80,85}, 1), "20-24", "25-29", "30-34", "35-39", "40-44", "45-49", "50-54", "55-59", "60-64", "65-69", "70-74", "75-79", "80-84", "85+")</f>
        <v>35-39</v>
      </c>
      <c r="D8916" t="s">
        <v>7</v>
      </c>
    </row>
    <row r="8917" spans="1:4">
      <c r="A8917" t="s">
        <v>6</v>
      </c>
      <c r="B8917">
        <v>30</v>
      </c>
      <c r="C8917" t="str">
        <f>CHOOSE(MATCH(B8917, {20,25,30,35,40,45,50,55,60,65,70,75,80,85}, 1), "20-24", "25-29", "30-34", "35-39", "40-44", "45-49", "50-54", "55-59", "60-64", "65-69", "70-74", "75-79", "80-84", "85+")</f>
        <v>30-34</v>
      </c>
      <c r="D8917" t="s">
        <v>7</v>
      </c>
    </row>
    <row r="8918" spans="1:4">
      <c r="A8918" t="s">
        <v>6</v>
      </c>
      <c r="B8918">
        <v>37</v>
      </c>
      <c r="C8918" t="str">
        <f>CHOOSE(MATCH(B8918, {20,25,30,35,40,45,50,55,60,65,70,75,80,85}, 1), "20-24", "25-29", "30-34", "35-39", "40-44", "45-49", "50-54", "55-59", "60-64", "65-69", "70-74", "75-79", "80-84", "85+")</f>
        <v>35-39</v>
      </c>
      <c r="D8918" t="s">
        <v>8</v>
      </c>
    </row>
    <row r="8919" spans="1:4">
      <c r="A8919" t="s">
        <v>6</v>
      </c>
      <c r="B8919">
        <v>37</v>
      </c>
      <c r="C8919" t="str">
        <f>CHOOSE(MATCH(B8919, {20,25,30,35,40,45,50,55,60,65,70,75,80,85}, 1), "20-24", "25-29", "30-34", "35-39", "40-44", "45-49", "50-54", "55-59", "60-64", "65-69", "70-74", "75-79", "80-84", "85+")</f>
        <v>35-39</v>
      </c>
      <c r="D8919" t="s">
        <v>8</v>
      </c>
    </row>
    <row r="8920" spans="1:4">
      <c r="A8920" t="s">
        <v>6</v>
      </c>
      <c r="B8920">
        <v>26</v>
      </c>
      <c r="C8920" t="str">
        <f>CHOOSE(MATCH(B8920, {20,25,30,35,40,45,50,55,60,65,70,75,80,85}, 1), "20-24", "25-29", "30-34", "35-39", "40-44", "45-49", "50-54", "55-59", "60-64", "65-69", "70-74", "75-79", "80-84", "85+")</f>
        <v>25-29</v>
      </c>
      <c r="D8920" t="s">
        <v>8</v>
      </c>
    </row>
    <row r="8921" spans="1:4">
      <c r="A8921" t="s">
        <v>6</v>
      </c>
      <c r="B8921">
        <v>44</v>
      </c>
      <c r="C8921" t="str">
        <f>CHOOSE(MATCH(B8921, {20,25,30,35,40,45,50,55,60,65,70,75,80,85}, 1), "20-24", "25-29", "30-34", "35-39", "40-44", "45-49", "50-54", "55-59", "60-64", "65-69", "70-74", "75-79", "80-84", "85+")</f>
        <v>40-44</v>
      </c>
      <c r="D8921" t="s">
        <v>7</v>
      </c>
    </row>
    <row r="8922" spans="1:4">
      <c r="A8922" t="s">
        <v>6</v>
      </c>
      <c r="B8922">
        <v>31</v>
      </c>
      <c r="C8922" t="str">
        <f>CHOOSE(MATCH(B8922, {20,25,30,35,40,45,50,55,60,65,70,75,80,85}, 1), "20-24", "25-29", "30-34", "35-39", "40-44", "45-49", "50-54", "55-59", "60-64", "65-69", "70-74", "75-79", "80-84", "85+")</f>
        <v>30-34</v>
      </c>
      <c r="D8922" t="s">
        <v>7</v>
      </c>
    </row>
    <row r="8923" spans="1:4">
      <c r="A8923" t="s">
        <v>6</v>
      </c>
      <c r="B8923">
        <v>22</v>
      </c>
      <c r="C8923" t="str">
        <f>CHOOSE(MATCH(B8923, {20,25,30,35,40,45,50,55,60,65,70,75,80,85}, 1), "20-24", "25-29", "30-34", "35-39", "40-44", "45-49", "50-54", "55-59", "60-64", "65-69", "70-74", "75-79", "80-84", "85+")</f>
        <v>20-24</v>
      </c>
      <c r="D8923" t="s">
        <v>7</v>
      </c>
    </row>
    <row r="8924" spans="1:4">
      <c r="A8924" t="s">
        <v>6</v>
      </c>
      <c r="B8924">
        <v>35</v>
      </c>
      <c r="C8924" t="str">
        <f>CHOOSE(MATCH(B8924, {20,25,30,35,40,45,50,55,60,65,70,75,80,85}, 1), "20-24", "25-29", "30-34", "35-39", "40-44", "45-49", "50-54", "55-59", "60-64", "65-69", "70-74", "75-79", "80-84", "85+")</f>
        <v>35-39</v>
      </c>
      <c r="D8924" t="s">
        <v>8</v>
      </c>
    </row>
    <row r="8925" spans="1:4">
      <c r="A8925" t="s">
        <v>6</v>
      </c>
      <c r="B8925">
        <v>84</v>
      </c>
      <c r="C8925" t="str">
        <f>CHOOSE(MATCH(B8925, {20,25,30,35,40,45,50,55,60,65,70,75,80,85}, 1), "20-24", "25-29", "30-34", "35-39", "40-44", "45-49", "50-54", "55-59", "60-64", "65-69", "70-74", "75-79", "80-84", "85+")</f>
        <v>80-84</v>
      </c>
      <c r="D8925" t="s">
        <v>8</v>
      </c>
    </row>
    <row r="8926" spans="1:4">
      <c r="A8926" t="s">
        <v>6</v>
      </c>
      <c r="B8926">
        <v>50</v>
      </c>
      <c r="C8926" t="str">
        <f>CHOOSE(MATCH(B8926, {20,25,30,35,40,45,50,55,60,65,70,75,80,85}, 1), "20-24", "25-29", "30-34", "35-39", "40-44", "45-49", "50-54", "55-59", "60-64", "65-69", "70-74", "75-79", "80-84", "85+")</f>
        <v>50-54</v>
      </c>
      <c r="D8926" t="s">
        <v>7</v>
      </c>
    </row>
    <row r="8927" spans="1:4">
      <c r="A8927" t="s">
        <v>6</v>
      </c>
      <c r="B8927">
        <v>20</v>
      </c>
      <c r="C8927" t="str">
        <f>CHOOSE(MATCH(B8927, {20,25,30,35,40,45,50,55,60,65,70,75,80,85}, 1), "20-24", "25-29", "30-34", "35-39", "40-44", "45-49", "50-54", "55-59", "60-64", "65-69", "70-74", "75-79", "80-84", "85+")</f>
        <v>20-24</v>
      </c>
      <c r="D8927" t="s">
        <v>7</v>
      </c>
    </row>
    <row r="8928" spans="1:4">
      <c r="A8928" t="s">
        <v>6</v>
      </c>
      <c r="B8928">
        <v>27</v>
      </c>
      <c r="C8928" t="str">
        <f>CHOOSE(MATCH(B8928, {20,25,30,35,40,45,50,55,60,65,70,75,80,85}, 1), "20-24", "25-29", "30-34", "35-39", "40-44", "45-49", "50-54", "55-59", "60-64", "65-69", "70-74", "75-79", "80-84", "85+")</f>
        <v>25-29</v>
      </c>
      <c r="D8928" t="s">
        <v>7</v>
      </c>
    </row>
    <row r="8929" spans="1:4">
      <c r="A8929" t="s">
        <v>6</v>
      </c>
      <c r="B8929">
        <v>56</v>
      </c>
      <c r="C8929" t="str">
        <f>CHOOSE(MATCH(B8929, {20,25,30,35,40,45,50,55,60,65,70,75,80,85}, 1), "20-24", "25-29", "30-34", "35-39", "40-44", "45-49", "50-54", "55-59", "60-64", "65-69", "70-74", "75-79", "80-84", "85+")</f>
        <v>55-59</v>
      </c>
      <c r="D8929" t="s">
        <v>7</v>
      </c>
    </row>
    <row r="8930" spans="1:4">
      <c r="A8930" t="s">
        <v>6</v>
      </c>
      <c r="B8930">
        <v>41</v>
      </c>
      <c r="C8930" t="str">
        <f>CHOOSE(MATCH(B8930, {20,25,30,35,40,45,50,55,60,65,70,75,80,85}, 1), "20-24", "25-29", "30-34", "35-39", "40-44", "45-49", "50-54", "55-59", "60-64", "65-69", "70-74", "75-79", "80-84", "85+")</f>
        <v>40-44</v>
      </c>
      <c r="D8930" t="s">
        <v>8</v>
      </c>
    </row>
    <row r="8931" spans="1:4">
      <c r="A8931" t="s">
        <v>6</v>
      </c>
      <c r="B8931">
        <v>74</v>
      </c>
      <c r="C8931" t="str">
        <f>CHOOSE(MATCH(B8931, {20,25,30,35,40,45,50,55,60,65,70,75,80,85}, 1), "20-24", "25-29", "30-34", "35-39", "40-44", "45-49", "50-54", "55-59", "60-64", "65-69", "70-74", "75-79", "80-84", "85+")</f>
        <v>70-74</v>
      </c>
      <c r="D8931" t="s">
        <v>8</v>
      </c>
    </row>
    <row r="8932" spans="1:4">
      <c r="A8932" t="s">
        <v>6</v>
      </c>
      <c r="B8932">
        <v>32</v>
      </c>
      <c r="C8932" t="str">
        <f>CHOOSE(MATCH(B8932, {20,25,30,35,40,45,50,55,60,65,70,75,80,85}, 1), "20-24", "25-29", "30-34", "35-39", "40-44", "45-49", "50-54", "55-59", "60-64", "65-69", "70-74", "75-79", "80-84", "85+")</f>
        <v>30-34</v>
      </c>
      <c r="D8932" t="s">
        <v>8</v>
      </c>
    </row>
    <row r="8933" spans="1:4">
      <c r="A8933" t="s">
        <v>6</v>
      </c>
      <c r="B8933">
        <v>45</v>
      </c>
      <c r="C8933" t="str">
        <f>CHOOSE(MATCH(B8933, {20,25,30,35,40,45,50,55,60,65,70,75,80,85}, 1), "20-24", "25-29", "30-34", "35-39", "40-44", "45-49", "50-54", "55-59", "60-64", "65-69", "70-74", "75-79", "80-84", "85+")</f>
        <v>45-49</v>
      </c>
      <c r="D8933" t="s">
        <v>7</v>
      </c>
    </row>
    <row r="8934" spans="1:4">
      <c r="A8934" t="s">
        <v>6</v>
      </c>
      <c r="B8934">
        <v>37</v>
      </c>
      <c r="C8934" t="str">
        <f>CHOOSE(MATCH(B8934, {20,25,30,35,40,45,50,55,60,65,70,75,80,85}, 1), "20-24", "25-29", "30-34", "35-39", "40-44", "45-49", "50-54", "55-59", "60-64", "65-69", "70-74", "75-79", "80-84", "85+")</f>
        <v>35-39</v>
      </c>
      <c r="D8934" t="s">
        <v>8</v>
      </c>
    </row>
    <row r="8935" spans="1:4">
      <c r="A8935" t="s">
        <v>6</v>
      </c>
      <c r="B8935">
        <v>20</v>
      </c>
      <c r="C8935" t="str">
        <f>CHOOSE(MATCH(B8935, {20,25,30,35,40,45,50,55,60,65,70,75,80,85}, 1), "20-24", "25-29", "30-34", "35-39", "40-44", "45-49", "50-54", "55-59", "60-64", "65-69", "70-74", "75-79", "80-84", "85+")</f>
        <v>20-24</v>
      </c>
      <c r="D8935" t="s">
        <v>8</v>
      </c>
    </row>
    <row r="8936" spans="1:4">
      <c r="A8936" t="s">
        <v>6</v>
      </c>
      <c r="B8936">
        <v>39</v>
      </c>
      <c r="C8936" t="str">
        <f>CHOOSE(MATCH(B8936, {20,25,30,35,40,45,50,55,60,65,70,75,80,85}, 1), "20-24", "25-29", "30-34", "35-39", "40-44", "45-49", "50-54", "55-59", "60-64", "65-69", "70-74", "75-79", "80-84", "85+")</f>
        <v>35-39</v>
      </c>
      <c r="D8936" t="s">
        <v>7</v>
      </c>
    </row>
    <row r="8937" spans="1:4">
      <c r="A8937" t="s">
        <v>6</v>
      </c>
      <c r="B8937">
        <v>73</v>
      </c>
      <c r="C8937" t="str">
        <f>CHOOSE(MATCH(B8937, {20,25,30,35,40,45,50,55,60,65,70,75,80,85}, 1), "20-24", "25-29", "30-34", "35-39", "40-44", "45-49", "50-54", "55-59", "60-64", "65-69", "70-74", "75-79", "80-84", "85+")</f>
        <v>70-74</v>
      </c>
      <c r="D8937" t="s">
        <v>7</v>
      </c>
    </row>
    <row r="8938" spans="1:4">
      <c r="A8938" t="s">
        <v>6</v>
      </c>
      <c r="B8938">
        <v>35</v>
      </c>
      <c r="C8938" t="str">
        <f>CHOOSE(MATCH(B8938, {20,25,30,35,40,45,50,55,60,65,70,75,80,85}, 1), "20-24", "25-29", "30-34", "35-39", "40-44", "45-49", "50-54", "55-59", "60-64", "65-69", "70-74", "75-79", "80-84", "85+")</f>
        <v>35-39</v>
      </c>
      <c r="D8938" t="s">
        <v>7</v>
      </c>
    </row>
    <row r="8939" spans="1:4">
      <c r="A8939" t="s">
        <v>6</v>
      </c>
      <c r="B8939">
        <v>31</v>
      </c>
      <c r="C8939" t="str">
        <f>CHOOSE(MATCH(B8939, {20,25,30,35,40,45,50,55,60,65,70,75,80,85}, 1), "20-24", "25-29", "30-34", "35-39", "40-44", "45-49", "50-54", "55-59", "60-64", "65-69", "70-74", "75-79", "80-84", "85+")</f>
        <v>30-34</v>
      </c>
      <c r="D8939" t="s">
        <v>7</v>
      </c>
    </row>
    <row r="8940" spans="1:4">
      <c r="A8940" t="s">
        <v>6</v>
      </c>
      <c r="B8940">
        <v>43</v>
      </c>
      <c r="C8940" t="str">
        <f>CHOOSE(MATCH(B8940, {20,25,30,35,40,45,50,55,60,65,70,75,80,85}, 1), "20-24", "25-29", "30-34", "35-39", "40-44", "45-49", "50-54", "55-59", "60-64", "65-69", "70-74", "75-79", "80-84", "85+")</f>
        <v>40-44</v>
      </c>
      <c r="D8940" t="s">
        <v>7</v>
      </c>
    </row>
    <row r="8941" spans="1:4">
      <c r="A8941" t="s">
        <v>6</v>
      </c>
      <c r="B8941">
        <v>24</v>
      </c>
      <c r="C8941" t="str">
        <f>CHOOSE(MATCH(B8941, {20,25,30,35,40,45,50,55,60,65,70,75,80,85}, 1), "20-24", "25-29", "30-34", "35-39", "40-44", "45-49", "50-54", "55-59", "60-64", "65-69", "70-74", "75-79", "80-84", "85+")</f>
        <v>20-24</v>
      </c>
      <c r="D8941" t="s">
        <v>8</v>
      </c>
    </row>
    <row r="8942" spans="1:4">
      <c r="A8942" t="s">
        <v>6</v>
      </c>
      <c r="B8942">
        <v>34</v>
      </c>
      <c r="C8942" t="str">
        <f>CHOOSE(MATCH(B8942, {20,25,30,35,40,45,50,55,60,65,70,75,80,85}, 1), "20-24", "25-29", "30-34", "35-39", "40-44", "45-49", "50-54", "55-59", "60-64", "65-69", "70-74", "75-79", "80-84", "85+")</f>
        <v>30-34</v>
      </c>
      <c r="D8942" t="s">
        <v>7</v>
      </c>
    </row>
    <row r="8943" spans="1:4">
      <c r="A8943" t="s">
        <v>6</v>
      </c>
      <c r="B8943">
        <v>73</v>
      </c>
      <c r="C8943" t="str">
        <f>CHOOSE(MATCH(B8943, {20,25,30,35,40,45,50,55,60,65,70,75,80,85}, 1), "20-24", "25-29", "30-34", "35-39", "40-44", "45-49", "50-54", "55-59", "60-64", "65-69", "70-74", "75-79", "80-84", "85+")</f>
        <v>70-74</v>
      </c>
      <c r="D8943" t="s">
        <v>8</v>
      </c>
    </row>
    <row r="8944" spans="1:4">
      <c r="A8944" t="s">
        <v>6</v>
      </c>
      <c r="B8944">
        <v>20</v>
      </c>
      <c r="C8944" t="str">
        <f>CHOOSE(MATCH(B8944, {20,25,30,35,40,45,50,55,60,65,70,75,80,85}, 1), "20-24", "25-29", "30-34", "35-39", "40-44", "45-49", "50-54", "55-59", "60-64", "65-69", "70-74", "75-79", "80-84", "85+")</f>
        <v>20-24</v>
      </c>
      <c r="D8944" t="s">
        <v>7</v>
      </c>
    </row>
    <row r="8945" spans="1:4">
      <c r="A8945" t="s">
        <v>6</v>
      </c>
      <c r="B8945">
        <v>54</v>
      </c>
      <c r="C8945" t="str">
        <f>CHOOSE(MATCH(B8945, {20,25,30,35,40,45,50,55,60,65,70,75,80,85}, 1), "20-24", "25-29", "30-34", "35-39", "40-44", "45-49", "50-54", "55-59", "60-64", "65-69", "70-74", "75-79", "80-84", "85+")</f>
        <v>50-54</v>
      </c>
      <c r="D8945" t="s">
        <v>8</v>
      </c>
    </row>
    <row r="8946" spans="1:4">
      <c r="A8946" t="s">
        <v>6</v>
      </c>
      <c r="B8946">
        <v>65</v>
      </c>
      <c r="C8946" t="str">
        <f>CHOOSE(MATCH(B8946, {20,25,30,35,40,45,50,55,60,65,70,75,80,85}, 1), "20-24", "25-29", "30-34", "35-39", "40-44", "45-49", "50-54", "55-59", "60-64", "65-69", "70-74", "75-79", "80-84", "85+")</f>
        <v>65-69</v>
      </c>
      <c r="D8946" t="s">
        <v>8</v>
      </c>
    </row>
    <row r="8947" spans="1:4">
      <c r="A8947" t="s">
        <v>6</v>
      </c>
      <c r="B8947">
        <v>37</v>
      </c>
      <c r="C8947" t="str">
        <f>CHOOSE(MATCH(B8947, {20,25,30,35,40,45,50,55,60,65,70,75,80,85}, 1), "20-24", "25-29", "30-34", "35-39", "40-44", "45-49", "50-54", "55-59", "60-64", "65-69", "70-74", "75-79", "80-84", "85+")</f>
        <v>35-39</v>
      </c>
      <c r="D8947" t="s">
        <v>8</v>
      </c>
    </row>
    <row r="8948" spans="1:4">
      <c r="A8948" t="s">
        <v>6</v>
      </c>
      <c r="B8948">
        <v>25</v>
      </c>
      <c r="C8948" t="str">
        <f>CHOOSE(MATCH(B8948, {20,25,30,35,40,45,50,55,60,65,70,75,80,85}, 1), "20-24", "25-29", "30-34", "35-39", "40-44", "45-49", "50-54", "55-59", "60-64", "65-69", "70-74", "75-79", "80-84", "85+")</f>
        <v>25-29</v>
      </c>
      <c r="D8948" t="s">
        <v>7</v>
      </c>
    </row>
    <row r="8949" spans="1:4">
      <c r="A8949" t="s">
        <v>6</v>
      </c>
      <c r="B8949">
        <v>23</v>
      </c>
      <c r="C8949" t="str">
        <f>CHOOSE(MATCH(B8949, {20,25,30,35,40,45,50,55,60,65,70,75,80,85}, 1), "20-24", "25-29", "30-34", "35-39", "40-44", "45-49", "50-54", "55-59", "60-64", "65-69", "70-74", "75-79", "80-84", "85+")</f>
        <v>20-24</v>
      </c>
      <c r="D8949" t="s">
        <v>8</v>
      </c>
    </row>
    <row r="8950" spans="1:4">
      <c r="A8950" t="s">
        <v>6</v>
      </c>
      <c r="B8950">
        <v>60</v>
      </c>
      <c r="C8950" t="str">
        <f>CHOOSE(MATCH(B8950, {20,25,30,35,40,45,50,55,60,65,70,75,80,85}, 1), "20-24", "25-29", "30-34", "35-39", "40-44", "45-49", "50-54", "55-59", "60-64", "65-69", "70-74", "75-79", "80-84", "85+")</f>
        <v>60-64</v>
      </c>
      <c r="D8950" t="s">
        <v>8</v>
      </c>
    </row>
    <row r="8951" spans="1:4">
      <c r="A8951" t="s">
        <v>6</v>
      </c>
      <c r="B8951">
        <v>51</v>
      </c>
      <c r="C8951" t="str">
        <f>CHOOSE(MATCH(B8951, {20,25,30,35,40,45,50,55,60,65,70,75,80,85}, 1), "20-24", "25-29", "30-34", "35-39", "40-44", "45-49", "50-54", "55-59", "60-64", "65-69", "70-74", "75-79", "80-84", "85+")</f>
        <v>50-54</v>
      </c>
      <c r="D8951" t="s">
        <v>8</v>
      </c>
    </row>
    <row r="8952" spans="1:4">
      <c r="A8952" t="s">
        <v>6</v>
      </c>
      <c r="B8952">
        <v>61</v>
      </c>
      <c r="C8952" t="str">
        <f>CHOOSE(MATCH(B8952, {20,25,30,35,40,45,50,55,60,65,70,75,80,85}, 1), "20-24", "25-29", "30-34", "35-39", "40-44", "45-49", "50-54", "55-59", "60-64", "65-69", "70-74", "75-79", "80-84", "85+")</f>
        <v>60-64</v>
      </c>
      <c r="D8952" t="s">
        <v>8</v>
      </c>
    </row>
    <row r="8953" spans="1:4">
      <c r="A8953" t="s">
        <v>6</v>
      </c>
      <c r="B8953">
        <v>53</v>
      </c>
      <c r="C8953" t="str">
        <f>CHOOSE(MATCH(B8953, {20,25,30,35,40,45,50,55,60,65,70,75,80,85}, 1), "20-24", "25-29", "30-34", "35-39", "40-44", "45-49", "50-54", "55-59", "60-64", "65-69", "70-74", "75-79", "80-84", "85+")</f>
        <v>50-54</v>
      </c>
      <c r="D8953" t="s">
        <v>8</v>
      </c>
    </row>
    <row r="8954" spans="1:4">
      <c r="A8954" t="s">
        <v>6</v>
      </c>
      <c r="B8954">
        <v>43</v>
      </c>
      <c r="C8954" t="str">
        <f>CHOOSE(MATCH(B8954, {20,25,30,35,40,45,50,55,60,65,70,75,80,85}, 1), "20-24", "25-29", "30-34", "35-39", "40-44", "45-49", "50-54", "55-59", "60-64", "65-69", "70-74", "75-79", "80-84", "85+")</f>
        <v>40-44</v>
      </c>
      <c r="D8954" t="s">
        <v>7</v>
      </c>
    </row>
    <row r="8955" spans="1:4">
      <c r="A8955" t="s">
        <v>6</v>
      </c>
      <c r="B8955">
        <v>68</v>
      </c>
      <c r="C8955" t="str">
        <f>CHOOSE(MATCH(B8955, {20,25,30,35,40,45,50,55,60,65,70,75,80,85}, 1), "20-24", "25-29", "30-34", "35-39", "40-44", "45-49", "50-54", "55-59", "60-64", "65-69", "70-74", "75-79", "80-84", "85+")</f>
        <v>65-69</v>
      </c>
      <c r="D8955" t="s">
        <v>8</v>
      </c>
    </row>
    <row r="8956" spans="1:4">
      <c r="A8956" t="s">
        <v>6</v>
      </c>
      <c r="B8956">
        <v>39</v>
      </c>
      <c r="C8956" t="str">
        <f>CHOOSE(MATCH(B8956, {20,25,30,35,40,45,50,55,60,65,70,75,80,85}, 1), "20-24", "25-29", "30-34", "35-39", "40-44", "45-49", "50-54", "55-59", "60-64", "65-69", "70-74", "75-79", "80-84", "85+")</f>
        <v>35-39</v>
      </c>
      <c r="D8956" t="s">
        <v>7</v>
      </c>
    </row>
    <row r="8957" spans="1:4">
      <c r="A8957" t="s">
        <v>6</v>
      </c>
      <c r="B8957">
        <v>29</v>
      </c>
      <c r="C8957" t="str">
        <f>CHOOSE(MATCH(B8957, {20,25,30,35,40,45,50,55,60,65,70,75,80,85}, 1), "20-24", "25-29", "30-34", "35-39", "40-44", "45-49", "50-54", "55-59", "60-64", "65-69", "70-74", "75-79", "80-84", "85+")</f>
        <v>25-29</v>
      </c>
      <c r="D8957" t="s">
        <v>8</v>
      </c>
    </row>
    <row r="8958" spans="1:4">
      <c r="A8958" t="s">
        <v>6</v>
      </c>
      <c r="B8958">
        <v>28</v>
      </c>
      <c r="C8958" t="str">
        <f>CHOOSE(MATCH(B8958, {20,25,30,35,40,45,50,55,60,65,70,75,80,85}, 1), "20-24", "25-29", "30-34", "35-39", "40-44", "45-49", "50-54", "55-59", "60-64", "65-69", "70-74", "75-79", "80-84", "85+")</f>
        <v>25-29</v>
      </c>
      <c r="D8958" t="s">
        <v>8</v>
      </c>
    </row>
    <row r="8959" spans="1:4">
      <c r="A8959" t="s">
        <v>6</v>
      </c>
      <c r="B8959">
        <v>61</v>
      </c>
      <c r="C8959" t="str">
        <f>CHOOSE(MATCH(B8959, {20,25,30,35,40,45,50,55,60,65,70,75,80,85}, 1), "20-24", "25-29", "30-34", "35-39", "40-44", "45-49", "50-54", "55-59", "60-64", "65-69", "70-74", "75-79", "80-84", "85+")</f>
        <v>60-64</v>
      </c>
      <c r="D8959" t="s">
        <v>8</v>
      </c>
    </row>
    <row r="8960" spans="1:4">
      <c r="A8960" t="s">
        <v>6</v>
      </c>
      <c r="B8960">
        <v>30</v>
      </c>
      <c r="C8960" t="str">
        <f>CHOOSE(MATCH(B8960, {20,25,30,35,40,45,50,55,60,65,70,75,80,85}, 1), "20-24", "25-29", "30-34", "35-39", "40-44", "45-49", "50-54", "55-59", "60-64", "65-69", "70-74", "75-79", "80-84", "85+")</f>
        <v>30-34</v>
      </c>
      <c r="D8960" t="s">
        <v>7</v>
      </c>
    </row>
    <row r="8961" spans="1:4">
      <c r="A8961" t="s">
        <v>6</v>
      </c>
      <c r="B8961">
        <v>25</v>
      </c>
      <c r="C8961" t="str">
        <f>CHOOSE(MATCH(B8961, {20,25,30,35,40,45,50,55,60,65,70,75,80,85}, 1), "20-24", "25-29", "30-34", "35-39", "40-44", "45-49", "50-54", "55-59", "60-64", "65-69", "70-74", "75-79", "80-84", "85+")</f>
        <v>25-29</v>
      </c>
      <c r="D8961" t="s">
        <v>8</v>
      </c>
    </row>
    <row r="8962" spans="1:4">
      <c r="A8962" t="s">
        <v>6</v>
      </c>
      <c r="B8962">
        <v>33</v>
      </c>
      <c r="C8962" t="str">
        <f>CHOOSE(MATCH(B8962, {20,25,30,35,40,45,50,55,60,65,70,75,80,85}, 1), "20-24", "25-29", "30-34", "35-39", "40-44", "45-49", "50-54", "55-59", "60-64", "65-69", "70-74", "75-79", "80-84", "85+")</f>
        <v>30-34</v>
      </c>
      <c r="D8962" t="s">
        <v>7</v>
      </c>
    </row>
    <row r="8963" spans="1:4">
      <c r="A8963" t="s">
        <v>6</v>
      </c>
      <c r="B8963">
        <v>37</v>
      </c>
      <c r="C8963" t="str">
        <f>CHOOSE(MATCH(B8963, {20,25,30,35,40,45,50,55,60,65,70,75,80,85}, 1), "20-24", "25-29", "30-34", "35-39", "40-44", "45-49", "50-54", "55-59", "60-64", "65-69", "70-74", "75-79", "80-84", "85+")</f>
        <v>35-39</v>
      </c>
      <c r="D8963" t="s">
        <v>8</v>
      </c>
    </row>
    <row r="8964" spans="1:4">
      <c r="A8964" t="s">
        <v>6</v>
      </c>
      <c r="B8964">
        <v>34</v>
      </c>
      <c r="C8964" t="str">
        <f>CHOOSE(MATCH(B8964, {20,25,30,35,40,45,50,55,60,65,70,75,80,85}, 1), "20-24", "25-29", "30-34", "35-39", "40-44", "45-49", "50-54", "55-59", "60-64", "65-69", "70-74", "75-79", "80-84", "85+")</f>
        <v>30-34</v>
      </c>
      <c r="D8964" t="s">
        <v>8</v>
      </c>
    </row>
    <row r="8965" spans="1:4">
      <c r="A8965" t="s">
        <v>6</v>
      </c>
      <c r="B8965">
        <v>37</v>
      </c>
      <c r="C8965" t="str">
        <f>CHOOSE(MATCH(B8965, {20,25,30,35,40,45,50,55,60,65,70,75,80,85}, 1), "20-24", "25-29", "30-34", "35-39", "40-44", "45-49", "50-54", "55-59", "60-64", "65-69", "70-74", "75-79", "80-84", "85+")</f>
        <v>35-39</v>
      </c>
      <c r="D8965" t="s">
        <v>7</v>
      </c>
    </row>
    <row r="8966" spans="1:4">
      <c r="A8966" t="s">
        <v>6</v>
      </c>
      <c r="B8966">
        <v>42</v>
      </c>
      <c r="C8966" t="str">
        <f>CHOOSE(MATCH(B8966, {20,25,30,35,40,45,50,55,60,65,70,75,80,85}, 1), "20-24", "25-29", "30-34", "35-39", "40-44", "45-49", "50-54", "55-59", "60-64", "65-69", "70-74", "75-79", "80-84", "85+")</f>
        <v>40-44</v>
      </c>
      <c r="D8966" t="s">
        <v>7</v>
      </c>
    </row>
    <row r="8967" spans="1:4">
      <c r="A8967" t="s">
        <v>6</v>
      </c>
      <c r="B8967">
        <v>43</v>
      </c>
      <c r="C8967" t="str">
        <f>CHOOSE(MATCH(B8967, {20,25,30,35,40,45,50,55,60,65,70,75,80,85}, 1), "20-24", "25-29", "30-34", "35-39", "40-44", "45-49", "50-54", "55-59", "60-64", "65-69", "70-74", "75-79", "80-84", "85+")</f>
        <v>40-44</v>
      </c>
      <c r="D8967" t="s">
        <v>8</v>
      </c>
    </row>
    <row r="8968" spans="1:4">
      <c r="A8968" t="s">
        <v>6</v>
      </c>
      <c r="B8968">
        <v>24</v>
      </c>
      <c r="C8968" t="str">
        <f>CHOOSE(MATCH(B8968, {20,25,30,35,40,45,50,55,60,65,70,75,80,85}, 1), "20-24", "25-29", "30-34", "35-39", "40-44", "45-49", "50-54", "55-59", "60-64", "65-69", "70-74", "75-79", "80-84", "85+")</f>
        <v>20-24</v>
      </c>
      <c r="D8968" t="s">
        <v>7</v>
      </c>
    </row>
    <row r="8969" spans="1:4">
      <c r="A8969" t="s">
        <v>6</v>
      </c>
      <c r="B8969">
        <v>36</v>
      </c>
      <c r="C8969" t="str">
        <f>CHOOSE(MATCH(B8969, {20,25,30,35,40,45,50,55,60,65,70,75,80,85}, 1), "20-24", "25-29", "30-34", "35-39", "40-44", "45-49", "50-54", "55-59", "60-64", "65-69", "70-74", "75-79", "80-84", "85+")</f>
        <v>35-39</v>
      </c>
      <c r="D8969" t="s">
        <v>7</v>
      </c>
    </row>
    <row r="8970" spans="1:4">
      <c r="A8970" t="s">
        <v>6</v>
      </c>
      <c r="B8970">
        <v>37</v>
      </c>
      <c r="C8970" t="str">
        <f>CHOOSE(MATCH(B8970, {20,25,30,35,40,45,50,55,60,65,70,75,80,85}, 1), "20-24", "25-29", "30-34", "35-39", "40-44", "45-49", "50-54", "55-59", "60-64", "65-69", "70-74", "75-79", "80-84", "85+")</f>
        <v>35-39</v>
      </c>
      <c r="D8970" t="s">
        <v>8</v>
      </c>
    </row>
    <row r="8971" spans="1:4">
      <c r="A8971" t="s">
        <v>6</v>
      </c>
      <c r="B8971">
        <v>33</v>
      </c>
      <c r="C8971" t="str">
        <f>CHOOSE(MATCH(B8971, {20,25,30,35,40,45,50,55,60,65,70,75,80,85}, 1), "20-24", "25-29", "30-34", "35-39", "40-44", "45-49", "50-54", "55-59", "60-64", "65-69", "70-74", "75-79", "80-84", "85+")</f>
        <v>30-34</v>
      </c>
      <c r="D8971" t="s">
        <v>8</v>
      </c>
    </row>
    <row r="8972" spans="1:4">
      <c r="A8972" t="s">
        <v>6</v>
      </c>
      <c r="B8972">
        <v>26</v>
      </c>
      <c r="C8972" t="str">
        <f>CHOOSE(MATCH(B8972, {20,25,30,35,40,45,50,55,60,65,70,75,80,85}, 1), "20-24", "25-29", "30-34", "35-39", "40-44", "45-49", "50-54", "55-59", "60-64", "65-69", "70-74", "75-79", "80-84", "85+")</f>
        <v>25-29</v>
      </c>
      <c r="D8972" t="s">
        <v>7</v>
      </c>
    </row>
    <row r="8973" spans="1:4">
      <c r="A8973" t="s">
        <v>6</v>
      </c>
      <c r="B8973">
        <v>33</v>
      </c>
      <c r="C8973" t="str">
        <f>CHOOSE(MATCH(B8973, {20,25,30,35,40,45,50,55,60,65,70,75,80,85}, 1), "20-24", "25-29", "30-34", "35-39", "40-44", "45-49", "50-54", "55-59", "60-64", "65-69", "70-74", "75-79", "80-84", "85+")</f>
        <v>30-34</v>
      </c>
      <c r="D8973" t="s">
        <v>7</v>
      </c>
    </row>
    <row r="8974" spans="1:4">
      <c r="A8974" t="s">
        <v>6</v>
      </c>
      <c r="B8974">
        <v>42</v>
      </c>
      <c r="C8974" t="str">
        <f>CHOOSE(MATCH(B8974, {20,25,30,35,40,45,50,55,60,65,70,75,80,85}, 1), "20-24", "25-29", "30-34", "35-39", "40-44", "45-49", "50-54", "55-59", "60-64", "65-69", "70-74", "75-79", "80-84", "85+")</f>
        <v>40-44</v>
      </c>
      <c r="D8974" t="s">
        <v>8</v>
      </c>
    </row>
    <row r="8975" spans="1:4">
      <c r="A8975" t="s">
        <v>6</v>
      </c>
      <c r="B8975">
        <v>70</v>
      </c>
      <c r="C8975" t="str">
        <f>CHOOSE(MATCH(B8975, {20,25,30,35,40,45,50,55,60,65,70,75,80,85}, 1), "20-24", "25-29", "30-34", "35-39", "40-44", "45-49", "50-54", "55-59", "60-64", "65-69", "70-74", "75-79", "80-84", "85+")</f>
        <v>70-74</v>
      </c>
      <c r="D8975" t="s">
        <v>8</v>
      </c>
    </row>
    <row r="8976" spans="1:4">
      <c r="A8976" t="s">
        <v>6</v>
      </c>
      <c r="B8976">
        <v>47</v>
      </c>
      <c r="C8976" t="str">
        <f>CHOOSE(MATCH(B8976, {20,25,30,35,40,45,50,55,60,65,70,75,80,85}, 1), "20-24", "25-29", "30-34", "35-39", "40-44", "45-49", "50-54", "55-59", "60-64", "65-69", "70-74", "75-79", "80-84", "85+")</f>
        <v>45-49</v>
      </c>
      <c r="D8976" t="s">
        <v>7</v>
      </c>
    </row>
    <row r="8977" spans="1:4">
      <c r="A8977" t="s">
        <v>6</v>
      </c>
      <c r="B8977">
        <v>44</v>
      </c>
      <c r="C8977" t="str">
        <f>CHOOSE(MATCH(B8977, {20,25,30,35,40,45,50,55,60,65,70,75,80,85}, 1), "20-24", "25-29", "30-34", "35-39", "40-44", "45-49", "50-54", "55-59", "60-64", "65-69", "70-74", "75-79", "80-84", "85+")</f>
        <v>40-44</v>
      </c>
      <c r="D8977" t="s">
        <v>7</v>
      </c>
    </row>
    <row r="8978" spans="1:4">
      <c r="A8978" t="s">
        <v>6</v>
      </c>
      <c r="B8978">
        <v>39</v>
      </c>
      <c r="C8978" t="str">
        <f>CHOOSE(MATCH(B8978, {20,25,30,35,40,45,50,55,60,65,70,75,80,85}, 1), "20-24", "25-29", "30-34", "35-39", "40-44", "45-49", "50-54", "55-59", "60-64", "65-69", "70-74", "75-79", "80-84", "85+")</f>
        <v>35-39</v>
      </c>
      <c r="D8978" t="s">
        <v>7</v>
      </c>
    </row>
    <row r="8979" spans="1:4">
      <c r="A8979" t="s">
        <v>6</v>
      </c>
      <c r="B8979">
        <v>62</v>
      </c>
      <c r="C8979" t="str">
        <f>CHOOSE(MATCH(B8979, {20,25,30,35,40,45,50,55,60,65,70,75,80,85}, 1), "20-24", "25-29", "30-34", "35-39", "40-44", "45-49", "50-54", "55-59", "60-64", "65-69", "70-74", "75-79", "80-84", "85+")</f>
        <v>60-64</v>
      </c>
      <c r="D8979" t="s">
        <v>7</v>
      </c>
    </row>
    <row r="8980" spans="1:4">
      <c r="A8980" t="s">
        <v>6</v>
      </c>
      <c r="B8980">
        <v>53</v>
      </c>
      <c r="C8980" t="str">
        <f>CHOOSE(MATCH(B8980, {20,25,30,35,40,45,50,55,60,65,70,75,80,85}, 1), "20-24", "25-29", "30-34", "35-39", "40-44", "45-49", "50-54", "55-59", "60-64", "65-69", "70-74", "75-79", "80-84", "85+")</f>
        <v>50-54</v>
      </c>
      <c r="D8980" t="s">
        <v>7</v>
      </c>
    </row>
    <row r="8981" spans="1:4">
      <c r="A8981" t="s">
        <v>6</v>
      </c>
      <c r="B8981">
        <v>46</v>
      </c>
      <c r="C8981" t="str">
        <f>CHOOSE(MATCH(B8981, {20,25,30,35,40,45,50,55,60,65,70,75,80,85}, 1), "20-24", "25-29", "30-34", "35-39", "40-44", "45-49", "50-54", "55-59", "60-64", "65-69", "70-74", "75-79", "80-84", "85+")</f>
        <v>45-49</v>
      </c>
      <c r="D8981" t="s">
        <v>8</v>
      </c>
    </row>
    <row r="8982" spans="1:4">
      <c r="A8982" t="s">
        <v>6</v>
      </c>
      <c r="B8982">
        <v>36</v>
      </c>
      <c r="C8982" t="str">
        <f>CHOOSE(MATCH(B8982, {20,25,30,35,40,45,50,55,60,65,70,75,80,85}, 1), "20-24", "25-29", "30-34", "35-39", "40-44", "45-49", "50-54", "55-59", "60-64", "65-69", "70-74", "75-79", "80-84", "85+")</f>
        <v>35-39</v>
      </c>
      <c r="D8982" t="s">
        <v>8</v>
      </c>
    </row>
    <row r="8983" spans="1:4">
      <c r="A8983" t="s">
        <v>6</v>
      </c>
      <c r="B8983">
        <v>58</v>
      </c>
      <c r="C8983" t="str">
        <f>CHOOSE(MATCH(B8983, {20,25,30,35,40,45,50,55,60,65,70,75,80,85}, 1), "20-24", "25-29", "30-34", "35-39", "40-44", "45-49", "50-54", "55-59", "60-64", "65-69", "70-74", "75-79", "80-84", "85+")</f>
        <v>55-59</v>
      </c>
      <c r="D8983" t="s">
        <v>8</v>
      </c>
    </row>
    <row r="8984" spans="1:4">
      <c r="A8984" t="s">
        <v>6</v>
      </c>
      <c r="B8984">
        <v>32</v>
      </c>
      <c r="C8984" t="str">
        <f>CHOOSE(MATCH(B8984, {20,25,30,35,40,45,50,55,60,65,70,75,80,85}, 1), "20-24", "25-29", "30-34", "35-39", "40-44", "45-49", "50-54", "55-59", "60-64", "65-69", "70-74", "75-79", "80-84", "85+")</f>
        <v>30-34</v>
      </c>
      <c r="D8984" t="s">
        <v>7</v>
      </c>
    </row>
    <row r="8985" spans="1:4">
      <c r="A8985" t="s">
        <v>6</v>
      </c>
      <c r="B8985">
        <v>76</v>
      </c>
      <c r="C8985" t="str">
        <f>CHOOSE(MATCH(B8985, {20,25,30,35,40,45,50,55,60,65,70,75,80,85}, 1), "20-24", "25-29", "30-34", "35-39", "40-44", "45-49", "50-54", "55-59", "60-64", "65-69", "70-74", "75-79", "80-84", "85+")</f>
        <v>75-79</v>
      </c>
      <c r="D8985" t="s">
        <v>7</v>
      </c>
    </row>
    <row r="8986" spans="1:4">
      <c r="A8986" t="s">
        <v>6</v>
      </c>
      <c r="B8986">
        <v>34</v>
      </c>
      <c r="C8986" t="str">
        <f>CHOOSE(MATCH(B8986, {20,25,30,35,40,45,50,55,60,65,70,75,80,85}, 1), "20-24", "25-29", "30-34", "35-39", "40-44", "45-49", "50-54", "55-59", "60-64", "65-69", "70-74", "75-79", "80-84", "85+")</f>
        <v>30-34</v>
      </c>
      <c r="D8986" t="s">
        <v>7</v>
      </c>
    </row>
    <row r="8987" spans="1:4">
      <c r="A8987" t="s">
        <v>6</v>
      </c>
      <c r="B8987">
        <v>29</v>
      </c>
      <c r="C8987" t="str">
        <f>CHOOSE(MATCH(B8987, {20,25,30,35,40,45,50,55,60,65,70,75,80,85}, 1), "20-24", "25-29", "30-34", "35-39", "40-44", "45-49", "50-54", "55-59", "60-64", "65-69", "70-74", "75-79", "80-84", "85+")</f>
        <v>25-29</v>
      </c>
      <c r="D8987" t="s">
        <v>7</v>
      </c>
    </row>
    <row r="8988" spans="1:4">
      <c r="A8988" t="s">
        <v>6</v>
      </c>
      <c r="B8988">
        <v>31</v>
      </c>
      <c r="C8988" t="str">
        <f>CHOOSE(MATCH(B8988, {20,25,30,35,40,45,50,55,60,65,70,75,80,85}, 1), "20-24", "25-29", "30-34", "35-39", "40-44", "45-49", "50-54", "55-59", "60-64", "65-69", "70-74", "75-79", "80-84", "85+")</f>
        <v>30-34</v>
      </c>
      <c r="D8988" t="s">
        <v>8</v>
      </c>
    </row>
    <row r="8989" spans="1:4">
      <c r="A8989" t="s">
        <v>6</v>
      </c>
      <c r="B8989">
        <v>21</v>
      </c>
      <c r="C8989" t="str">
        <f>CHOOSE(MATCH(B8989, {20,25,30,35,40,45,50,55,60,65,70,75,80,85}, 1), "20-24", "25-29", "30-34", "35-39", "40-44", "45-49", "50-54", "55-59", "60-64", "65-69", "70-74", "75-79", "80-84", "85+")</f>
        <v>20-24</v>
      </c>
      <c r="D8989" t="s">
        <v>7</v>
      </c>
    </row>
    <row r="8990" spans="1:4">
      <c r="A8990" t="s">
        <v>6</v>
      </c>
      <c r="B8990">
        <v>68</v>
      </c>
      <c r="C8990" t="str">
        <f>CHOOSE(MATCH(B8990, {20,25,30,35,40,45,50,55,60,65,70,75,80,85}, 1), "20-24", "25-29", "30-34", "35-39", "40-44", "45-49", "50-54", "55-59", "60-64", "65-69", "70-74", "75-79", "80-84", "85+")</f>
        <v>65-69</v>
      </c>
      <c r="D8990" t="s">
        <v>7</v>
      </c>
    </row>
    <row r="8991" spans="1:4">
      <c r="A8991" t="s">
        <v>6</v>
      </c>
      <c r="B8991">
        <v>35</v>
      </c>
      <c r="C8991" t="str">
        <f>CHOOSE(MATCH(B8991, {20,25,30,35,40,45,50,55,60,65,70,75,80,85}, 1), "20-24", "25-29", "30-34", "35-39", "40-44", "45-49", "50-54", "55-59", "60-64", "65-69", "70-74", "75-79", "80-84", "85+")</f>
        <v>35-39</v>
      </c>
      <c r="D8991" t="s">
        <v>7</v>
      </c>
    </row>
    <row r="8992" spans="1:4">
      <c r="A8992" t="s">
        <v>6</v>
      </c>
      <c r="B8992">
        <v>37</v>
      </c>
      <c r="C8992" t="str">
        <f>CHOOSE(MATCH(B8992, {20,25,30,35,40,45,50,55,60,65,70,75,80,85}, 1), "20-24", "25-29", "30-34", "35-39", "40-44", "45-49", "50-54", "55-59", "60-64", "65-69", "70-74", "75-79", "80-84", "85+")</f>
        <v>35-39</v>
      </c>
      <c r="D8992" t="s">
        <v>8</v>
      </c>
    </row>
    <row r="8993" spans="1:4">
      <c r="A8993" t="s">
        <v>6</v>
      </c>
      <c r="B8993">
        <v>35</v>
      </c>
      <c r="C8993" t="str">
        <f>CHOOSE(MATCH(B8993, {20,25,30,35,40,45,50,55,60,65,70,75,80,85}, 1), "20-24", "25-29", "30-34", "35-39", "40-44", "45-49", "50-54", "55-59", "60-64", "65-69", "70-74", "75-79", "80-84", "85+")</f>
        <v>35-39</v>
      </c>
      <c r="D8993" t="s">
        <v>8</v>
      </c>
    </row>
    <row r="8994" spans="1:4">
      <c r="A8994" t="s">
        <v>6</v>
      </c>
      <c r="B8994">
        <v>36</v>
      </c>
      <c r="C8994" t="str">
        <f>CHOOSE(MATCH(B8994, {20,25,30,35,40,45,50,55,60,65,70,75,80,85}, 1), "20-24", "25-29", "30-34", "35-39", "40-44", "45-49", "50-54", "55-59", "60-64", "65-69", "70-74", "75-79", "80-84", "85+")</f>
        <v>35-39</v>
      </c>
      <c r="D8994" t="s">
        <v>8</v>
      </c>
    </row>
    <row r="8995" spans="1:4">
      <c r="A8995" t="s">
        <v>6</v>
      </c>
      <c r="B8995">
        <v>24</v>
      </c>
      <c r="C8995" t="str">
        <f>CHOOSE(MATCH(B8995, {20,25,30,35,40,45,50,55,60,65,70,75,80,85}, 1), "20-24", "25-29", "30-34", "35-39", "40-44", "45-49", "50-54", "55-59", "60-64", "65-69", "70-74", "75-79", "80-84", "85+")</f>
        <v>20-24</v>
      </c>
      <c r="D8995" t="s">
        <v>8</v>
      </c>
    </row>
    <row r="8996" spans="1:4">
      <c r="A8996" t="s">
        <v>6</v>
      </c>
      <c r="B8996">
        <v>66</v>
      </c>
      <c r="C8996" t="str">
        <f>CHOOSE(MATCH(B8996, {20,25,30,35,40,45,50,55,60,65,70,75,80,85}, 1), "20-24", "25-29", "30-34", "35-39", "40-44", "45-49", "50-54", "55-59", "60-64", "65-69", "70-74", "75-79", "80-84", "85+")</f>
        <v>65-69</v>
      </c>
      <c r="D8996" t="s">
        <v>7</v>
      </c>
    </row>
    <row r="8997" spans="1:4">
      <c r="A8997" t="s">
        <v>6</v>
      </c>
      <c r="B8997">
        <v>39</v>
      </c>
      <c r="C8997" t="str">
        <f>CHOOSE(MATCH(B8997, {20,25,30,35,40,45,50,55,60,65,70,75,80,85}, 1), "20-24", "25-29", "30-34", "35-39", "40-44", "45-49", "50-54", "55-59", "60-64", "65-69", "70-74", "75-79", "80-84", "85+")</f>
        <v>35-39</v>
      </c>
      <c r="D8997" t="s">
        <v>7</v>
      </c>
    </row>
    <row r="8998" spans="1:4">
      <c r="A8998" t="s">
        <v>6</v>
      </c>
      <c r="B8998">
        <v>57</v>
      </c>
      <c r="C8998" t="str">
        <f>CHOOSE(MATCH(B8998, {20,25,30,35,40,45,50,55,60,65,70,75,80,85}, 1), "20-24", "25-29", "30-34", "35-39", "40-44", "45-49", "50-54", "55-59", "60-64", "65-69", "70-74", "75-79", "80-84", "85+")</f>
        <v>55-59</v>
      </c>
      <c r="D8998" t="s">
        <v>7</v>
      </c>
    </row>
    <row r="8999" spans="1:4">
      <c r="A8999" t="s">
        <v>6</v>
      </c>
      <c r="B8999">
        <v>42</v>
      </c>
      <c r="C8999" t="str">
        <f>CHOOSE(MATCH(B8999, {20,25,30,35,40,45,50,55,60,65,70,75,80,85}, 1), "20-24", "25-29", "30-34", "35-39", "40-44", "45-49", "50-54", "55-59", "60-64", "65-69", "70-74", "75-79", "80-84", "85+")</f>
        <v>40-44</v>
      </c>
      <c r="D8999" t="s">
        <v>7</v>
      </c>
    </row>
    <row r="9000" spans="1:4">
      <c r="A9000" t="s">
        <v>6</v>
      </c>
      <c r="B9000">
        <v>36</v>
      </c>
      <c r="C9000" t="str">
        <f>CHOOSE(MATCH(B9000, {20,25,30,35,40,45,50,55,60,65,70,75,80,85}, 1), "20-24", "25-29", "30-34", "35-39", "40-44", "45-49", "50-54", "55-59", "60-64", "65-69", "70-74", "75-79", "80-84", "85+")</f>
        <v>35-39</v>
      </c>
      <c r="D9000" t="s">
        <v>7</v>
      </c>
    </row>
    <row r="9001" spans="1:4">
      <c r="A9001" t="s">
        <v>6</v>
      </c>
      <c r="B9001">
        <v>20</v>
      </c>
      <c r="C9001" t="str">
        <f>CHOOSE(MATCH(B9001, {20,25,30,35,40,45,50,55,60,65,70,75,80,85}, 1), "20-24", "25-29", "30-34", "35-39", "40-44", "45-49", "50-54", "55-59", "60-64", "65-69", "70-74", "75-79", "80-84", "85+")</f>
        <v>20-24</v>
      </c>
      <c r="D9001" t="s">
        <v>8</v>
      </c>
    </row>
    <row r="9002" spans="1:4">
      <c r="A9002" t="s">
        <v>6</v>
      </c>
      <c r="B9002">
        <v>59</v>
      </c>
      <c r="C9002" t="str">
        <f>CHOOSE(MATCH(B9002, {20,25,30,35,40,45,50,55,60,65,70,75,80,85}, 1), "20-24", "25-29", "30-34", "35-39", "40-44", "45-49", "50-54", "55-59", "60-64", "65-69", "70-74", "75-79", "80-84", "85+")</f>
        <v>55-59</v>
      </c>
      <c r="D9002" t="s">
        <v>7</v>
      </c>
    </row>
    <row r="9003" spans="1:4">
      <c r="A9003" t="s">
        <v>6</v>
      </c>
      <c r="B9003">
        <v>37</v>
      </c>
      <c r="C9003" t="str">
        <f>CHOOSE(MATCH(B9003, {20,25,30,35,40,45,50,55,60,65,70,75,80,85}, 1), "20-24", "25-29", "30-34", "35-39", "40-44", "45-49", "50-54", "55-59", "60-64", "65-69", "70-74", "75-79", "80-84", "85+")</f>
        <v>35-39</v>
      </c>
      <c r="D9003" t="s">
        <v>7</v>
      </c>
    </row>
    <row r="9004" spans="1:4">
      <c r="A9004" t="s">
        <v>6</v>
      </c>
      <c r="B9004">
        <v>40</v>
      </c>
      <c r="C9004" t="str">
        <f>CHOOSE(MATCH(B9004, {20,25,30,35,40,45,50,55,60,65,70,75,80,85}, 1), "20-24", "25-29", "30-34", "35-39", "40-44", "45-49", "50-54", "55-59", "60-64", "65-69", "70-74", "75-79", "80-84", "85+")</f>
        <v>40-44</v>
      </c>
      <c r="D9004" t="s">
        <v>7</v>
      </c>
    </row>
    <row r="9005" spans="1:4">
      <c r="A9005" t="s">
        <v>6</v>
      </c>
      <c r="B9005">
        <v>63</v>
      </c>
      <c r="C9005" t="str">
        <f>CHOOSE(MATCH(B9005, {20,25,30,35,40,45,50,55,60,65,70,75,80,85}, 1), "20-24", "25-29", "30-34", "35-39", "40-44", "45-49", "50-54", "55-59", "60-64", "65-69", "70-74", "75-79", "80-84", "85+")</f>
        <v>60-64</v>
      </c>
      <c r="D9005" t="s">
        <v>7</v>
      </c>
    </row>
    <row r="9006" spans="1:4">
      <c r="A9006" t="s">
        <v>6</v>
      </c>
      <c r="B9006">
        <v>27</v>
      </c>
      <c r="C9006" t="str">
        <f>CHOOSE(MATCH(B9006, {20,25,30,35,40,45,50,55,60,65,70,75,80,85}, 1), "20-24", "25-29", "30-34", "35-39", "40-44", "45-49", "50-54", "55-59", "60-64", "65-69", "70-74", "75-79", "80-84", "85+")</f>
        <v>25-29</v>
      </c>
      <c r="D9006" t="s">
        <v>7</v>
      </c>
    </row>
    <row r="9007" spans="1:4">
      <c r="A9007" t="s">
        <v>6</v>
      </c>
      <c r="B9007">
        <v>30</v>
      </c>
      <c r="C9007" t="str">
        <f>CHOOSE(MATCH(B9007, {20,25,30,35,40,45,50,55,60,65,70,75,80,85}, 1), "20-24", "25-29", "30-34", "35-39", "40-44", "45-49", "50-54", "55-59", "60-64", "65-69", "70-74", "75-79", "80-84", "85+")</f>
        <v>30-34</v>
      </c>
      <c r="D9007" t="s">
        <v>7</v>
      </c>
    </row>
    <row r="9008" spans="1:4">
      <c r="A9008" t="s">
        <v>6</v>
      </c>
      <c r="B9008">
        <v>26</v>
      </c>
      <c r="C9008" t="str">
        <f>CHOOSE(MATCH(B9008, {20,25,30,35,40,45,50,55,60,65,70,75,80,85}, 1), "20-24", "25-29", "30-34", "35-39", "40-44", "45-49", "50-54", "55-59", "60-64", "65-69", "70-74", "75-79", "80-84", "85+")</f>
        <v>25-29</v>
      </c>
      <c r="D9008" t="s">
        <v>7</v>
      </c>
    </row>
    <row r="9009" spans="1:4">
      <c r="A9009" t="s">
        <v>6</v>
      </c>
      <c r="B9009">
        <v>28</v>
      </c>
      <c r="C9009" t="str">
        <f>CHOOSE(MATCH(B9009, {20,25,30,35,40,45,50,55,60,65,70,75,80,85}, 1), "20-24", "25-29", "30-34", "35-39", "40-44", "45-49", "50-54", "55-59", "60-64", "65-69", "70-74", "75-79", "80-84", "85+")</f>
        <v>25-29</v>
      </c>
      <c r="D9009" t="s">
        <v>8</v>
      </c>
    </row>
    <row r="9010" spans="1:4">
      <c r="A9010" t="s">
        <v>6</v>
      </c>
      <c r="B9010">
        <v>60</v>
      </c>
      <c r="C9010" t="str">
        <f>CHOOSE(MATCH(B9010, {20,25,30,35,40,45,50,55,60,65,70,75,80,85}, 1), "20-24", "25-29", "30-34", "35-39", "40-44", "45-49", "50-54", "55-59", "60-64", "65-69", "70-74", "75-79", "80-84", "85+")</f>
        <v>60-64</v>
      </c>
      <c r="D9010" t="s">
        <v>7</v>
      </c>
    </row>
    <row r="9011" spans="1:4">
      <c r="A9011" t="s">
        <v>6</v>
      </c>
      <c r="B9011">
        <v>43</v>
      </c>
      <c r="C9011" t="str">
        <f>CHOOSE(MATCH(B9011, {20,25,30,35,40,45,50,55,60,65,70,75,80,85}, 1), "20-24", "25-29", "30-34", "35-39", "40-44", "45-49", "50-54", "55-59", "60-64", "65-69", "70-74", "75-79", "80-84", "85+")</f>
        <v>40-44</v>
      </c>
      <c r="D9011" t="s">
        <v>8</v>
      </c>
    </row>
    <row r="9012" spans="1:4">
      <c r="A9012" t="s">
        <v>6</v>
      </c>
      <c r="B9012">
        <v>51</v>
      </c>
      <c r="C9012" t="str">
        <f>CHOOSE(MATCH(B9012, {20,25,30,35,40,45,50,55,60,65,70,75,80,85}, 1), "20-24", "25-29", "30-34", "35-39", "40-44", "45-49", "50-54", "55-59", "60-64", "65-69", "70-74", "75-79", "80-84", "85+")</f>
        <v>50-54</v>
      </c>
      <c r="D9012" t="s">
        <v>8</v>
      </c>
    </row>
    <row r="9013" spans="1:4">
      <c r="A9013" t="s">
        <v>6</v>
      </c>
      <c r="B9013">
        <v>46</v>
      </c>
      <c r="C9013" t="str">
        <f>CHOOSE(MATCH(B9013, {20,25,30,35,40,45,50,55,60,65,70,75,80,85}, 1), "20-24", "25-29", "30-34", "35-39", "40-44", "45-49", "50-54", "55-59", "60-64", "65-69", "70-74", "75-79", "80-84", "85+")</f>
        <v>45-49</v>
      </c>
      <c r="D9013" t="s">
        <v>8</v>
      </c>
    </row>
    <row r="9014" spans="1:4">
      <c r="A9014" t="s">
        <v>6</v>
      </c>
      <c r="B9014">
        <v>31</v>
      </c>
      <c r="C9014" t="str">
        <f>CHOOSE(MATCH(B9014, {20,25,30,35,40,45,50,55,60,65,70,75,80,85}, 1), "20-24", "25-29", "30-34", "35-39", "40-44", "45-49", "50-54", "55-59", "60-64", "65-69", "70-74", "75-79", "80-84", "85+")</f>
        <v>30-34</v>
      </c>
      <c r="D9014" t="s">
        <v>7</v>
      </c>
    </row>
    <row r="9015" spans="1:4">
      <c r="A9015" t="s">
        <v>6</v>
      </c>
      <c r="B9015">
        <v>23</v>
      </c>
      <c r="C9015" t="str">
        <f>CHOOSE(MATCH(B9015, {20,25,30,35,40,45,50,55,60,65,70,75,80,85}, 1), "20-24", "25-29", "30-34", "35-39", "40-44", "45-49", "50-54", "55-59", "60-64", "65-69", "70-74", "75-79", "80-84", "85+")</f>
        <v>20-24</v>
      </c>
      <c r="D9015" t="s">
        <v>7</v>
      </c>
    </row>
    <row r="9016" spans="1:4">
      <c r="A9016" t="s">
        <v>6</v>
      </c>
      <c r="B9016">
        <v>39</v>
      </c>
      <c r="C9016" t="str">
        <f>CHOOSE(MATCH(B9016, {20,25,30,35,40,45,50,55,60,65,70,75,80,85}, 1), "20-24", "25-29", "30-34", "35-39", "40-44", "45-49", "50-54", "55-59", "60-64", "65-69", "70-74", "75-79", "80-84", "85+")</f>
        <v>35-39</v>
      </c>
      <c r="D9016" t="s">
        <v>7</v>
      </c>
    </row>
    <row r="9017" spans="1:4">
      <c r="A9017" t="s">
        <v>6</v>
      </c>
      <c r="B9017">
        <v>45</v>
      </c>
      <c r="C9017" t="str">
        <f>CHOOSE(MATCH(B9017, {20,25,30,35,40,45,50,55,60,65,70,75,80,85}, 1), "20-24", "25-29", "30-34", "35-39", "40-44", "45-49", "50-54", "55-59", "60-64", "65-69", "70-74", "75-79", "80-84", "85+")</f>
        <v>45-49</v>
      </c>
      <c r="D9017" t="s">
        <v>7</v>
      </c>
    </row>
    <row r="9018" spans="1:4">
      <c r="A9018" t="s">
        <v>6</v>
      </c>
      <c r="B9018">
        <v>49</v>
      </c>
      <c r="C9018" t="str">
        <f>CHOOSE(MATCH(B9018, {20,25,30,35,40,45,50,55,60,65,70,75,80,85}, 1), "20-24", "25-29", "30-34", "35-39", "40-44", "45-49", "50-54", "55-59", "60-64", "65-69", "70-74", "75-79", "80-84", "85+")</f>
        <v>45-49</v>
      </c>
      <c r="D9018" t="s">
        <v>7</v>
      </c>
    </row>
    <row r="9019" spans="1:4">
      <c r="A9019" t="s">
        <v>6</v>
      </c>
      <c r="B9019">
        <v>37</v>
      </c>
      <c r="C9019" t="str">
        <f>CHOOSE(MATCH(B9019, {20,25,30,35,40,45,50,55,60,65,70,75,80,85}, 1), "20-24", "25-29", "30-34", "35-39", "40-44", "45-49", "50-54", "55-59", "60-64", "65-69", "70-74", "75-79", "80-84", "85+")</f>
        <v>35-39</v>
      </c>
      <c r="D9019" t="s">
        <v>7</v>
      </c>
    </row>
    <row r="9020" spans="1:4">
      <c r="A9020" t="s">
        <v>6</v>
      </c>
      <c r="B9020">
        <v>25</v>
      </c>
      <c r="C9020" t="str">
        <f>CHOOSE(MATCH(B9020, {20,25,30,35,40,45,50,55,60,65,70,75,80,85}, 1), "20-24", "25-29", "30-34", "35-39", "40-44", "45-49", "50-54", "55-59", "60-64", "65-69", "70-74", "75-79", "80-84", "85+")</f>
        <v>25-29</v>
      </c>
      <c r="D9020" t="s">
        <v>7</v>
      </c>
    </row>
    <row r="9021" spans="1:4">
      <c r="A9021" t="s">
        <v>6</v>
      </c>
      <c r="B9021">
        <v>56</v>
      </c>
      <c r="C9021" t="str">
        <f>CHOOSE(MATCH(B9021, {20,25,30,35,40,45,50,55,60,65,70,75,80,85}, 1), "20-24", "25-29", "30-34", "35-39", "40-44", "45-49", "50-54", "55-59", "60-64", "65-69", "70-74", "75-79", "80-84", "85+")</f>
        <v>55-59</v>
      </c>
      <c r="D9021" t="s">
        <v>7</v>
      </c>
    </row>
    <row r="9022" spans="1:4">
      <c r="A9022" t="s">
        <v>6</v>
      </c>
      <c r="B9022">
        <v>66</v>
      </c>
      <c r="C9022" t="str">
        <f>CHOOSE(MATCH(B9022, {20,25,30,35,40,45,50,55,60,65,70,75,80,85}, 1), "20-24", "25-29", "30-34", "35-39", "40-44", "45-49", "50-54", "55-59", "60-64", "65-69", "70-74", "75-79", "80-84", "85+")</f>
        <v>65-69</v>
      </c>
      <c r="D9022" t="s">
        <v>7</v>
      </c>
    </row>
    <row r="9023" spans="1:4">
      <c r="A9023" t="s">
        <v>6</v>
      </c>
      <c r="B9023">
        <v>25</v>
      </c>
      <c r="C9023" t="str">
        <f>CHOOSE(MATCH(B9023, {20,25,30,35,40,45,50,55,60,65,70,75,80,85}, 1), "20-24", "25-29", "30-34", "35-39", "40-44", "45-49", "50-54", "55-59", "60-64", "65-69", "70-74", "75-79", "80-84", "85+")</f>
        <v>25-29</v>
      </c>
      <c r="D9023" t="s">
        <v>7</v>
      </c>
    </row>
    <row r="9024" spans="1:4">
      <c r="A9024" t="s">
        <v>6</v>
      </c>
      <c r="B9024">
        <v>36</v>
      </c>
      <c r="C9024" t="str">
        <f>CHOOSE(MATCH(B9024, {20,25,30,35,40,45,50,55,60,65,70,75,80,85}, 1), "20-24", "25-29", "30-34", "35-39", "40-44", "45-49", "50-54", "55-59", "60-64", "65-69", "70-74", "75-79", "80-84", "85+")</f>
        <v>35-39</v>
      </c>
      <c r="D9024" t="s">
        <v>7</v>
      </c>
    </row>
    <row r="9025" spans="1:4">
      <c r="A9025" t="s">
        <v>6</v>
      </c>
      <c r="B9025">
        <v>32</v>
      </c>
      <c r="C9025" t="str">
        <f>CHOOSE(MATCH(B9025, {20,25,30,35,40,45,50,55,60,65,70,75,80,85}, 1), "20-24", "25-29", "30-34", "35-39", "40-44", "45-49", "50-54", "55-59", "60-64", "65-69", "70-74", "75-79", "80-84", "85+")</f>
        <v>30-34</v>
      </c>
      <c r="D9025" t="s">
        <v>7</v>
      </c>
    </row>
    <row r="9026" spans="1:4">
      <c r="A9026" t="s">
        <v>6</v>
      </c>
      <c r="B9026">
        <v>23</v>
      </c>
      <c r="C9026" t="str">
        <f>CHOOSE(MATCH(B9026, {20,25,30,35,40,45,50,55,60,65,70,75,80,85}, 1), "20-24", "25-29", "30-34", "35-39", "40-44", "45-49", "50-54", "55-59", "60-64", "65-69", "70-74", "75-79", "80-84", "85+")</f>
        <v>20-24</v>
      </c>
      <c r="D9026" t="s">
        <v>7</v>
      </c>
    </row>
    <row r="9027" spans="1:4">
      <c r="A9027" t="s">
        <v>6</v>
      </c>
      <c r="B9027">
        <v>42</v>
      </c>
      <c r="C9027" t="str">
        <f>CHOOSE(MATCH(B9027, {20,25,30,35,40,45,50,55,60,65,70,75,80,85}, 1), "20-24", "25-29", "30-34", "35-39", "40-44", "45-49", "50-54", "55-59", "60-64", "65-69", "70-74", "75-79", "80-84", "85+")</f>
        <v>40-44</v>
      </c>
      <c r="D9027" t="s">
        <v>8</v>
      </c>
    </row>
    <row r="9028" spans="1:4">
      <c r="A9028" t="s">
        <v>6</v>
      </c>
      <c r="B9028">
        <v>77</v>
      </c>
      <c r="C9028" t="str">
        <f>CHOOSE(MATCH(B9028, {20,25,30,35,40,45,50,55,60,65,70,75,80,85}, 1), "20-24", "25-29", "30-34", "35-39", "40-44", "45-49", "50-54", "55-59", "60-64", "65-69", "70-74", "75-79", "80-84", "85+")</f>
        <v>75-79</v>
      </c>
      <c r="D9028" t="s">
        <v>7</v>
      </c>
    </row>
    <row r="9029" spans="1:4">
      <c r="A9029" t="s">
        <v>6</v>
      </c>
      <c r="B9029">
        <v>45</v>
      </c>
      <c r="C9029" t="str">
        <f>CHOOSE(MATCH(B9029, {20,25,30,35,40,45,50,55,60,65,70,75,80,85}, 1), "20-24", "25-29", "30-34", "35-39", "40-44", "45-49", "50-54", "55-59", "60-64", "65-69", "70-74", "75-79", "80-84", "85+")</f>
        <v>45-49</v>
      </c>
      <c r="D9029" t="s">
        <v>8</v>
      </c>
    </row>
    <row r="9030" spans="1:4">
      <c r="A9030" t="s">
        <v>6</v>
      </c>
      <c r="B9030">
        <v>57</v>
      </c>
      <c r="C9030" t="str">
        <f>CHOOSE(MATCH(B9030, {20,25,30,35,40,45,50,55,60,65,70,75,80,85}, 1), "20-24", "25-29", "30-34", "35-39", "40-44", "45-49", "50-54", "55-59", "60-64", "65-69", "70-74", "75-79", "80-84", "85+")</f>
        <v>55-59</v>
      </c>
      <c r="D9030" t="s">
        <v>8</v>
      </c>
    </row>
    <row r="9031" spans="1:4">
      <c r="A9031" t="s">
        <v>6</v>
      </c>
      <c r="B9031">
        <v>32</v>
      </c>
      <c r="C9031" t="str">
        <f>CHOOSE(MATCH(B9031, {20,25,30,35,40,45,50,55,60,65,70,75,80,85}, 1), "20-24", "25-29", "30-34", "35-39", "40-44", "45-49", "50-54", "55-59", "60-64", "65-69", "70-74", "75-79", "80-84", "85+")</f>
        <v>30-34</v>
      </c>
      <c r="D9031" t="s">
        <v>8</v>
      </c>
    </row>
    <row r="9032" spans="1:4">
      <c r="A9032" t="s">
        <v>6</v>
      </c>
      <c r="B9032">
        <v>32</v>
      </c>
      <c r="C9032" t="str">
        <f>CHOOSE(MATCH(B9032, {20,25,30,35,40,45,50,55,60,65,70,75,80,85}, 1), "20-24", "25-29", "30-34", "35-39", "40-44", "45-49", "50-54", "55-59", "60-64", "65-69", "70-74", "75-79", "80-84", "85+")</f>
        <v>30-34</v>
      </c>
      <c r="D9032" t="s">
        <v>8</v>
      </c>
    </row>
    <row r="9033" spans="1:4">
      <c r="A9033" t="s">
        <v>6</v>
      </c>
      <c r="B9033">
        <v>36</v>
      </c>
      <c r="C9033" t="str">
        <f>CHOOSE(MATCH(B9033, {20,25,30,35,40,45,50,55,60,65,70,75,80,85}, 1), "20-24", "25-29", "30-34", "35-39", "40-44", "45-49", "50-54", "55-59", "60-64", "65-69", "70-74", "75-79", "80-84", "85+")</f>
        <v>35-39</v>
      </c>
      <c r="D9033" t="s">
        <v>8</v>
      </c>
    </row>
    <row r="9034" spans="1:4">
      <c r="A9034" t="s">
        <v>6</v>
      </c>
      <c r="B9034">
        <v>38</v>
      </c>
      <c r="C9034" t="str">
        <f>CHOOSE(MATCH(B9034, {20,25,30,35,40,45,50,55,60,65,70,75,80,85}, 1), "20-24", "25-29", "30-34", "35-39", "40-44", "45-49", "50-54", "55-59", "60-64", "65-69", "70-74", "75-79", "80-84", "85+")</f>
        <v>35-39</v>
      </c>
      <c r="D9034" t="s">
        <v>7</v>
      </c>
    </row>
    <row r="9035" spans="1:4">
      <c r="A9035" t="s">
        <v>6</v>
      </c>
      <c r="B9035">
        <v>29</v>
      </c>
      <c r="C9035" t="str">
        <f>CHOOSE(MATCH(B9035, {20,25,30,35,40,45,50,55,60,65,70,75,80,85}, 1), "20-24", "25-29", "30-34", "35-39", "40-44", "45-49", "50-54", "55-59", "60-64", "65-69", "70-74", "75-79", "80-84", "85+")</f>
        <v>25-29</v>
      </c>
      <c r="D9035" t="s">
        <v>7</v>
      </c>
    </row>
    <row r="9036" spans="1:4">
      <c r="A9036" t="s">
        <v>6</v>
      </c>
      <c r="B9036">
        <v>33</v>
      </c>
      <c r="C9036" t="str">
        <f>CHOOSE(MATCH(B9036, {20,25,30,35,40,45,50,55,60,65,70,75,80,85}, 1), "20-24", "25-29", "30-34", "35-39", "40-44", "45-49", "50-54", "55-59", "60-64", "65-69", "70-74", "75-79", "80-84", "85+")</f>
        <v>30-34</v>
      </c>
      <c r="D9036" t="s">
        <v>7</v>
      </c>
    </row>
    <row r="9037" spans="1:4">
      <c r="A9037" t="s">
        <v>6</v>
      </c>
      <c r="B9037">
        <v>71</v>
      </c>
      <c r="C9037" t="str">
        <f>CHOOSE(MATCH(B9037, {20,25,30,35,40,45,50,55,60,65,70,75,80,85}, 1), "20-24", "25-29", "30-34", "35-39", "40-44", "45-49", "50-54", "55-59", "60-64", "65-69", "70-74", "75-79", "80-84", "85+")</f>
        <v>70-74</v>
      </c>
      <c r="D9037" t="s">
        <v>8</v>
      </c>
    </row>
    <row r="9038" spans="1:4">
      <c r="A9038" t="s">
        <v>6</v>
      </c>
      <c r="B9038">
        <v>38</v>
      </c>
      <c r="C9038" t="str">
        <f>CHOOSE(MATCH(B9038, {20,25,30,35,40,45,50,55,60,65,70,75,80,85}, 1), "20-24", "25-29", "30-34", "35-39", "40-44", "45-49", "50-54", "55-59", "60-64", "65-69", "70-74", "75-79", "80-84", "85+")</f>
        <v>35-39</v>
      </c>
      <c r="D9038" t="s">
        <v>7</v>
      </c>
    </row>
    <row r="9039" spans="1:4">
      <c r="A9039" t="s">
        <v>6</v>
      </c>
      <c r="B9039">
        <v>29</v>
      </c>
      <c r="C9039" t="str">
        <f>CHOOSE(MATCH(B9039, {20,25,30,35,40,45,50,55,60,65,70,75,80,85}, 1), "20-24", "25-29", "30-34", "35-39", "40-44", "45-49", "50-54", "55-59", "60-64", "65-69", "70-74", "75-79", "80-84", "85+")</f>
        <v>25-29</v>
      </c>
      <c r="D9039" t="s">
        <v>7</v>
      </c>
    </row>
    <row r="9040" spans="1:4">
      <c r="A9040" t="s">
        <v>6</v>
      </c>
      <c r="B9040">
        <v>43</v>
      </c>
      <c r="C9040" t="str">
        <f>CHOOSE(MATCH(B9040, {20,25,30,35,40,45,50,55,60,65,70,75,80,85}, 1), "20-24", "25-29", "30-34", "35-39", "40-44", "45-49", "50-54", "55-59", "60-64", "65-69", "70-74", "75-79", "80-84", "85+")</f>
        <v>40-44</v>
      </c>
      <c r="D9040" t="s">
        <v>8</v>
      </c>
    </row>
    <row r="9041" spans="1:4">
      <c r="A9041" t="s">
        <v>6</v>
      </c>
      <c r="B9041">
        <v>47</v>
      </c>
      <c r="C9041" t="str">
        <f>CHOOSE(MATCH(B9041, {20,25,30,35,40,45,50,55,60,65,70,75,80,85}, 1), "20-24", "25-29", "30-34", "35-39", "40-44", "45-49", "50-54", "55-59", "60-64", "65-69", "70-74", "75-79", "80-84", "85+")</f>
        <v>45-49</v>
      </c>
      <c r="D9041" t="s">
        <v>8</v>
      </c>
    </row>
    <row r="9042" spans="1:4">
      <c r="A9042" t="s">
        <v>6</v>
      </c>
      <c r="B9042">
        <v>58</v>
      </c>
      <c r="C9042" t="str">
        <f>CHOOSE(MATCH(B9042, {20,25,30,35,40,45,50,55,60,65,70,75,80,85}, 1), "20-24", "25-29", "30-34", "35-39", "40-44", "45-49", "50-54", "55-59", "60-64", "65-69", "70-74", "75-79", "80-84", "85+")</f>
        <v>55-59</v>
      </c>
      <c r="D9042" t="s">
        <v>8</v>
      </c>
    </row>
    <row r="9043" spans="1:4">
      <c r="A9043" t="s">
        <v>6</v>
      </c>
      <c r="B9043">
        <v>25</v>
      </c>
      <c r="C9043" t="str">
        <f>CHOOSE(MATCH(B9043, {20,25,30,35,40,45,50,55,60,65,70,75,80,85}, 1), "20-24", "25-29", "30-34", "35-39", "40-44", "45-49", "50-54", "55-59", "60-64", "65-69", "70-74", "75-79", "80-84", "85+")</f>
        <v>25-29</v>
      </c>
      <c r="D9043" t="s">
        <v>8</v>
      </c>
    </row>
    <row r="9044" spans="1:4">
      <c r="A9044" t="s">
        <v>6</v>
      </c>
      <c r="B9044">
        <v>62</v>
      </c>
      <c r="C9044" t="str">
        <f>CHOOSE(MATCH(B9044, {20,25,30,35,40,45,50,55,60,65,70,75,80,85}, 1), "20-24", "25-29", "30-34", "35-39", "40-44", "45-49", "50-54", "55-59", "60-64", "65-69", "70-74", "75-79", "80-84", "85+")</f>
        <v>60-64</v>
      </c>
      <c r="D9044" t="s">
        <v>8</v>
      </c>
    </row>
    <row r="9045" spans="1:4">
      <c r="A9045" t="s">
        <v>6</v>
      </c>
      <c r="B9045">
        <v>37</v>
      </c>
      <c r="C9045" t="str">
        <f>CHOOSE(MATCH(B9045, {20,25,30,35,40,45,50,55,60,65,70,75,80,85}, 1), "20-24", "25-29", "30-34", "35-39", "40-44", "45-49", "50-54", "55-59", "60-64", "65-69", "70-74", "75-79", "80-84", "85+")</f>
        <v>35-39</v>
      </c>
      <c r="D9045" t="s">
        <v>7</v>
      </c>
    </row>
    <row r="9046" spans="1:4">
      <c r="A9046" t="s">
        <v>6</v>
      </c>
      <c r="B9046">
        <v>32</v>
      </c>
      <c r="C9046" t="str">
        <f>CHOOSE(MATCH(B9046, {20,25,30,35,40,45,50,55,60,65,70,75,80,85}, 1), "20-24", "25-29", "30-34", "35-39", "40-44", "45-49", "50-54", "55-59", "60-64", "65-69", "70-74", "75-79", "80-84", "85+")</f>
        <v>30-34</v>
      </c>
      <c r="D9046" t="s">
        <v>8</v>
      </c>
    </row>
    <row r="9047" spans="1:4">
      <c r="A9047" t="s">
        <v>6</v>
      </c>
      <c r="B9047">
        <v>33</v>
      </c>
      <c r="C9047" t="str">
        <f>CHOOSE(MATCH(B9047, {20,25,30,35,40,45,50,55,60,65,70,75,80,85}, 1), "20-24", "25-29", "30-34", "35-39", "40-44", "45-49", "50-54", "55-59", "60-64", "65-69", "70-74", "75-79", "80-84", "85+")</f>
        <v>30-34</v>
      </c>
      <c r="D9047" t="s">
        <v>7</v>
      </c>
    </row>
    <row r="9048" spans="1:4">
      <c r="A9048" t="s">
        <v>6</v>
      </c>
      <c r="B9048">
        <v>39</v>
      </c>
      <c r="C9048" t="str">
        <f>CHOOSE(MATCH(B9048, {20,25,30,35,40,45,50,55,60,65,70,75,80,85}, 1), "20-24", "25-29", "30-34", "35-39", "40-44", "45-49", "50-54", "55-59", "60-64", "65-69", "70-74", "75-79", "80-84", "85+")</f>
        <v>35-39</v>
      </c>
      <c r="D9048" t="s">
        <v>7</v>
      </c>
    </row>
    <row r="9049" spans="1:4">
      <c r="A9049" t="s">
        <v>6</v>
      </c>
      <c r="B9049">
        <v>56</v>
      </c>
      <c r="C9049" t="str">
        <f>CHOOSE(MATCH(B9049, {20,25,30,35,40,45,50,55,60,65,70,75,80,85}, 1), "20-24", "25-29", "30-34", "35-39", "40-44", "45-49", "50-54", "55-59", "60-64", "65-69", "70-74", "75-79", "80-84", "85+")</f>
        <v>55-59</v>
      </c>
      <c r="D9049" t="s">
        <v>7</v>
      </c>
    </row>
    <row r="9050" spans="1:4">
      <c r="A9050" t="s">
        <v>6</v>
      </c>
      <c r="B9050">
        <v>30</v>
      </c>
      <c r="C9050" t="str">
        <f>CHOOSE(MATCH(B9050, {20,25,30,35,40,45,50,55,60,65,70,75,80,85}, 1), "20-24", "25-29", "30-34", "35-39", "40-44", "45-49", "50-54", "55-59", "60-64", "65-69", "70-74", "75-79", "80-84", "85+")</f>
        <v>30-34</v>
      </c>
      <c r="D9050" t="s">
        <v>7</v>
      </c>
    </row>
    <row r="9051" spans="1:4">
      <c r="A9051" t="s">
        <v>6</v>
      </c>
      <c r="B9051">
        <v>42</v>
      </c>
      <c r="C9051" t="str">
        <f>CHOOSE(MATCH(B9051, {20,25,30,35,40,45,50,55,60,65,70,75,80,85}, 1), "20-24", "25-29", "30-34", "35-39", "40-44", "45-49", "50-54", "55-59", "60-64", "65-69", "70-74", "75-79", "80-84", "85+")</f>
        <v>40-44</v>
      </c>
      <c r="D9051" t="s">
        <v>8</v>
      </c>
    </row>
    <row r="9052" spans="1:4">
      <c r="A9052" t="s">
        <v>6</v>
      </c>
      <c r="B9052">
        <v>28</v>
      </c>
      <c r="C9052" t="str">
        <f>CHOOSE(MATCH(B9052, {20,25,30,35,40,45,50,55,60,65,70,75,80,85}, 1), "20-24", "25-29", "30-34", "35-39", "40-44", "45-49", "50-54", "55-59", "60-64", "65-69", "70-74", "75-79", "80-84", "85+")</f>
        <v>25-29</v>
      </c>
      <c r="D9052" t="s">
        <v>8</v>
      </c>
    </row>
    <row r="9053" spans="1:4">
      <c r="A9053" t="s">
        <v>6</v>
      </c>
      <c r="B9053">
        <v>51</v>
      </c>
      <c r="C9053" t="str">
        <f>CHOOSE(MATCH(B9053, {20,25,30,35,40,45,50,55,60,65,70,75,80,85}, 1), "20-24", "25-29", "30-34", "35-39", "40-44", "45-49", "50-54", "55-59", "60-64", "65-69", "70-74", "75-79", "80-84", "85+")</f>
        <v>50-54</v>
      </c>
      <c r="D9053" t="s">
        <v>7</v>
      </c>
    </row>
    <row r="9054" spans="1:4">
      <c r="A9054" t="s">
        <v>6</v>
      </c>
      <c r="B9054">
        <v>34</v>
      </c>
      <c r="C9054" t="str">
        <f>CHOOSE(MATCH(B9054, {20,25,30,35,40,45,50,55,60,65,70,75,80,85}, 1), "20-24", "25-29", "30-34", "35-39", "40-44", "45-49", "50-54", "55-59", "60-64", "65-69", "70-74", "75-79", "80-84", "85+")</f>
        <v>30-34</v>
      </c>
      <c r="D9054" t="s">
        <v>7</v>
      </c>
    </row>
    <row r="9055" spans="1:4">
      <c r="A9055" t="s">
        <v>6</v>
      </c>
      <c r="B9055">
        <v>29</v>
      </c>
      <c r="C9055" t="str">
        <f>CHOOSE(MATCH(B9055, {20,25,30,35,40,45,50,55,60,65,70,75,80,85}, 1), "20-24", "25-29", "30-34", "35-39", "40-44", "45-49", "50-54", "55-59", "60-64", "65-69", "70-74", "75-79", "80-84", "85+")</f>
        <v>25-29</v>
      </c>
      <c r="D9055" t="s">
        <v>8</v>
      </c>
    </row>
    <row r="9056" spans="1:4">
      <c r="A9056" t="s">
        <v>6</v>
      </c>
      <c r="B9056">
        <v>28</v>
      </c>
      <c r="C9056" t="str">
        <f>CHOOSE(MATCH(B9056, {20,25,30,35,40,45,50,55,60,65,70,75,80,85}, 1), "20-24", "25-29", "30-34", "35-39", "40-44", "45-49", "50-54", "55-59", "60-64", "65-69", "70-74", "75-79", "80-84", "85+")</f>
        <v>25-29</v>
      </c>
      <c r="D9056" t="s">
        <v>7</v>
      </c>
    </row>
    <row r="9057" spans="1:4">
      <c r="A9057" t="s">
        <v>6</v>
      </c>
      <c r="B9057">
        <v>23</v>
      </c>
      <c r="C9057" t="str">
        <f>CHOOSE(MATCH(B9057, {20,25,30,35,40,45,50,55,60,65,70,75,80,85}, 1), "20-24", "25-29", "30-34", "35-39", "40-44", "45-49", "50-54", "55-59", "60-64", "65-69", "70-74", "75-79", "80-84", "85+")</f>
        <v>20-24</v>
      </c>
      <c r="D9057" t="s">
        <v>8</v>
      </c>
    </row>
    <row r="9058" spans="1:4">
      <c r="A9058" t="s">
        <v>6</v>
      </c>
      <c r="B9058">
        <v>39</v>
      </c>
      <c r="C9058" t="str">
        <f>CHOOSE(MATCH(B9058, {20,25,30,35,40,45,50,55,60,65,70,75,80,85}, 1), "20-24", "25-29", "30-34", "35-39", "40-44", "45-49", "50-54", "55-59", "60-64", "65-69", "70-74", "75-79", "80-84", "85+")</f>
        <v>35-39</v>
      </c>
      <c r="D9058" t="s">
        <v>7</v>
      </c>
    </row>
    <row r="9059" spans="1:4">
      <c r="A9059" t="s">
        <v>6</v>
      </c>
      <c r="B9059">
        <v>64</v>
      </c>
      <c r="C9059" t="str">
        <f>CHOOSE(MATCH(B9059, {20,25,30,35,40,45,50,55,60,65,70,75,80,85}, 1), "20-24", "25-29", "30-34", "35-39", "40-44", "45-49", "50-54", "55-59", "60-64", "65-69", "70-74", "75-79", "80-84", "85+")</f>
        <v>60-64</v>
      </c>
      <c r="D9059" t="s">
        <v>7</v>
      </c>
    </row>
    <row r="9060" spans="1:4">
      <c r="A9060" t="s">
        <v>6</v>
      </c>
      <c r="B9060">
        <v>38</v>
      </c>
      <c r="C9060" t="str">
        <f>CHOOSE(MATCH(B9060, {20,25,30,35,40,45,50,55,60,65,70,75,80,85}, 1), "20-24", "25-29", "30-34", "35-39", "40-44", "45-49", "50-54", "55-59", "60-64", "65-69", "70-74", "75-79", "80-84", "85+")</f>
        <v>35-39</v>
      </c>
      <c r="D9060" t="s">
        <v>8</v>
      </c>
    </row>
    <row r="9061" spans="1:4">
      <c r="A9061" t="s">
        <v>6</v>
      </c>
      <c r="B9061">
        <v>46</v>
      </c>
      <c r="C9061" t="str">
        <f>CHOOSE(MATCH(B9061, {20,25,30,35,40,45,50,55,60,65,70,75,80,85}, 1), "20-24", "25-29", "30-34", "35-39", "40-44", "45-49", "50-54", "55-59", "60-64", "65-69", "70-74", "75-79", "80-84", "85+")</f>
        <v>45-49</v>
      </c>
      <c r="D9061" t="s">
        <v>8</v>
      </c>
    </row>
    <row r="9062" spans="1:4">
      <c r="A9062" t="s">
        <v>6</v>
      </c>
      <c r="B9062">
        <v>31</v>
      </c>
      <c r="C9062" t="str">
        <f>CHOOSE(MATCH(B9062, {20,25,30,35,40,45,50,55,60,65,70,75,80,85}, 1), "20-24", "25-29", "30-34", "35-39", "40-44", "45-49", "50-54", "55-59", "60-64", "65-69", "70-74", "75-79", "80-84", "85+")</f>
        <v>30-34</v>
      </c>
      <c r="D9062" t="s">
        <v>7</v>
      </c>
    </row>
    <row r="9063" spans="1:4">
      <c r="A9063" t="s">
        <v>6</v>
      </c>
      <c r="B9063">
        <v>35</v>
      </c>
      <c r="C9063" t="str">
        <f>CHOOSE(MATCH(B9063, {20,25,30,35,40,45,50,55,60,65,70,75,80,85}, 1), "20-24", "25-29", "30-34", "35-39", "40-44", "45-49", "50-54", "55-59", "60-64", "65-69", "70-74", "75-79", "80-84", "85+")</f>
        <v>35-39</v>
      </c>
      <c r="D9063" t="s">
        <v>8</v>
      </c>
    </row>
    <row r="9064" spans="1:4">
      <c r="A9064" t="s">
        <v>6</v>
      </c>
      <c r="B9064">
        <v>25</v>
      </c>
      <c r="C9064" t="str">
        <f>CHOOSE(MATCH(B9064, {20,25,30,35,40,45,50,55,60,65,70,75,80,85}, 1), "20-24", "25-29", "30-34", "35-39", "40-44", "45-49", "50-54", "55-59", "60-64", "65-69", "70-74", "75-79", "80-84", "85+")</f>
        <v>25-29</v>
      </c>
      <c r="D9064" t="s">
        <v>7</v>
      </c>
    </row>
    <row r="9065" spans="1:4">
      <c r="A9065" t="s">
        <v>6</v>
      </c>
      <c r="B9065">
        <v>34</v>
      </c>
      <c r="C9065" t="str">
        <f>CHOOSE(MATCH(B9065, {20,25,30,35,40,45,50,55,60,65,70,75,80,85}, 1), "20-24", "25-29", "30-34", "35-39", "40-44", "45-49", "50-54", "55-59", "60-64", "65-69", "70-74", "75-79", "80-84", "85+")</f>
        <v>30-34</v>
      </c>
      <c r="D9065" t="s">
        <v>7</v>
      </c>
    </row>
    <row r="9066" spans="1:4">
      <c r="A9066" t="s">
        <v>6</v>
      </c>
      <c r="B9066">
        <v>33</v>
      </c>
      <c r="C9066" t="str">
        <f>CHOOSE(MATCH(B9066, {20,25,30,35,40,45,50,55,60,65,70,75,80,85}, 1), "20-24", "25-29", "30-34", "35-39", "40-44", "45-49", "50-54", "55-59", "60-64", "65-69", "70-74", "75-79", "80-84", "85+")</f>
        <v>30-34</v>
      </c>
      <c r="D9066" t="s">
        <v>7</v>
      </c>
    </row>
    <row r="9067" spans="1:4">
      <c r="A9067" t="s">
        <v>6</v>
      </c>
      <c r="B9067">
        <v>37</v>
      </c>
      <c r="C9067" t="str">
        <f>CHOOSE(MATCH(B9067, {20,25,30,35,40,45,50,55,60,65,70,75,80,85}, 1), "20-24", "25-29", "30-34", "35-39", "40-44", "45-49", "50-54", "55-59", "60-64", "65-69", "70-74", "75-79", "80-84", "85+")</f>
        <v>35-39</v>
      </c>
      <c r="D9067" t="s">
        <v>8</v>
      </c>
    </row>
    <row r="9068" spans="1:4">
      <c r="A9068" t="s">
        <v>6</v>
      </c>
      <c r="B9068">
        <v>33</v>
      </c>
      <c r="C9068" t="str">
        <f>CHOOSE(MATCH(B9068, {20,25,30,35,40,45,50,55,60,65,70,75,80,85}, 1), "20-24", "25-29", "30-34", "35-39", "40-44", "45-49", "50-54", "55-59", "60-64", "65-69", "70-74", "75-79", "80-84", "85+")</f>
        <v>30-34</v>
      </c>
      <c r="D9068" t="s">
        <v>7</v>
      </c>
    </row>
    <row r="9069" spans="1:4">
      <c r="A9069" t="s">
        <v>6</v>
      </c>
      <c r="B9069">
        <v>40</v>
      </c>
      <c r="C9069" t="str">
        <f>CHOOSE(MATCH(B9069, {20,25,30,35,40,45,50,55,60,65,70,75,80,85}, 1), "20-24", "25-29", "30-34", "35-39", "40-44", "45-49", "50-54", "55-59", "60-64", "65-69", "70-74", "75-79", "80-84", "85+")</f>
        <v>40-44</v>
      </c>
      <c r="D9069" t="s">
        <v>7</v>
      </c>
    </row>
    <row r="9070" spans="1:4">
      <c r="A9070" t="s">
        <v>6</v>
      </c>
      <c r="B9070">
        <v>60</v>
      </c>
      <c r="C9070" t="str">
        <f>CHOOSE(MATCH(B9070, {20,25,30,35,40,45,50,55,60,65,70,75,80,85}, 1), "20-24", "25-29", "30-34", "35-39", "40-44", "45-49", "50-54", "55-59", "60-64", "65-69", "70-74", "75-79", "80-84", "85+")</f>
        <v>60-64</v>
      </c>
      <c r="D9070" t="s">
        <v>7</v>
      </c>
    </row>
    <row r="9071" spans="1:4">
      <c r="A9071" t="s">
        <v>6</v>
      </c>
      <c r="B9071">
        <v>22</v>
      </c>
      <c r="C9071" t="str">
        <f>CHOOSE(MATCH(B9071, {20,25,30,35,40,45,50,55,60,65,70,75,80,85}, 1), "20-24", "25-29", "30-34", "35-39", "40-44", "45-49", "50-54", "55-59", "60-64", "65-69", "70-74", "75-79", "80-84", "85+")</f>
        <v>20-24</v>
      </c>
      <c r="D9071" t="s">
        <v>8</v>
      </c>
    </row>
    <row r="9072" spans="1:4">
      <c r="A9072" t="s">
        <v>6</v>
      </c>
      <c r="B9072">
        <v>22</v>
      </c>
      <c r="C9072" t="str">
        <f>CHOOSE(MATCH(B9072, {20,25,30,35,40,45,50,55,60,65,70,75,80,85}, 1), "20-24", "25-29", "30-34", "35-39", "40-44", "45-49", "50-54", "55-59", "60-64", "65-69", "70-74", "75-79", "80-84", "85+")</f>
        <v>20-24</v>
      </c>
      <c r="D9072" t="s">
        <v>8</v>
      </c>
    </row>
    <row r="9073" spans="1:4">
      <c r="A9073" t="s">
        <v>6</v>
      </c>
      <c r="B9073">
        <v>39</v>
      </c>
      <c r="C9073" t="str">
        <f>CHOOSE(MATCH(B9073, {20,25,30,35,40,45,50,55,60,65,70,75,80,85}, 1), "20-24", "25-29", "30-34", "35-39", "40-44", "45-49", "50-54", "55-59", "60-64", "65-69", "70-74", "75-79", "80-84", "85+")</f>
        <v>35-39</v>
      </c>
      <c r="D9073" t="s">
        <v>7</v>
      </c>
    </row>
    <row r="9074" spans="1:4">
      <c r="A9074" t="s">
        <v>6</v>
      </c>
      <c r="B9074">
        <v>32</v>
      </c>
      <c r="C9074" t="str">
        <f>CHOOSE(MATCH(B9074, {20,25,30,35,40,45,50,55,60,65,70,75,80,85}, 1), "20-24", "25-29", "30-34", "35-39", "40-44", "45-49", "50-54", "55-59", "60-64", "65-69", "70-74", "75-79", "80-84", "85+")</f>
        <v>30-34</v>
      </c>
      <c r="D9074" t="s">
        <v>7</v>
      </c>
    </row>
    <row r="9075" spans="1:4">
      <c r="A9075" t="s">
        <v>6</v>
      </c>
      <c r="B9075">
        <v>37</v>
      </c>
      <c r="C9075" t="str">
        <f>CHOOSE(MATCH(B9075, {20,25,30,35,40,45,50,55,60,65,70,75,80,85}, 1), "20-24", "25-29", "30-34", "35-39", "40-44", "45-49", "50-54", "55-59", "60-64", "65-69", "70-74", "75-79", "80-84", "85+")</f>
        <v>35-39</v>
      </c>
      <c r="D9075" t="s">
        <v>8</v>
      </c>
    </row>
    <row r="9076" spans="1:4">
      <c r="A9076" t="s">
        <v>6</v>
      </c>
      <c r="B9076">
        <v>46</v>
      </c>
      <c r="C9076" t="str">
        <f>CHOOSE(MATCH(B9076, {20,25,30,35,40,45,50,55,60,65,70,75,80,85}, 1), "20-24", "25-29", "30-34", "35-39", "40-44", "45-49", "50-54", "55-59", "60-64", "65-69", "70-74", "75-79", "80-84", "85+")</f>
        <v>45-49</v>
      </c>
      <c r="D9076" t="s">
        <v>8</v>
      </c>
    </row>
    <row r="9077" spans="1:4">
      <c r="A9077" t="s">
        <v>6</v>
      </c>
      <c r="B9077">
        <v>31</v>
      </c>
      <c r="C9077" t="str">
        <f>CHOOSE(MATCH(B9077, {20,25,30,35,40,45,50,55,60,65,70,75,80,85}, 1), "20-24", "25-29", "30-34", "35-39", "40-44", "45-49", "50-54", "55-59", "60-64", "65-69", "70-74", "75-79", "80-84", "85+")</f>
        <v>30-34</v>
      </c>
      <c r="D9077" t="s">
        <v>7</v>
      </c>
    </row>
    <row r="9078" spans="1:4">
      <c r="A9078" t="s">
        <v>6</v>
      </c>
      <c r="B9078">
        <v>34</v>
      </c>
      <c r="C9078" t="str">
        <f>CHOOSE(MATCH(B9078, {20,25,30,35,40,45,50,55,60,65,70,75,80,85}, 1), "20-24", "25-29", "30-34", "35-39", "40-44", "45-49", "50-54", "55-59", "60-64", "65-69", "70-74", "75-79", "80-84", "85+")</f>
        <v>30-34</v>
      </c>
      <c r="D9078" t="s">
        <v>8</v>
      </c>
    </row>
    <row r="9079" spans="1:4">
      <c r="A9079" t="s">
        <v>6</v>
      </c>
      <c r="B9079">
        <v>51</v>
      </c>
      <c r="C9079" t="str">
        <f>CHOOSE(MATCH(B9079, {20,25,30,35,40,45,50,55,60,65,70,75,80,85}, 1), "20-24", "25-29", "30-34", "35-39", "40-44", "45-49", "50-54", "55-59", "60-64", "65-69", "70-74", "75-79", "80-84", "85+")</f>
        <v>50-54</v>
      </c>
      <c r="D9079" t="s">
        <v>8</v>
      </c>
    </row>
    <row r="9080" spans="1:4">
      <c r="A9080" t="s">
        <v>6</v>
      </c>
      <c r="B9080">
        <v>29</v>
      </c>
      <c r="C9080" t="str">
        <f>CHOOSE(MATCH(B9080, {20,25,30,35,40,45,50,55,60,65,70,75,80,85}, 1), "20-24", "25-29", "30-34", "35-39", "40-44", "45-49", "50-54", "55-59", "60-64", "65-69", "70-74", "75-79", "80-84", "85+")</f>
        <v>25-29</v>
      </c>
      <c r="D9080" t="s">
        <v>7</v>
      </c>
    </row>
    <row r="9081" spans="1:4">
      <c r="A9081" t="s">
        <v>6</v>
      </c>
      <c r="B9081">
        <v>34</v>
      </c>
      <c r="C9081" t="str">
        <f>CHOOSE(MATCH(B9081, {20,25,30,35,40,45,50,55,60,65,70,75,80,85}, 1), "20-24", "25-29", "30-34", "35-39", "40-44", "45-49", "50-54", "55-59", "60-64", "65-69", "70-74", "75-79", "80-84", "85+")</f>
        <v>30-34</v>
      </c>
      <c r="D9081" t="s">
        <v>7</v>
      </c>
    </row>
    <row r="9082" spans="1:4">
      <c r="A9082" t="s">
        <v>6</v>
      </c>
      <c r="B9082">
        <v>65</v>
      </c>
      <c r="C9082" t="str">
        <f>CHOOSE(MATCH(B9082, {20,25,30,35,40,45,50,55,60,65,70,75,80,85}, 1), "20-24", "25-29", "30-34", "35-39", "40-44", "45-49", "50-54", "55-59", "60-64", "65-69", "70-74", "75-79", "80-84", "85+")</f>
        <v>65-69</v>
      </c>
      <c r="D9082" t="s">
        <v>8</v>
      </c>
    </row>
    <row r="9083" spans="1:4">
      <c r="A9083" t="s">
        <v>6</v>
      </c>
      <c r="B9083">
        <v>31</v>
      </c>
      <c r="C9083" t="str">
        <f>CHOOSE(MATCH(B9083, {20,25,30,35,40,45,50,55,60,65,70,75,80,85}, 1), "20-24", "25-29", "30-34", "35-39", "40-44", "45-49", "50-54", "55-59", "60-64", "65-69", "70-74", "75-79", "80-84", "85+")</f>
        <v>30-34</v>
      </c>
      <c r="D9083" t="s">
        <v>7</v>
      </c>
    </row>
    <row r="9084" spans="1:4">
      <c r="A9084" t="s">
        <v>6</v>
      </c>
      <c r="B9084">
        <v>55</v>
      </c>
      <c r="C9084" t="str">
        <f>CHOOSE(MATCH(B9084, {20,25,30,35,40,45,50,55,60,65,70,75,80,85}, 1), "20-24", "25-29", "30-34", "35-39", "40-44", "45-49", "50-54", "55-59", "60-64", "65-69", "70-74", "75-79", "80-84", "85+")</f>
        <v>55-59</v>
      </c>
      <c r="D9084" t="s">
        <v>7</v>
      </c>
    </row>
    <row r="9085" spans="1:4">
      <c r="A9085" t="s">
        <v>6</v>
      </c>
      <c r="B9085">
        <v>38</v>
      </c>
      <c r="C9085" t="str">
        <f>CHOOSE(MATCH(B9085, {20,25,30,35,40,45,50,55,60,65,70,75,80,85}, 1), "20-24", "25-29", "30-34", "35-39", "40-44", "45-49", "50-54", "55-59", "60-64", "65-69", "70-74", "75-79", "80-84", "85+")</f>
        <v>35-39</v>
      </c>
      <c r="D9085" t="s">
        <v>7</v>
      </c>
    </row>
    <row r="9086" spans="1:4">
      <c r="A9086" t="s">
        <v>6</v>
      </c>
      <c r="B9086">
        <v>32</v>
      </c>
      <c r="C9086" t="str">
        <f>CHOOSE(MATCH(B9086, {20,25,30,35,40,45,50,55,60,65,70,75,80,85}, 1), "20-24", "25-29", "30-34", "35-39", "40-44", "45-49", "50-54", "55-59", "60-64", "65-69", "70-74", "75-79", "80-84", "85+")</f>
        <v>30-34</v>
      </c>
      <c r="D9086" t="s">
        <v>7</v>
      </c>
    </row>
    <row r="9087" spans="1:4">
      <c r="A9087" t="s">
        <v>6</v>
      </c>
      <c r="B9087">
        <v>38</v>
      </c>
      <c r="C9087" t="str">
        <f>CHOOSE(MATCH(B9087, {20,25,30,35,40,45,50,55,60,65,70,75,80,85}, 1), "20-24", "25-29", "30-34", "35-39", "40-44", "45-49", "50-54", "55-59", "60-64", "65-69", "70-74", "75-79", "80-84", "85+")</f>
        <v>35-39</v>
      </c>
      <c r="D9087" t="s">
        <v>7</v>
      </c>
    </row>
    <row r="9088" spans="1:4">
      <c r="A9088" t="s">
        <v>6</v>
      </c>
      <c r="B9088">
        <v>36</v>
      </c>
      <c r="C9088" t="str">
        <f>CHOOSE(MATCH(B9088, {20,25,30,35,40,45,50,55,60,65,70,75,80,85}, 1), "20-24", "25-29", "30-34", "35-39", "40-44", "45-49", "50-54", "55-59", "60-64", "65-69", "70-74", "75-79", "80-84", "85+")</f>
        <v>35-39</v>
      </c>
      <c r="D9088" t="s">
        <v>7</v>
      </c>
    </row>
    <row r="9089" spans="1:4">
      <c r="A9089" t="s">
        <v>6</v>
      </c>
      <c r="B9089">
        <v>45</v>
      </c>
      <c r="C9089" t="str">
        <f>CHOOSE(MATCH(B9089, {20,25,30,35,40,45,50,55,60,65,70,75,80,85}, 1), "20-24", "25-29", "30-34", "35-39", "40-44", "45-49", "50-54", "55-59", "60-64", "65-69", "70-74", "75-79", "80-84", "85+")</f>
        <v>45-49</v>
      </c>
      <c r="D9089" t="s">
        <v>7</v>
      </c>
    </row>
    <row r="9090" spans="1:4">
      <c r="A9090" t="s">
        <v>6</v>
      </c>
      <c r="B9090">
        <v>30</v>
      </c>
      <c r="C9090" t="str">
        <f>CHOOSE(MATCH(B9090, {20,25,30,35,40,45,50,55,60,65,70,75,80,85}, 1), "20-24", "25-29", "30-34", "35-39", "40-44", "45-49", "50-54", "55-59", "60-64", "65-69", "70-74", "75-79", "80-84", "85+")</f>
        <v>30-34</v>
      </c>
      <c r="D9090" t="s">
        <v>8</v>
      </c>
    </row>
    <row r="9091" spans="1:4">
      <c r="A9091" t="s">
        <v>6</v>
      </c>
      <c r="B9091">
        <v>41</v>
      </c>
      <c r="C9091" t="str">
        <f>CHOOSE(MATCH(B9091, {20,25,30,35,40,45,50,55,60,65,70,75,80,85}, 1), "20-24", "25-29", "30-34", "35-39", "40-44", "45-49", "50-54", "55-59", "60-64", "65-69", "70-74", "75-79", "80-84", "85+")</f>
        <v>40-44</v>
      </c>
      <c r="D9091" t="s">
        <v>8</v>
      </c>
    </row>
    <row r="9092" spans="1:4">
      <c r="A9092" t="s">
        <v>6</v>
      </c>
      <c r="B9092">
        <v>39</v>
      </c>
      <c r="C9092" t="str">
        <f>CHOOSE(MATCH(B9092, {20,25,30,35,40,45,50,55,60,65,70,75,80,85}, 1), "20-24", "25-29", "30-34", "35-39", "40-44", "45-49", "50-54", "55-59", "60-64", "65-69", "70-74", "75-79", "80-84", "85+")</f>
        <v>35-39</v>
      </c>
      <c r="D9092" t="s">
        <v>8</v>
      </c>
    </row>
    <row r="9093" spans="1:4">
      <c r="A9093" t="s">
        <v>6</v>
      </c>
      <c r="B9093">
        <v>32</v>
      </c>
      <c r="C9093" t="str">
        <f>CHOOSE(MATCH(B9093, {20,25,30,35,40,45,50,55,60,65,70,75,80,85}, 1), "20-24", "25-29", "30-34", "35-39", "40-44", "45-49", "50-54", "55-59", "60-64", "65-69", "70-74", "75-79", "80-84", "85+")</f>
        <v>30-34</v>
      </c>
      <c r="D9093" t="s">
        <v>8</v>
      </c>
    </row>
    <row r="9094" spans="1:4">
      <c r="A9094" t="s">
        <v>6</v>
      </c>
      <c r="B9094">
        <v>68</v>
      </c>
      <c r="C9094" t="str">
        <f>CHOOSE(MATCH(B9094, {20,25,30,35,40,45,50,55,60,65,70,75,80,85}, 1), "20-24", "25-29", "30-34", "35-39", "40-44", "45-49", "50-54", "55-59", "60-64", "65-69", "70-74", "75-79", "80-84", "85+")</f>
        <v>65-69</v>
      </c>
      <c r="D9094" t="s">
        <v>8</v>
      </c>
    </row>
    <row r="9095" spans="1:4">
      <c r="A9095" t="s">
        <v>6</v>
      </c>
      <c r="B9095">
        <v>32</v>
      </c>
      <c r="C9095" t="str">
        <f>CHOOSE(MATCH(B9095, {20,25,30,35,40,45,50,55,60,65,70,75,80,85}, 1), "20-24", "25-29", "30-34", "35-39", "40-44", "45-49", "50-54", "55-59", "60-64", "65-69", "70-74", "75-79", "80-84", "85+")</f>
        <v>30-34</v>
      </c>
      <c r="D9095" t="s">
        <v>7</v>
      </c>
    </row>
    <row r="9096" spans="1:4">
      <c r="A9096" t="s">
        <v>6</v>
      </c>
      <c r="B9096">
        <v>71</v>
      </c>
      <c r="C9096" t="str">
        <f>CHOOSE(MATCH(B9096, {20,25,30,35,40,45,50,55,60,65,70,75,80,85}, 1), "20-24", "25-29", "30-34", "35-39", "40-44", "45-49", "50-54", "55-59", "60-64", "65-69", "70-74", "75-79", "80-84", "85+")</f>
        <v>70-74</v>
      </c>
      <c r="D9096" t="s">
        <v>8</v>
      </c>
    </row>
    <row r="9097" spans="1:4">
      <c r="A9097" t="s">
        <v>6</v>
      </c>
      <c r="B9097">
        <v>60</v>
      </c>
      <c r="C9097" t="str">
        <f>CHOOSE(MATCH(B9097, {20,25,30,35,40,45,50,55,60,65,70,75,80,85}, 1), "20-24", "25-29", "30-34", "35-39", "40-44", "45-49", "50-54", "55-59", "60-64", "65-69", "70-74", "75-79", "80-84", "85+")</f>
        <v>60-64</v>
      </c>
      <c r="D9097" t="s">
        <v>8</v>
      </c>
    </row>
    <row r="9098" spans="1:4">
      <c r="A9098" t="s">
        <v>6</v>
      </c>
      <c r="B9098">
        <v>58</v>
      </c>
      <c r="C9098" t="str">
        <f>CHOOSE(MATCH(B9098, {20,25,30,35,40,45,50,55,60,65,70,75,80,85}, 1), "20-24", "25-29", "30-34", "35-39", "40-44", "45-49", "50-54", "55-59", "60-64", "65-69", "70-74", "75-79", "80-84", "85+")</f>
        <v>55-59</v>
      </c>
      <c r="D9098" t="s">
        <v>7</v>
      </c>
    </row>
    <row r="9099" spans="1:4">
      <c r="A9099" t="s">
        <v>6</v>
      </c>
      <c r="B9099">
        <v>50</v>
      </c>
      <c r="C9099" t="str">
        <f>CHOOSE(MATCH(B9099, {20,25,30,35,40,45,50,55,60,65,70,75,80,85}, 1), "20-24", "25-29", "30-34", "35-39", "40-44", "45-49", "50-54", "55-59", "60-64", "65-69", "70-74", "75-79", "80-84", "85+")</f>
        <v>50-54</v>
      </c>
      <c r="D9099" t="s">
        <v>8</v>
      </c>
    </row>
    <row r="9100" spans="1:4">
      <c r="A9100" t="s">
        <v>6</v>
      </c>
      <c r="B9100">
        <v>43</v>
      </c>
      <c r="C9100" t="str">
        <f>CHOOSE(MATCH(B9100, {20,25,30,35,40,45,50,55,60,65,70,75,80,85}, 1), "20-24", "25-29", "30-34", "35-39", "40-44", "45-49", "50-54", "55-59", "60-64", "65-69", "70-74", "75-79", "80-84", "85+")</f>
        <v>40-44</v>
      </c>
      <c r="D9100" t="s">
        <v>8</v>
      </c>
    </row>
    <row r="9101" spans="1:4">
      <c r="A9101" t="s">
        <v>6</v>
      </c>
      <c r="B9101">
        <v>31</v>
      </c>
      <c r="C9101" t="str">
        <f>CHOOSE(MATCH(B9101, {20,25,30,35,40,45,50,55,60,65,70,75,80,85}, 1), "20-24", "25-29", "30-34", "35-39", "40-44", "45-49", "50-54", "55-59", "60-64", "65-69", "70-74", "75-79", "80-84", "85+")</f>
        <v>30-34</v>
      </c>
      <c r="D9101" t="s">
        <v>7</v>
      </c>
    </row>
    <row r="9102" spans="1:4">
      <c r="A9102" t="s">
        <v>6</v>
      </c>
      <c r="B9102">
        <v>49</v>
      </c>
      <c r="C9102" t="str">
        <f>CHOOSE(MATCH(B9102, {20,25,30,35,40,45,50,55,60,65,70,75,80,85}, 1), "20-24", "25-29", "30-34", "35-39", "40-44", "45-49", "50-54", "55-59", "60-64", "65-69", "70-74", "75-79", "80-84", "85+")</f>
        <v>45-49</v>
      </c>
      <c r="D9102" t="s">
        <v>8</v>
      </c>
    </row>
    <row r="9103" spans="1:4">
      <c r="A9103" t="s">
        <v>6</v>
      </c>
      <c r="B9103">
        <v>51</v>
      </c>
      <c r="C9103" t="str">
        <f>CHOOSE(MATCH(B9103, {20,25,30,35,40,45,50,55,60,65,70,75,80,85}, 1), "20-24", "25-29", "30-34", "35-39", "40-44", "45-49", "50-54", "55-59", "60-64", "65-69", "70-74", "75-79", "80-84", "85+")</f>
        <v>50-54</v>
      </c>
      <c r="D9103" t="s">
        <v>7</v>
      </c>
    </row>
    <row r="9104" spans="1:4">
      <c r="A9104" t="s">
        <v>6</v>
      </c>
      <c r="B9104">
        <v>30</v>
      </c>
      <c r="C9104" t="str">
        <f>CHOOSE(MATCH(B9104, {20,25,30,35,40,45,50,55,60,65,70,75,80,85}, 1), "20-24", "25-29", "30-34", "35-39", "40-44", "45-49", "50-54", "55-59", "60-64", "65-69", "70-74", "75-79", "80-84", "85+")</f>
        <v>30-34</v>
      </c>
      <c r="D9104" t="s">
        <v>7</v>
      </c>
    </row>
    <row r="9105" spans="1:4">
      <c r="A9105" t="s">
        <v>6</v>
      </c>
      <c r="B9105">
        <v>30</v>
      </c>
      <c r="C9105" t="str">
        <f>CHOOSE(MATCH(B9105, {20,25,30,35,40,45,50,55,60,65,70,75,80,85}, 1), "20-24", "25-29", "30-34", "35-39", "40-44", "45-49", "50-54", "55-59", "60-64", "65-69", "70-74", "75-79", "80-84", "85+")</f>
        <v>30-34</v>
      </c>
      <c r="D9105" t="s">
        <v>8</v>
      </c>
    </row>
    <row r="9106" spans="1:4">
      <c r="A9106" t="s">
        <v>6</v>
      </c>
      <c r="B9106">
        <v>32</v>
      </c>
      <c r="C9106" t="str">
        <f>CHOOSE(MATCH(B9106, {20,25,30,35,40,45,50,55,60,65,70,75,80,85}, 1), "20-24", "25-29", "30-34", "35-39", "40-44", "45-49", "50-54", "55-59", "60-64", "65-69", "70-74", "75-79", "80-84", "85+")</f>
        <v>30-34</v>
      </c>
      <c r="D9106" t="s">
        <v>8</v>
      </c>
    </row>
    <row r="9107" spans="1:4">
      <c r="A9107" t="s">
        <v>6</v>
      </c>
      <c r="B9107">
        <v>54</v>
      </c>
      <c r="C9107" t="str">
        <f>CHOOSE(MATCH(B9107, {20,25,30,35,40,45,50,55,60,65,70,75,80,85}, 1), "20-24", "25-29", "30-34", "35-39", "40-44", "45-49", "50-54", "55-59", "60-64", "65-69", "70-74", "75-79", "80-84", "85+")</f>
        <v>50-54</v>
      </c>
      <c r="D9107" t="s">
        <v>8</v>
      </c>
    </row>
    <row r="9108" spans="1:4">
      <c r="A9108" t="s">
        <v>6</v>
      </c>
      <c r="B9108">
        <v>47</v>
      </c>
      <c r="C9108" t="str">
        <f>CHOOSE(MATCH(B9108, {20,25,30,35,40,45,50,55,60,65,70,75,80,85}, 1), "20-24", "25-29", "30-34", "35-39", "40-44", "45-49", "50-54", "55-59", "60-64", "65-69", "70-74", "75-79", "80-84", "85+")</f>
        <v>45-49</v>
      </c>
      <c r="D9108" t="s">
        <v>7</v>
      </c>
    </row>
    <row r="9109" spans="1:4">
      <c r="A9109" t="s">
        <v>6</v>
      </c>
      <c r="B9109">
        <v>46</v>
      </c>
      <c r="C9109" t="str">
        <f>CHOOSE(MATCH(B9109, {20,25,30,35,40,45,50,55,60,65,70,75,80,85}, 1), "20-24", "25-29", "30-34", "35-39", "40-44", "45-49", "50-54", "55-59", "60-64", "65-69", "70-74", "75-79", "80-84", "85+")</f>
        <v>45-49</v>
      </c>
      <c r="D9109" t="s">
        <v>8</v>
      </c>
    </row>
    <row r="9110" spans="1:4">
      <c r="A9110" t="s">
        <v>6</v>
      </c>
      <c r="B9110">
        <v>32</v>
      </c>
      <c r="C9110" t="str">
        <f>CHOOSE(MATCH(B9110, {20,25,30,35,40,45,50,55,60,65,70,75,80,85}, 1), "20-24", "25-29", "30-34", "35-39", "40-44", "45-49", "50-54", "55-59", "60-64", "65-69", "70-74", "75-79", "80-84", "85+")</f>
        <v>30-34</v>
      </c>
      <c r="D9110" t="s">
        <v>8</v>
      </c>
    </row>
    <row r="9111" spans="1:4">
      <c r="A9111" t="s">
        <v>6</v>
      </c>
      <c r="B9111">
        <v>37</v>
      </c>
      <c r="C9111" t="str">
        <f>CHOOSE(MATCH(B9111, {20,25,30,35,40,45,50,55,60,65,70,75,80,85}, 1), "20-24", "25-29", "30-34", "35-39", "40-44", "45-49", "50-54", "55-59", "60-64", "65-69", "70-74", "75-79", "80-84", "85+")</f>
        <v>35-39</v>
      </c>
      <c r="D9111" t="s">
        <v>7</v>
      </c>
    </row>
    <row r="9112" spans="1:4">
      <c r="A9112" t="s">
        <v>6</v>
      </c>
      <c r="B9112">
        <v>32</v>
      </c>
      <c r="C9112" t="str">
        <f>CHOOSE(MATCH(B9112, {20,25,30,35,40,45,50,55,60,65,70,75,80,85}, 1), "20-24", "25-29", "30-34", "35-39", "40-44", "45-49", "50-54", "55-59", "60-64", "65-69", "70-74", "75-79", "80-84", "85+")</f>
        <v>30-34</v>
      </c>
      <c r="D9112" t="s">
        <v>7</v>
      </c>
    </row>
    <row r="9113" spans="1:4">
      <c r="A9113" t="s">
        <v>6</v>
      </c>
      <c r="B9113">
        <v>35</v>
      </c>
      <c r="C9113" t="str">
        <f>CHOOSE(MATCH(B9113, {20,25,30,35,40,45,50,55,60,65,70,75,80,85}, 1), "20-24", "25-29", "30-34", "35-39", "40-44", "45-49", "50-54", "55-59", "60-64", "65-69", "70-74", "75-79", "80-84", "85+")</f>
        <v>35-39</v>
      </c>
      <c r="D9113" t="s">
        <v>7</v>
      </c>
    </row>
    <row r="9114" spans="1:4">
      <c r="A9114" t="s">
        <v>6</v>
      </c>
      <c r="B9114">
        <v>28</v>
      </c>
      <c r="C9114" t="str">
        <f>CHOOSE(MATCH(B9114, {20,25,30,35,40,45,50,55,60,65,70,75,80,85}, 1), "20-24", "25-29", "30-34", "35-39", "40-44", "45-49", "50-54", "55-59", "60-64", "65-69", "70-74", "75-79", "80-84", "85+")</f>
        <v>25-29</v>
      </c>
      <c r="D9114" t="s">
        <v>7</v>
      </c>
    </row>
    <row r="9115" spans="1:4">
      <c r="A9115" t="s">
        <v>6</v>
      </c>
      <c r="B9115">
        <v>23</v>
      </c>
      <c r="C9115" t="str">
        <f>CHOOSE(MATCH(B9115, {20,25,30,35,40,45,50,55,60,65,70,75,80,85}, 1), "20-24", "25-29", "30-34", "35-39", "40-44", "45-49", "50-54", "55-59", "60-64", "65-69", "70-74", "75-79", "80-84", "85+")</f>
        <v>20-24</v>
      </c>
      <c r="D9115" t="s">
        <v>7</v>
      </c>
    </row>
    <row r="9116" spans="1:4">
      <c r="A9116" t="s">
        <v>6</v>
      </c>
      <c r="B9116">
        <v>42</v>
      </c>
      <c r="C9116" t="str">
        <f>CHOOSE(MATCH(B9116, {20,25,30,35,40,45,50,55,60,65,70,75,80,85}, 1), "20-24", "25-29", "30-34", "35-39", "40-44", "45-49", "50-54", "55-59", "60-64", "65-69", "70-74", "75-79", "80-84", "85+")</f>
        <v>40-44</v>
      </c>
      <c r="D9116" t="s">
        <v>8</v>
      </c>
    </row>
    <row r="9117" spans="1:4">
      <c r="A9117" t="s">
        <v>6</v>
      </c>
      <c r="B9117">
        <v>31</v>
      </c>
      <c r="C9117" t="str">
        <f>CHOOSE(MATCH(B9117, {20,25,30,35,40,45,50,55,60,65,70,75,80,85}, 1), "20-24", "25-29", "30-34", "35-39", "40-44", "45-49", "50-54", "55-59", "60-64", "65-69", "70-74", "75-79", "80-84", "85+")</f>
        <v>30-34</v>
      </c>
      <c r="D9117" t="s">
        <v>7</v>
      </c>
    </row>
    <row r="9118" spans="1:4">
      <c r="A9118" t="s">
        <v>6</v>
      </c>
      <c r="B9118">
        <v>24</v>
      </c>
      <c r="C9118" t="str">
        <f>CHOOSE(MATCH(B9118, {20,25,30,35,40,45,50,55,60,65,70,75,80,85}, 1), "20-24", "25-29", "30-34", "35-39", "40-44", "45-49", "50-54", "55-59", "60-64", "65-69", "70-74", "75-79", "80-84", "85+")</f>
        <v>20-24</v>
      </c>
      <c r="D9118" t="s">
        <v>7</v>
      </c>
    </row>
    <row r="9119" spans="1:4">
      <c r="A9119" t="s">
        <v>6</v>
      </c>
      <c r="B9119">
        <v>40</v>
      </c>
      <c r="C9119" t="str">
        <f>CHOOSE(MATCH(B9119, {20,25,30,35,40,45,50,55,60,65,70,75,80,85}, 1), "20-24", "25-29", "30-34", "35-39", "40-44", "45-49", "50-54", "55-59", "60-64", "65-69", "70-74", "75-79", "80-84", "85+")</f>
        <v>40-44</v>
      </c>
      <c r="D9119" t="s">
        <v>8</v>
      </c>
    </row>
    <row r="9120" spans="1:4">
      <c r="A9120" t="s">
        <v>6</v>
      </c>
      <c r="B9120">
        <v>38</v>
      </c>
      <c r="C9120" t="str">
        <f>CHOOSE(MATCH(B9120, {20,25,30,35,40,45,50,55,60,65,70,75,80,85}, 1), "20-24", "25-29", "30-34", "35-39", "40-44", "45-49", "50-54", "55-59", "60-64", "65-69", "70-74", "75-79", "80-84", "85+")</f>
        <v>35-39</v>
      </c>
      <c r="D9120" t="s">
        <v>7</v>
      </c>
    </row>
    <row r="9121" spans="1:4">
      <c r="A9121" t="s">
        <v>6</v>
      </c>
      <c r="B9121">
        <v>40</v>
      </c>
      <c r="C9121" t="str">
        <f>CHOOSE(MATCH(B9121, {20,25,30,35,40,45,50,55,60,65,70,75,80,85}, 1), "20-24", "25-29", "30-34", "35-39", "40-44", "45-49", "50-54", "55-59", "60-64", "65-69", "70-74", "75-79", "80-84", "85+")</f>
        <v>40-44</v>
      </c>
      <c r="D9121" t="s">
        <v>7</v>
      </c>
    </row>
    <row r="9122" spans="1:4">
      <c r="A9122" t="s">
        <v>6</v>
      </c>
      <c r="B9122">
        <v>34</v>
      </c>
      <c r="C9122" t="str">
        <f>CHOOSE(MATCH(B9122, {20,25,30,35,40,45,50,55,60,65,70,75,80,85}, 1), "20-24", "25-29", "30-34", "35-39", "40-44", "45-49", "50-54", "55-59", "60-64", "65-69", "70-74", "75-79", "80-84", "85+")</f>
        <v>30-34</v>
      </c>
      <c r="D9122" t="s">
        <v>8</v>
      </c>
    </row>
    <row r="9123" spans="1:4">
      <c r="A9123" t="s">
        <v>6</v>
      </c>
      <c r="B9123">
        <v>80</v>
      </c>
      <c r="C9123" t="str">
        <f>CHOOSE(MATCH(B9123, {20,25,30,35,40,45,50,55,60,65,70,75,80,85}, 1), "20-24", "25-29", "30-34", "35-39", "40-44", "45-49", "50-54", "55-59", "60-64", "65-69", "70-74", "75-79", "80-84", "85+")</f>
        <v>80-84</v>
      </c>
      <c r="D9123" t="s">
        <v>7</v>
      </c>
    </row>
    <row r="9124" spans="1:4">
      <c r="A9124" t="s">
        <v>6</v>
      </c>
      <c r="B9124">
        <v>43</v>
      </c>
      <c r="C9124" t="str">
        <f>CHOOSE(MATCH(B9124, {20,25,30,35,40,45,50,55,60,65,70,75,80,85}, 1), "20-24", "25-29", "30-34", "35-39", "40-44", "45-49", "50-54", "55-59", "60-64", "65-69", "70-74", "75-79", "80-84", "85+")</f>
        <v>40-44</v>
      </c>
      <c r="D9124" t="s">
        <v>7</v>
      </c>
    </row>
    <row r="9125" spans="1:4">
      <c r="A9125" t="s">
        <v>6</v>
      </c>
      <c r="B9125">
        <v>21</v>
      </c>
      <c r="C9125" t="str">
        <f>CHOOSE(MATCH(B9125, {20,25,30,35,40,45,50,55,60,65,70,75,80,85}, 1), "20-24", "25-29", "30-34", "35-39", "40-44", "45-49", "50-54", "55-59", "60-64", "65-69", "70-74", "75-79", "80-84", "85+")</f>
        <v>20-24</v>
      </c>
      <c r="D9125" t="s">
        <v>8</v>
      </c>
    </row>
    <row r="9126" spans="1:4">
      <c r="A9126" t="s">
        <v>6</v>
      </c>
      <c r="B9126">
        <v>35</v>
      </c>
      <c r="C9126" t="str">
        <f>CHOOSE(MATCH(B9126, {20,25,30,35,40,45,50,55,60,65,70,75,80,85}, 1), "20-24", "25-29", "30-34", "35-39", "40-44", "45-49", "50-54", "55-59", "60-64", "65-69", "70-74", "75-79", "80-84", "85+")</f>
        <v>35-39</v>
      </c>
      <c r="D9126" t="s">
        <v>8</v>
      </c>
    </row>
    <row r="9127" spans="1:4">
      <c r="A9127" t="s">
        <v>6</v>
      </c>
      <c r="B9127">
        <v>26</v>
      </c>
      <c r="C9127" t="str">
        <f>CHOOSE(MATCH(B9127, {20,25,30,35,40,45,50,55,60,65,70,75,80,85}, 1), "20-24", "25-29", "30-34", "35-39", "40-44", "45-49", "50-54", "55-59", "60-64", "65-69", "70-74", "75-79", "80-84", "85+")</f>
        <v>25-29</v>
      </c>
      <c r="D9127" t="s">
        <v>7</v>
      </c>
    </row>
    <row r="9128" spans="1:4">
      <c r="A9128" t="s">
        <v>6</v>
      </c>
      <c r="B9128">
        <v>75</v>
      </c>
      <c r="C9128" t="str">
        <f>CHOOSE(MATCH(B9128, {20,25,30,35,40,45,50,55,60,65,70,75,80,85}, 1), "20-24", "25-29", "30-34", "35-39", "40-44", "45-49", "50-54", "55-59", "60-64", "65-69", "70-74", "75-79", "80-84", "85+")</f>
        <v>75-79</v>
      </c>
      <c r="D9128" t="s">
        <v>8</v>
      </c>
    </row>
    <row r="9129" spans="1:4">
      <c r="A9129" t="s">
        <v>6</v>
      </c>
      <c r="B9129">
        <v>46</v>
      </c>
      <c r="C9129" t="str">
        <f>CHOOSE(MATCH(B9129, {20,25,30,35,40,45,50,55,60,65,70,75,80,85}, 1), "20-24", "25-29", "30-34", "35-39", "40-44", "45-49", "50-54", "55-59", "60-64", "65-69", "70-74", "75-79", "80-84", "85+")</f>
        <v>45-49</v>
      </c>
      <c r="D9129" t="s">
        <v>7</v>
      </c>
    </row>
    <row r="9130" spans="1:4">
      <c r="A9130" t="s">
        <v>6</v>
      </c>
      <c r="B9130">
        <v>55</v>
      </c>
      <c r="C9130" t="str">
        <f>CHOOSE(MATCH(B9130, {20,25,30,35,40,45,50,55,60,65,70,75,80,85}, 1), "20-24", "25-29", "30-34", "35-39", "40-44", "45-49", "50-54", "55-59", "60-64", "65-69", "70-74", "75-79", "80-84", "85+")</f>
        <v>55-59</v>
      </c>
      <c r="D9130" t="s">
        <v>8</v>
      </c>
    </row>
    <row r="9131" spans="1:4">
      <c r="A9131" t="s">
        <v>6</v>
      </c>
      <c r="B9131">
        <v>59</v>
      </c>
      <c r="C9131" t="str">
        <f>CHOOSE(MATCH(B9131, {20,25,30,35,40,45,50,55,60,65,70,75,80,85}, 1), "20-24", "25-29", "30-34", "35-39", "40-44", "45-49", "50-54", "55-59", "60-64", "65-69", "70-74", "75-79", "80-84", "85+")</f>
        <v>55-59</v>
      </c>
      <c r="D9131" t="s">
        <v>8</v>
      </c>
    </row>
    <row r="9132" spans="1:4">
      <c r="A9132" t="s">
        <v>6</v>
      </c>
      <c r="B9132">
        <v>31</v>
      </c>
      <c r="C9132" t="str">
        <f>CHOOSE(MATCH(B9132, {20,25,30,35,40,45,50,55,60,65,70,75,80,85}, 1), "20-24", "25-29", "30-34", "35-39", "40-44", "45-49", "50-54", "55-59", "60-64", "65-69", "70-74", "75-79", "80-84", "85+")</f>
        <v>30-34</v>
      </c>
      <c r="D9132" t="s">
        <v>7</v>
      </c>
    </row>
    <row r="9133" spans="1:4">
      <c r="A9133" t="s">
        <v>6</v>
      </c>
      <c r="B9133">
        <v>24</v>
      </c>
      <c r="C9133" t="str">
        <f>CHOOSE(MATCH(B9133, {20,25,30,35,40,45,50,55,60,65,70,75,80,85}, 1), "20-24", "25-29", "30-34", "35-39", "40-44", "45-49", "50-54", "55-59", "60-64", "65-69", "70-74", "75-79", "80-84", "85+")</f>
        <v>20-24</v>
      </c>
      <c r="D9133" t="s">
        <v>8</v>
      </c>
    </row>
    <row r="9134" spans="1:4">
      <c r="A9134" t="s">
        <v>6</v>
      </c>
      <c r="B9134">
        <v>56</v>
      </c>
      <c r="C9134" t="str">
        <f>CHOOSE(MATCH(B9134, {20,25,30,35,40,45,50,55,60,65,70,75,80,85}, 1), "20-24", "25-29", "30-34", "35-39", "40-44", "45-49", "50-54", "55-59", "60-64", "65-69", "70-74", "75-79", "80-84", "85+")</f>
        <v>55-59</v>
      </c>
      <c r="D9134" t="s">
        <v>7</v>
      </c>
    </row>
    <row r="9135" spans="1:4">
      <c r="A9135" t="s">
        <v>6</v>
      </c>
      <c r="B9135">
        <v>88</v>
      </c>
      <c r="C9135" t="str">
        <f>CHOOSE(MATCH(B9135, {20,25,30,35,40,45,50,55,60,65,70,75,80,85}, 1), "20-24", "25-29", "30-34", "35-39", "40-44", "45-49", "50-54", "55-59", "60-64", "65-69", "70-74", "75-79", "80-84", "85+")</f>
        <v>85+</v>
      </c>
      <c r="D9135" t="s">
        <v>7</v>
      </c>
    </row>
    <row r="9136" spans="1:4">
      <c r="A9136" t="s">
        <v>6</v>
      </c>
      <c r="B9136">
        <v>44</v>
      </c>
      <c r="C9136" t="str">
        <f>CHOOSE(MATCH(B9136, {20,25,30,35,40,45,50,55,60,65,70,75,80,85}, 1), "20-24", "25-29", "30-34", "35-39", "40-44", "45-49", "50-54", "55-59", "60-64", "65-69", "70-74", "75-79", "80-84", "85+")</f>
        <v>40-44</v>
      </c>
      <c r="D9136" t="s">
        <v>8</v>
      </c>
    </row>
    <row r="9137" spans="1:4">
      <c r="A9137" t="s">
        <v>6</v>
      </c>
      <c r="B9137">
        <v>28</v>
      </c>
      <c r="C9137" t="str">
        <f>CHOOSE(MATCH(B9137, {20,25,30,35,40,45,50,55,60,65,70,75,80,85}, 1), "20-24", "25-29", "30-34", "35-39", "40-44", "45-49", "50-54", "55-59", "60-64", "65-69", "70-74", "75-79", "80-84", "85+")</f>
        <v>25-29</v>
      </c>
      <c r="D9137" t="s">
        <v>7</v>
      </c>
    </row>
    <row r="9138" spans="1:4">
      <c r="A9138" t="s">
        <v>6</v>
      </c>
      <c r="B9138">
        <v>42</v>
      </c>
      <c r="C9138" t="str">
        <f>CHOOSE(MATCH(B9138, {20,25,30,35,40,45,50,55,60,65,70,75,80,85}, 1), "20-24", "25-29", "30-34", "35-39", "40-44", "45-49", "50-54", "55-59", "60-64", "65-69", "70-74", "75-79", "80-84", "85+")</f>
        <v>40-44</v>
      </c>
      <c r="D9138" t="s">
        <v>7</v>
      </c>
    </row>
    <row r="9139" spans="1:4">
      <c r="A9139" t="s">
        <v>6</v>
      </c>
      <c r="B9139">
        <v>59</v>
      </c>
      <c r="C9139" t="str">
        <f>CHOOSE(MATCH(B9139, {20,25,30,35,40,45,50,55,60,65,70,75,80,85}, 1), "20-24", "25-29", "30-34", "35-39", "40-44", "45-49", "50-54", "55-59", "60-64", "65-69", "70-74", "75-79", "80-84", "85+")</f>
        <v>55-59</v>
      </c>
      <c r="D9139" t="s">
        <v>7</v>
      </c>
    </row>
    <row r="9140" spans="1:4">
      <c r="A9140" t="s">
        <v>6</v>
      </c>
      <c r="B9140">
        <v>54</v>
      </c>
      <c r="C9140" t="str">
        <f>CHOOSE(MATCH(B9140, {20,25,30,35,40,45,50,55,60,65,70,75,80,85}, 1), "20-24", "25-29", "30-34", "35-39", "40-44", "45-49", "50-54", "55-59", "60-64", "65-69", "70-74", "75-79", "80-84", "85+")</f>
        <v>50-54</v>
      </c>
      <c r="D9140" t="s">
        <v>7</v>
      </c>
    </row>
    <row r="9141" spans="1:4">
      <c r="A9141" t="s">
        <v>6</v>
      </c>
      <c r="B9141">
        <v>64</v>
      </c>
      <c r="C9141" t="str">
        <f>CHOOSE(MATCH(B9141, {20,25,30,35,40,45,50,55,60,65,70,75,80,85}, 1), "20-24", "25-29", "30-34", "35-39", "40-44", "45-49", "50-54", "55-59", "60-64", "65-69", "70-74", "75-79", "80-84", "85+")</f>
        <v>60-64</v>
      </c>
      <c r="D9141" t="s">
        <v>8</v>
      </c>
    </row>
    <row r="9142" spans="1:4">
      <c r="A9142" t="s">
        <v>6</v>
      </c>
      <c r="B9142">
        <v>26</v>
      </c>
      <c r="C9142" t="str">
        <f>CHOOSE(MATCH(B9142, {20,25,30,35,40,45,50,55,60,65,70,75,80,85}, 1), "20-24", "25-29", "30-34", "35-39", "40-44", "45-49", "50-54", "55-59", "60-64", "65-69", "70-74", "75-79", "80-84", "85+")</f>
        <v>25-29</v>
      </c>
      <c r="D9142" t="s">
        <v>8</v>
      </c>
    </row>
    <row r="9143" spans="1:4">
      <c r="A9143" t="s">
        <v>6</v>
      </c>
      <c r="B9143">
        <v>31</v>
      </c>
      <c r="C9143" t="str">
        <f>CHOOSE(MATCH(B9143, {20,25,30,35,40,45,50,55,60,65,70,75,80,85}, 1), "20-24", "25-29", "30-34", "35-39", "40-44", "45-49", "50-54", "55-59", "60-64", "65-69", "70-74", "75-79", "80-84", "85+")</f>
        <v>30-34</v>
      </c>
      <c r="D9143" t="s">
        <v>7</v>
      </c>
    </row>
    <row r="9144" spans="1:4">
      <c r="A9144" t="s">
        <v>6</v>
      </c>
      <c r="B9144">
        <v>40</v>
      </c>
      <c r="C9144" t="str">
        <f>CHOOSE(MATCH(B9144, {20,25,30,35,40,45,50,55,60,65,70,75,80,85}, 1), "20-24", "25-29", "30-34", "35-39", "40-44", "45-49", "50-54", "55-59", "60-64", "65-69", "70-74", "75-79", "80-84", "85+")</f>
        <v>40-44</v>
      </c>
      <c r="D9144" t="s">
        <v>7</v>
      </c>
    </row>
    <row r="9145" spans="1:4">
      <c r="A9145" t="s">
        <v>6</v>
      </c>
      <c r="B9145">
        <v>35</v>
      </c>
      <c r="C9145" t="str">
        <f>CHOOSE(MATCH(B9145, {20,25,30,35,40,45,50,55,60,65,70,75,80,85}, 1), "20-24", "25-29", "30-34", "35-39", "40-44", "45-49", "50-54", "55-59", "60-64", "65-69", "70-74", "75-79", "80-84", "85+")</f>
        <v>35-39</v>
      </c>
      <c r="D9145" t="s">
        <v>7</v>
      </c>
    </row>
    <row r="9146" spans="1:4">
      <c r="A9146" t="s">
        <v>6</v>
      </c>
      <c r="B9146">
        <v>26</v>
      </c>
      <c r="C9146" t="str">
        <f>CHOOSE(MATCH(B9146, {20,25,30,35,40,45,50,55,60,65,70,75,80,85}, 1), "20-24", "25-29", "30-34", "35-39", "40-44", "45-49", "50-54", "55-59", "60-64", "65-69", "70-74", "75-79", "80-84", "85+")</f>
        <v>25-29</v>
      </c>
      <c r="D9146" t="s">
        <v>8</v>
      </c>
    </row>
    <row r="9147" spans="1:4">
      <c r="A9147" t="s">
        <v>6</v>
      </c>
      <c r="B9147">
        <v>32</v>
      </c>
      <c r="C9147" t="str">
        <f>CHOOSE(MATCH(B9147, {20,25,30,35,40,45,50,55,60,65,70,75,80,85}, 1), "20-24", "25-29", "30-34", "35-39", "40-44", "45-49", "50-54", "55-59", "60-64", "65-69", "70-74", "75-79", "80-84", "85+")</f>
        <v>30-34</v>
      </c>
      <c r="D9147" t="s">
        <v>8</v>
      </c>
    </row>
    <row r="9148" spans="1:4">
      <c r="A9148" t="s">
        <v>6</v>
      </c>
      <c r="B9148">
        <v>56</v>
      </c>
      <c r="C9148" t="str">
        <f>CHOOSE(MATCH(B9148, {20,25,30,35,40,45,50,55,60,65,70,75,80,85}, 1), "20-24", "25-29", "30-34", "35-39", "40-44", "45-49", "50-54", "55-59", "60-64", "65-69", "70-74", "75-79", "80-84", "85+")</f>
        <v>55-59</v>
      </c>
      <c r="D9148" t="s">
        <v>7</v>
      </c>
    </row>
    <row r="9149" spans="1:4">
      <c r="A9149" t="s">
        <v>6</v>
      </c>
      <c r="B9149">
        <v>27</v>
      </c>
      <c r="C9149" t="str">
        <f>CHOOSE(MATCH(B9149, {20,25,30,35,40,45,50,55,60,65,70,75,80,85}, 1), "20-24", "25-29", "30-34", "35-39", "40-44", "45-49", "50-54", "55-59", "60-64", "65-69", "70-74", "75-79", "80-84", "85+")</f>
        <v>25-29</v>
      </c>
      <c r="D9149" t="s">
        <v>8</v>
      </c>
    </row>
    <row r="9150" spans="1:4">
      <c r="A9150" t="s">
        <v>6</v>
      </c>
      <c r="B9150">
        <v>54</v>
      </c>
      <c r="C9150" t="str">
        <f>CHOOSE(MATCH(B9150, {20,25,30,35,40,45,50,55,60,65,70,75,80,85}, 1), "20-24", "25-29", "30-34", "35-39", "40-44", "45-49", "50-54", "55-59", "60-64", "65-69", "70-74", "75-79", "80-84", "85+")</f>
        <v>50-54</v>
      </c>
      <c r="D9150" t="s">
        <v>7</v>
      </c>
    </row>
    <row r="9151" spans="1:4">
      <c r="A9151" t="s">
        <v>6</v>
      </c>
      <c r="B9151">
        <v>50</v>
      </c>
      <c r="C9151" t="str">
        <f>CHOOSE(MATCH(B9151, {20,25,30,35,40,45,50,55,60,65,70,75,80,85}, 1), "20-24", "25-29", "30-34", "35-39", "40-44", "45-49", "50-54", "55-59", "60-64", "65-69", "70-74", "75-79", "80-84", "85+")</f>
        <v>50-54</v>
      </c>
      <c r="D9151" t="s">
        <v>7</v>
      </c>
    </row>
    <row r="9152" spans="1:4">
      <c r="A9152" t="s">
        <v>6</v>
      </c>
      <c r="B9152">
        <v>32</v>
      </c>
      <c r="C9152" t="str">
        <f>CHOOSE(MATCH(B9152, {20,25,30,35,40,45,50,55,60,65,70,75,80,85}, 1), "20-24", "25-29", "30-34", "35-39", "40-44", "45-49", "50-54", "55-59", "60-64", "65-69", "70-74", "75-79", "80-84", "85+")</f>
        <v>30-34</v>
      </c>
      <c r="D9152" t="s">
        <v>7</v>
      </c>
    </row>
    <row r="9153" spans="1:4">
      <c r="A9153" t="s">
        <v>6</v>
      </c>
      <c r="B9153">
        <v>27</v>
      </c>
      <c r="C9153" t="str">
        <f>CHOOSE(MATCH(B9153, {20,25,30,35,40,45,50,55,60,65,70,75,80,85}, 1), "20-24", "25-29", "30-34", "35-39", "40-44", "45-49", "50-54", "55-59", "60-64", "65-69", "70-74", "75-79", "80-84", "85+")</f>
        <v>25-29</v>
      </c>
      <c r="D9153" t="s">
        <v>7</v>
      </c>
    </row>
    <row r="9154" spans="1:4">
      <c r="A9154" t="s">
        <v>6</v>
      </c>
      <c r="B9154">
        <v>75</v>
      </c>
      <c r="C9154" t="str">
        <f>CHOOSE(MATCH(B9154, {20,25,30,35,40,45,50,55,60,65,70,75,80,85}, 1), "20-24", "25-29", "30-34", "35-39", "40-44", "45-49", "50-54", "55-59", "60-64", "65-69", "70-74", "75-79", "80-84", "85+")</f>
        <v>75-79</v>
      </c>
      <c r="D9154" t="s">
        <v>7</v>
      </c>
    </row>
    <row r="9155" spans="1:4">
      <c r="A9155" t="s">
        <v>6</v>
      </c>
      <c r="B9155">
        <v>69</v>
      </c>
      <c r="C9155" t="str">
        <f>CHOOSE(MATCH(B9155, {20,25,30,35,40,45,50,55,60,65,70,75,80,85}, 1), "20-24", "25-29", "30-34", "35-39", "40-44", "45-49", "50-54", "55-59", "60-64", "65-69", "70-74", "75-79", "80-84", "85+")</f>
        <v>65-69</v>
      </c>
      <c r="D9155" t="s">
        <v>7</v>
      </c>
    </row>
    <row r="9156" spans="1:4">
      <c r="A9156" t="s">
        <v>6</v>
      </c>
      <c r="B9156">
        <v>43</v>
      </c>
      <c r="C9156" t="str">
        <f>CHOOSE(MATCH(B9156, {20,25,30,35,40,45,50,55,60,65,70,75,80,85}, 1), "20-24", "25-29", "30-34", "35-39", "40-44", "45-49", "50-54", "55-59", "60-64", "65-69", "70-74", "75-79", "80-84", "85+")</f>
        <v>40-44</v>
      </c>
      <c r="D9156" t="s">
        <v>7</v>
      </c>
    </row>
    <row r="9157" spans="1:4">
      <c r="A9157" t="s">
        <v>6</v>
      </c>
      <c r="B9157">
        <v>52</v>
      </c>
      <c r="C9157" t="str">
        <f>CHOOSE(MATCH(B9157, {20,25,30,35,40,45,50,55,60,65,70,75,80,85}, 1), "20-24", "25-29", "30-34", "35-39", "40-44", "45-49", "50-54", "55-59", "60-64", "65-69", "70-74", "75-79", "80-84", "85+")</f>
        <v>50-54</v>
      </c>
      <c r="D9157" t="s">
        <v>8</v>
      </c>
    </row>
    <row r="9158" spans="1:4">
      <c r="A9158" t="s">
        <v>6</v>
      </c>
      <c r="B9158">
        <v>35</v>
      </c>
      <c r="C9158" t="str">
        <f>CHOOSE(MATCH(B9158, {20,25,30,35,40,45,50,55,60,65,70,75,80,85}, 1), "20-24", "25-29", "30-34", "35-39", "40-44", "45-49", "50-54", "55-59", "60-64", "65-69", "70-74", "75-79", "80-84", "85+")</f>
        <v>35-39</v>
      </c>
      <c r="D9158" t="s">
        <v>7</v>
      </c>
    </row>
    <row r="9159" spans="1:4">
      <c r="A9159" t="s">
        <v>6</v>
      </c>
      <c r="B9159">
        <v>81</v>
      </c>
      <c r="C9159" t="str">
        <f>CHOOSE(MATCH(B9159, {20,25,30,35,40,45,50,55,60,65,70,75,80,85}, 1), "20-24", "25-29", "30-34", "35-39", "40-44", "45-49", "50-54", "55-59", "60-64", "65-69", "70-74", "75-79", "80-84", "85+")</f>
        <v>80-84</v>
      </c>
      <c r="D9159" t="s">
        <v>8</v>
      </c>
    </row>
    <row r="9160" spans="1:4">
      <c r="A9160" t="s">
        <v>6</v>
      </c>
      <c r="B9160">
        <v>41</v>
      </c>
      <c r="C9160" t="str">
        <f>CHOOSE(MATCH(B9160, {20,25,30,35,40,45,50,55,60,65,70,75,80,85}, 1), "20-24", "25-29", "30-34", "35-39", "40-44", "45-49", "50-54", "55-59", "60-64", "65-69", "70-74", "75-79", "80-84", "85+")</f>
        <v>40-44</v>
      </c>
      <c r="D9160" t="s">
        <v>7</v>
      </c>
    </row>
    <row r="9161" spans="1:4">
      <c r="A9161" t="s">
        <v>6</v>
      </c>
      <c r="B9161">
        <v>55</v>
      </c>
      <c r="C9161" t="str">
        <f>CHOOSE(MATCH(B9161, {20,25,30,35,40,45,50,55,60,65,70,75,80,85}, 1), "20-24", "25-29", "30-34", "35-39", "40-44", "45-49", "50-54", "55-59", "60-64", "65-69", "70-74", "75-79", "80-84", "85+")</f>
        <v>55-59</v>
      </c>
      <c r="D9161" t="s">
        <v>8</v>
      </c>
    </row>
    <row r="9162" spans="1:4">
      <c r="A9162" t="s">
        <v>6</v>
      </c>
      <c r="B9162">
        <v>33</v>
      </c>
      <c r="C9162" t="str">
        <f>CHOOSE(MATCH(B9162, {20,25,30,35,40,45,50,55,60,65,70,75,80,85}, 1), "20-24", "25-29", "30-34", "35-39", "40-44", "45-49", "50-54", "55-59", "60-64", "65-69", "70-74", "75-79", "80-84", "85+")</f>
        <v>30-34</v>
      </c>
      <c r="D9162" t="s">
        <v>7</v>
      </c>
    </row>
    <row r="9163" spans="1:4">
      <c r="A9163" t="s">
        <v>6</v>
      </c>
      <c r="B9163">
        <v>32</v>
      </c>
      <c r="C9163" t="str">
        <f>CHOOSE(MATCH(B9163, {20,25,30,35,40,45,50,55,60,65,70,75,80,85}, 1), "20-24", "25-29", "30-34", "35-39", "40-44", "45-49", "50-54", "55-59", "60-64", "65-69", "70-74", "75-79", "80-84", "85+")</f>
        <v>30-34</v>
      </c>
      <c r="D9163" t="s">
        <v>7</v>
      </c>
    </row>
    <row r="9164" spans="1:4">
      <c r="A9164" t="s">
        <v>6</v>
      </c>
      <c r="B9164">
        <v>27</v>
      </c>
      <c r="C9164" t="str">
        <f>CHOOSE(MATCH(B9164, {20,25,30,35,40,45,50,55,60,65,70,75,80,85}, 1), "20-24", "25-29", "30-34", "35-39", "40-44", "45-49", "50-54", "55-59", "60-64", "65-69", "70-74", "75-79", "80-84", "85+")</f>
        <v>25-29</v>
      </c>
      <c r="D9164" t="s">
        <v>7</v>
      </c>
    </row>
    <row r="9165" spans="1:4">
      <c r="A9165" t="s">
        <v>6</v>
      </c>
      <c r="B9165">
        <v>57</v>
      </c>
      <c r="C9165" t="str">
        <f>CHOOSE(MATCH(B9165, {20,25,30,35,40,45,50,55,60,65,70,75,80,85}, 1), "20-24", "25-29", "30-34", "35-39", "40-44", "45-49", "50-54", "55-59", "60-64", "65-69", "70-74", "75-79", "80-84", "85+")</f>
        <v>55-59</v>
      </c>
      <c r="D9165" t="s">
        <v>8</v>
      </c>
    </row>
    <row r="9166" spans="1:4">
      <c r="A9166" t="s">
        <v>6</v>
      </c>
      <c r="B9166">
        <v>56</v>
      </c>
      <c r="C9166" t="str">
        <f>CHOOSE(MATCH(B9166, {20,25,30,35,40,45,50,55,60,65,70,75,80,85}, 1), "20-24", "25-29", "30-34", "35-39", "40-44", "45-49", "50-54", "55-59", "60-64", "65-69", "70-74", "75-79", "80-84", "85+")</f>
        <v>55-59</v>
      </c>
      <c r="D9166" t="s">
        <v>7</v>
      </c>
    </row>
    <row r="9167" spans="1:4">
      <c r="A9167" t="s">
        <v>6</v>
      </c>
      <c r="B9167">
        <v>29</v>
      </c>
      <c r="C9167" t="str">
        <f>CHOOSE(MATCH(B9167, {20,25,30,35,40,45,50,55,60,65,70,75,80,85}, 1), "20-24", "25-29", "30-34", "35-39", "40-44", "45-49", "50-54", "55-59", "60-64", "65-69", "70-74", "75-79", "80-84", "85+")</f>
        <v>25-29</v>
      </c>
      <c r="D9167" t="s">
        <v>8</v>
      </c>
    </row>
    <row r="9168" spans="1:4">
      <c r="A9168" t="s">
        <v>6</v>
      </c>
      <c r="B9168">
        <v>30</v>
      </c>
      <c r="C9168" t="str">
        <f>CHOOSE(MATCH(B9168, {20,25,30,35,40,45,50,55,60,65,70,75,80,85}, 1), "20-24", "25-29", "30-34", "35-39", "40-44", "45-49", "50-54", "55-59", "60-64", "65-69", "70-74", "75-79", "80-84", "85+")</f>
        <v>30-34</v>
      </c>
      <c r="D9168" t="s">
        <v>8</v>
      </c>
    </row>
    <row r="9169" spans="1:4">
      <c r="A9169" t="s">
        <v>6</v>
      </c>
      <c r="B9169">
        <v>28</v>
      </c>
      <c r="C9169" t="str">
        <f>CHOOSE(MATCH(B9169, {20,25,30,35,40,45,50,55,60,65,70,75,80,85}, 1), "20-24", "25-29", "30-34", "35-39", "40-44", "45-49", "50-54", "55-59", "60-64", "65-69", "70-74", "75-79", "80-84", "85+")</f>
        <v>25-29</v>
      </c>
      <c r="D9169" t="s">
        <v>7</v>
      </c>
    </row>
    <row r="9170" spans="1:4">
      <c r="A9170" t="s">
        <v>6</v>
      </c>
      <c r="B9170">
        <v>39</v>
      </c>
      <c r="C9170" t="str">
        <f>CHOOSE(MATCH(B9170, {20,25,30,35,40,45,50,55,60,65,70,75,80,85}, 1), "20-24", "25-29", "30-34", "35-39", "40-44", "45-49", "50-54", "55-59", "60-64", "65-69", "70-74", "75-79", "80-84", "85+")</f>
        <v>35-39</v>
      </c>
      <c r="D9170" t="s">
        <v>7</v>
      </c>
    </row>
    <row r="9171" spans="1:4">
      <c r="A9171" t="s">
        <v>6</v>
      </c>
      <c r="B9171">
        <v>42</v>
      </c>
      <c r="C9171" t="str">
        <f>CHOOSE(MATCH(B9171, {20,25,30,35,40,45,50,55,60,65,70,75,80,85}, 1), "20-24", "25-29", "30-34", "35-39", "40-44", "45-49", "50-54", "55-59", "60-64", "65-69", "70-74", "75-79", "80-84", "85+")</f>
        <v>40-44</v>
      </c>
      <c r="D9171" t="s">
        <v>7</v>
      </c>
    </row>
    <row r="9172" spans="1:4">
      <c r="A9172" t="s">
        <v>6</v>
      </c>
      <c r="B9172">
        <v>30</v>
      </c>
      <c r="C9172" t="str">
        <f>CHOOSE(MATCH(B9172, {20,25,30,35,40,45,50,55,60,65,70,75,80,85}, 1), "20-24", "25-29", "30-34", "35-39", "40-44", "45-49", "50-54", "55-59", "60-64", "65-69", "70-74", "75-79", "80-84", "85+")</f>
        <v>30-34</v>
      </c>
      <c r="D9172" t="s">
        <v>7</v>
      </c>
    </row>
    <row r="9173" spans="1:4">
      <c r="A9173" t="s">
        <v>6</v>
      </c>
      <c r="B9173">
        <v>36</v>
      </c>
      <c r="C9173" t="str">
        <f>CHOOSE(MATCH(B9173, {20,25,30,35,40,45,50,55,60,65,70,75,80,85}, 1), "20-24", "25-29", "30-34", "35-39", "40-44", "45-49", "50-54", "55-59", "60-64", "65-69", "70-74", "75-79", "80-84", "85+")</f>
        <v>35-39</v>
      </c>
      <c r="D9173" t="s">
        <v>7</v>
      </c>
    </row>
    <row r="9174" spans="1:4">
      <c r="A9174" t="s">
        <v>6</v>
      </c>
      <c r="B9174">
        <v>43</v>
      </c>
      <c r="C9174" t="str">
        <f>CHOOSE(MATCH(B9174, {20,25,30,35,40,45,50,55,60,65,70,75,80,85}, 1), "20-24", "25-29", "30-34", "35-39", "40-44", "45-49", "50-54", "55-59", "60-64", "65-69", "70-74", "75-79", "80-84", "85+")</f>
        <v>40-44</v>
      </c>
      <c r="D9174" t="s">
        <v>7</v>
      </c>
    </row>
    <row r="9175" spans="1:4">
      <c r="A9175" t="s">
        <v>6</v>
      </c>
      <c r="B9175">
        <v>37</v>
      </c>
      <c r="C9175" t="str">
        <f>CHOOSE(MATCH(B9175, {20,25,30,35,40,45,50,55,60,65,70,75,80,85}, 1), "20-24", "25-29", "30-34", "35-39", "40-44", "45-49", "50-54", "55-59", "60-64", "65-69", "70-74", "75-79", "80-84", "85+")</f>
        <v>35-39</v>
      </c>
      <c r="D9175" t="s">
        <v>8</v>
      </c>
    </row>
    <row r="9176" spans="1:4">
      <c r="A9176" t="s">
        <v>6</v>
      </c>
      <c r="B9176">
        <v>72</v>
      </c>
      <c r="C9176" t="str">
        <f>CHOOSE(MATCH(B9176, {20,25,30,35,40,45,50,55,60,65,70,75,80,85}, 1), "20-24", "25-29", "30-34", "35-39", "40-44", "45-49", "50-54", "55-59", "60-64", "65-69", "70-74", "75-79", "80-84", "85+")</f>
        <v>70-74</v>
      </c>
      <c r="D9176" t="s">
        <v>8</v>
      </c>
    </row>
    <row r="9177" spans="1:4">
      <c r="A9177" t="s">
        <v>6</v>
      </c>
      <c r="B9177">
        <v>34</v>
      </c>
      <c r="C9177" t="str">
        <f>CHOOSE(MATCH(B9177, {20,25,30,35,40,45,50,55,60,65,70,75,80,85}, 1), "20-24", "25-29", "30-34", "35-39", "40-44", "45-49", "50-54", "55-59", "60-64", "65-69", "70-74", "75-79", "80-84", "85+")</f>
        <v>30-34</v>
      </c>
      <c r="D9177" t="s">
        <v>7</v>
      </c>
    </row>
    <row r="9178" spans="1:4">
      <c r="A9178" t="s">
        <v>6</v>
      </c>
      <c r="B9178">
        <v>27</v>
      </c>
      <c r="C9178" t="str">
        <f>CHOOSE(MATCH(B9178, {20,25,30,35,40,45,50,55,60,65,70,75,80,85}, 1), "20-24", "25-29", "30-34", "35-39", "40-44", "45-49", "50-54", "55-59", "60-64", "65-69", "70-74", "75-79", "80-84", "85+")</f>
        <v>25-29</v>
      </c>
      <c r="D9178" t="s">
        <v>8</v>
      </c>
    </row>
    <row r="9179" spans="1:4">
      <c r="A9179" t="s">
        <v>6</v>
      </c>
      <c r="B9179">
        <v>32</v>
      </c>
      <c r="C9179" t="str">
        <f>CHOOSE(MATCH(B9179, {20,25,30,35,40,45,50,55,60,65,70,75,80,85}, 1), "20-24", "25-29", "30-34", "35-39", "40-44", "45-49", "50-54", "55-59", "60-64", "65-69", "70-74", "75-79", "80-84", "85+")</f>
        <v>30-34</v>
      </c>
      <c r="D9179" t="s">
        <v>7</v>
      </c>
    </row>
    <row r="9180" spans="1:4">
      <c r="A9180" t="s">
        <v>6</v>
      </c>
      <c r="B9180">
        <v>30</v>
      </c>
      <c r="C9180" t="str">
        <f>CHOOSE(MATCH(B9180, {20,25,30,35,40,45,50,55,60,65,70,75,80,85}, 1), "20-24", "25-29", "30-34", "35-39", "40-44", "45-49", "50-54", "55-59", "60-64", "65-69", "70-74", "75-79", "80-84", "85+")</f>
        <v>30-34</v>
      </c>
      <c r="D9180" t="s">
        <v>8</v>
      </c>
    </row>
    <row r="9181" spans="1:4">
      <c r="A9181" t="s">
        <v>6</v>
      </c>
      <c r="B9181">
        <v>54</v>
      </c>
      <c r="C9181" t="str">
        <f>CHOOSE(MATCH(B9181, {20,25,30,35,40,45,50,55,60,65,70,75,80,85}, 1), "20-24", "25-29", "30-34", "35-39", "40-44", "45-49", "50-54", "55-59", "60-64", "65-69", "70-74", "75-79", "80-84", "85+")</f>
        <v>50-54</v>
      </c>
      <c r="D9181" t="s">
        <v>8</v>
      </c>
    </row>
    <row r="9182" spans="1:4">
      <c r="A9182" t="s">
        <v>6</v>
      </c>
      <c r="B9182">
        <v>27</v>
      </c>
      <c r="C9182" t="str">
        <f>CHOOSE(MATCH(B9182, {20,25,30,35,40,45,50,55,60,65,70,75,80,85}, 1), "20-24", "25-29", "30-34", "35-39", "40-44", "45-49", "50-54", "55-59", "60-64", "65-69", "70-74", "75-79", "80-84", "85+")</f>
        <v>25-29</v>
      </c>
      <c r="D9182" t="s">
        <v>8</v>
      </c>
    </row>
    <row r="9183" spans="1:4">
      <c r="A9183" t="s">
        <v>6</v>
      </c>
      <c r="B9183">
        <v>66</v>
      </c>
      <c r="C9183" t="str">
        <f>CHOOSE(MATCH(B9183, {20,25,30,35,40,45,50,55,60,65,70,75,80,85}, 1), "20-24", "25-29", "30-34", "35-39", "40-44", "45-49", "50-54", "55-59", "60-64", "65-69", "70-74", "75-79", "80-84", "85+")</f>
        <v>65-69</v>
      </c>
      <c r="D9183" t="s">
        <v>8</v>
      </c>
    </row>
    <row r="9184" spans="1:4">
      <c r="A9184" t="s">
        <v>6</v>
      </c>
      <c r="B9184">
        <v>32</v>
      </c>
      <c r="C9184" t="str">
        <f>CHOOSE(MATCH(B9184, {20,25,30,35,40,45,50,55,60,65,70,75,80,85}, 1), "20-24", "25-29", "30-34", "35-39", "40-44", "45-49", "50-54", "55-59", "60-64", "65-69", "70-74", "75-79", "80-84", "85+")</f>
        <v>30-34</v>
      </c>
      <c r="D9184" t="s">
        <v>7</v>
      </c>
    </row>
    <row r="9185" spans="1:4">
      <c r="A9185" t="s">
        <v>6</v>
      </c>
      <c r="B9185">
        <v>33</v>
      </c>
      <c r="C9185" t="str">
        <f>CHOOSE(MATCH(B9185, {20,25,30,35,40,45,50,55,60,65,70,75,80,85}, 1), "20-24", "25-29", "30-34", "35-39", "40-44", "45-49", "50-54", "55-59", "60-64", "65-69", "70-74", "75-79", "80-84", "85+")</f>
        <v>30-34</v>
      </c>
      <c r="D9185" t="s">
        <v>7</v>
      </c>
    </row>
    <row r="9186" spans="1:4">
      <c r="A9186" t="s">
        <v>6</v>
      </c>
      <c r="B9186">
        <v>54</v>
      </c>
      <c r="C9186" t="str">
        <f>CHOOSE(MATCH(B9186, {20,25,30,35,40,45,50,55,60,65,70,75,80,85}, 1), "20-24", "25-29", "30-34", "35-39", "40-44", "45-49", "50-54", "55-59", "60-64", "65-69", "70-74", "75-79", "80-84", "85+")</f>
        <v>50-54</v>
      </c>
      <c r="D9186" t="s">
        <v>8</v>
      </c>
    </row>
    <row r="9187" spans="1:4">
      <c r="A9187" t="s">
        <v>6</v>
      </c>
      <c r="B9187">
        <v>35</v>
      </c>
      <c r="C9187" t="str">
        <f>CHOOSE(MATCH(B9187, {20,25,30,35,40,45,50,55,60,65,70,75,80,85}, 1), "20-24", "25-29", "30-34", "35-39", "40-44", "45-49", "50-54", "55-59", "60-64", "65-69", "70-74", "75-79", "80-84", "85+")</f>
        <v>35-39</v>
      </c>
      <c r="D9187" t="s">
        <v>7</v>
      </c>
    </row>
    <row r="9188" spans="1:4">
      <c r="A9188" t="s">
        <v>6</v>
      </c>
      <c r="B9188">
        <v>36</v>
      </c>
      <c r="C9188" t="str">
        <f>CHOOSE(MATCH(B9188, {20,25,30,35,40,45,50,55,60,65,70,75,80,85}, 1), "20-24", "25-29", "30-34", "35-39", "40-44", "45-49", "50-54", "55-59", "60-64", "65-69", "70-74", "75-79", "80-84", "85+")</f>
        <v>35-39</v>
      </c>
      <c r="D9188" t="s">
        <v>8</v>
      </c>
    </row>
    <row r="9189" spans="1:4">
      <c r="A9189" t="s">
        <v>6</v>
      </c>
      <c r="B9189">
        <v>44</v>
      </c>
      <c r="C9189" t="str">
        <f>CHOOSE(MATCH(B9189, {20,25,30,35,40,45,50,55,60,65,70,75,80,85}, 1), "20-24", "25-29", "30-34", "35-39", "40-44", "45-49", "50-54", "55-59", "60-64", "65-69", "70-74", "75-79", "80-84", "85+")</f>
        <v>40-44</v>
      </c>
      <c r="D9189" t="s">
        <v>7</v>
      </c>
    </row>
    <row r="9190" spans="1:4">
      <c r="A9190" t="s">
        <v>6</v>
      </c>
      <c r="B9190">
        <v>45</v>
      </c>
      <c r="C9190" t="str">
        <f>CHOOSE(MATCH(B9190, {20,25,30,35,40,45,50,55,60,65,70,75,80,85}, 1), "20-24", "25-29", "30-34", "35-39", "40-44", "45-49", "50-54", "55-59", "60-64", "65-69", "70-74", "75-79", "80-84", "85+")</f>
        <v>45-49</v>
      </c>
      <c r="D9190" t="s">
        <v>7</v>
      </c>
    </row>
    <row r="9191" spans="1:4">
      <c r="A9191" t="s">
        <v>6</v>
      </c>
      <c r="B9191">
        <v>72</v>
      </c>
      <c r="C9191" t="str">
        <f>CHOOSE(MATCH(B9191, {20,25,30,35,40,45,50,55,60,65,70,75,80,85}, 1), "20-24", "25-29", "30-34", "35-39", "40-44", "45-49", "50-54", "55-59", "60-64", "65-69", "70-74", "75-79", "80-84", "85+")</f>
        <v>70-74</v>
      </c>
      <c r="D9191" t="s">
        <v>8</v>
      </c>
    </row>
    <row r="9192" spans="1:4">
      <c r="A9192" t="s">
        <v>6</v>
      </c>
      <c r="B9192">
        <v>35</v>
      </c>
      <c r="C9192" t="str">
        <f>CHOOSE(MATCH(B9192, {20,25,30,35,40,45,50,55,60,65,70,75,80,85}, 1), "20-24", "25-29", "30-34", "35-39", "40-44", "45-49", "50-54", "55-59", "60-64", "65-69", "70-74", "75-79", "80-84", "85+")</f>
        <v>35-39</v>
      </c>
      <c r="D9192" t="s">
        <v>7</v>
      </c>
    </row>
    <row r="9193" spans="1:4">
      <c r="A9193" t="s">
        <v>6</v>
      </c>
      <c r="B9193">
        <v>73</v>
      </c>
      <c r="C9193" t="str">
        <f>CHOOSE(MATCH(B9193, {20,25,30,35,40,45,50,55,60,65,70,75,80,85}, 1), "20-24", "25-29", "30-34", "35-39", "40-44", "45-49", "50-54", "55-59", "60-64", "65-69", "70-74", "75-79", "80-84", "85+")</f>
        <v>70-74</v>
      </c>
      <c r="D9193" t="s">
        <v>7</v>
      </c>
    </row>
    <row r="9194" spans="1:4">
      <c r="A9194" t="s">
        <v>6</v>
      </c>
      <c r="B9194">
        <v>20</v>
      </c>
      <c r="C9194" t="str">
        <f>CHOOSE(MATCH(B9194, {20,25,30,35,40,45,50,55,60,65,70,75,80,85}, 1), "20-24", "25-29", "30-34", "35-39", "40-44", "45-49", "50-54", "55-59", "60-64", "65-69", "70-74", "75-79", "80-84", "85+")</f>
        <v>20-24</v>
      </c>
      <c r="D9194" t="s">
        <v>7</v>
      </c>
    </row>
    <row r="9195" spans="1:4">
      <c r="A9195" t="s">
        <v>6</v>
      </c>
      <c r="B9195">
        <v>31</v>
      </c>
      <c r="C9195" t="str">
        <f>CHOOSE(MATCH(B9195, {20,25,30,35,40,45,50,55,60,65,70,75,80,85}, 1), "20-24", "25-29", "30-34", "35-39", "40-44", "45-49", "50-54", "55-59", "60-64", "65-69", "70-74", "75-79", "80-84", "85+")</f>
        <v>30-34</v>
      </c>
      <c r="D9195" t="s">
        <v>7</v>
      </c>
    </row>
    <row r="9196" spans="1:4">
      <c r="A9196" t="s">
        <v>6</v>
      </c>
      <c r="B9196">
        <v>26</v>
      </c>
      <c r="C9196" t="str">
        <f>CHOOSE(MATCH(B9196, {20,25,30,35,40,45,50,55,60,65,70,75,80,85}, 1), "20-24", "25-29", "30-34", "35-39", "40-44", "45-49", "50-54", "55-59", "60-64", "65-69", "70-74", "75-79", "80-84", "85+")</f>
        <v>25-29</v>
      </c>
      <c r="D9196" t="s">
        <v>8</v>
      </c>
    </row>
    <row r="9197" spans="1:4">
      <c r="A9197" t="s">
        <v>6</v>
      </c>
      <c r="B9197">
        <v>71</v>
      </c>
      <c r="C9197" t="str">
        <f>CHOOSE(MATCH(B9197, {20,25,30,35,40,45,50,55,60,65,70,75,80,85}, 1), "20-24", "25-29", "30-34", "35-39", "40-44", "45-49", "50-54", "55-59", "60-64", "65-69", "70-74", "75-79", "80-84", "85+")</f>
        <v>70-74</v>
      </c>
      <c r="D9197" t="s">
        <v>8</v>
      </c>
    </row>
    <row r="9198" spans="1:4">
      <c r="A9198" t="s">
        <v>6</v>
      </c>
      <c r="B9198">
        <v>32</v>
      </c>
      <c r="C9198" t="str">
        <f>CHOOSE(MATCH(B9198, {20,25,30,35,40,45,50,55,60,65,70,75,80,85}, 1), "20-24", "25-29", "30-34", "35-39", "40-44", "45-49", "50-54", "55-59", "60-64", "65-69", "70-74", "75-79", "80-84", "85+")</f>
        <v>30-34</v>
      </c>
      <c r="D9198" t="s">
        <v>7</v>
      </c>
    </row>
    <row r="9199" spans="1:4">
      <c r="A9199" t="s">
        <v>6</v>
      </c>
      <c r="B9199">
        <v>21</v>
      </c>
      <c r="C9199" t="str">
        <f>CHOOSE(MATCH(B9199, {20,25,30,35,40,45,50,55,60,65,70,75,80,85}, 1), "20-24", "25-29", "30-34", "35-39", "40-44", "45-49", "50-54", "55-59", "60-64", "65-69", "70-74", "75-79", "80-84", "85+")</f>
        <v>20-24</v>
      </c>
      <c r="D9199" t="s">
        <v>7</v>
      </c>
    </row>
    <row r="9200" spans="1:4">
      <c r="A9200" t="s">
        <v>6</v>
      </c>
      <c r="B9200">
        <v>25</v>
      </c>
      <c r="C9200" t="str">
        <f>CHOOSE(MATCH(B9200, {20,25,30,35,40,45,50,55,60,65,70,75,80,85}, 1), "20-24", "25-29", "30-34", "35-39", "40-44", "45-49", "50-54", "55-59", "60-64", "65-69", "70-74", "75-79", "80-84", "85+")</f>
        <v>25-29</v>
      </c>
      <c r="D9200" t="s">
        <v>7</v>
      </c>
    </row>
    <row r="9201" spans="1:4">
      <c r="A9201" t="s">
        <v>6</v>
      </c>
      <c r="B9201">
        <v>35</v>
      </c>
      <c r="C9201" t="str">
        <f>CHOOSE(MATCH(B9201, {20,25,30,35,40,45,50,55,60,65,70,75,80,85}, 1), "20-24", "25-29", "30-34", "35-39", "40-44", "45-49", "50-54", "55-59", "60-64", "65-69", "70-74", "75-79", "80-84", "85+")</f>
        <v>35-39</v>
      </c>
      <c r="D9201" t="s">
        <v>7</v>
      </c>
    </row>
    <row r="9202" spans="1:4">
      <c r="A9202" t="s">
        <v>6</v>
      </c>
      <c r="B9202">
        <v>31</v>
      </c>
      <c r="C9202" t="str">
        <f>CHOOSE(MATCH(B9202, {20,25,30,35,40,45,50,55,60,65,70,75,80,85}, 1), "20-24", "25-29", "30-34", "35-39", "40-44", "45-49", "50-54", "55-59", "60-64", "65-69", "70-74", "75-79", "80-84", "85+")</f>
        <v>30-34</v>
      </c>
      <c r="D9202" t="s">
        <v>8</v>
      </c>
    </row>
    <row r="9203" spans="1:4">
      <c r="A9203" t="s">
        <v>6</v>
      </c>
      <c r="B9203">
        <v>38</v>
      </c>
      <c r="C9203" t="str">
        <f>CHOOSE(MATCH(B9203, {20,25,30,35,40,45,50,55,60,65,70,75,80,85}, 1), "20-24", "25-29", "30-34", "35-39", "40-44", "45-49", "50-54", "55-59", "60-64", "65-69", "70-74", "75-79", "80-84", "85+")</f>
        <v>35-39</v>
      </c>
      <c r="D9203" t="s">
        <v>7</v>
      </c>
    </row>
    <row r="9204" spans="1:4">
      <c r="A9204" t="s">
        <v>6</v>
      </c>
      <c r="B9204">
        <v>31</v>
      </c>
      <c r="C9204" t="str">
        <f>CHOOSE(MATCH(B9204, {20,25,30,35,40,45,50,55,60,65,70,75,80,85}, 1), "20-24", "25-29", "30-34", "35-39", "40-44", "45-49", "50-54", "55-59", "60-64", "65-69", "70-74", "75-79", "80-84", "85+")</f>
        <v>30-34</v>
      </c>
      <c r="D9204" t="s">
        <v>8</v>
      </c>
    </row>
    <row r="9205" spans="1:4">
      <c r="A9205" t="s">
        <v>6</v>
      </c>
      <c r="B9205">
        <v>26</v>
      </c>
      <c r="C9205" t="str">
        <f>CHOOSE(MATCH(B9205, {20,25,30,35,40,45,50,55,60,65,70,75,80,85}, 1), "20-24", "25-29", "30-34", "35-39", "40-44", "45-49", "50-54", "55-59", "60-64", "65-69", "70-74", "75-79", "80-84", "85+")</f>
        <v>25-29</v>
      </c>
      <c r="D9205" t="s">
        <v>8</v>
      </c>
    </row>
    <row r="9206" spans="1:4">
      <c r="A9206" t="s">
        <v>6</v>
      </c>
      <c r="B9206">
        <v>53</v>
      </c>
      <c r="C9206" t="str">
        <f>CHOOSE(MATCH(B9206, {20,25,30,35,40,45,50,55,60,65,70,75,80,85}, 1), "20-24", "25-29", "30-34", "35-39", "40-44", "45-49", "50-54", "55-59", "60-64", "65-69", "70-74", "75-79", "80-84", "85+")</f>
        <v>50-54</v>
      </c>
      <c r="D9206" t="s">
        <v>8</v>
      </c>
    </row>
    <row r="9207" spans="1:4">
      <c r="A9207" t="s">
        <v>6</v>
      </c>
      <c r="B9207">
        <v>91</v>
      </c>
      <c r="C9207" t="str">
        <f>CHOOSE(MATCH(B9207, {20,25,30,35,40,45,50,55,60,65,70,75,80,85}, 1), "20-24", "25-29", "30-34", "35-39", "40-44", "45-49", "50-54", "55-59", "60-64", "65-69", "70-74", "75-79", "80-84", "85+")</f>
        <v>85+</v>
      </c>
      <c r="D9207" t="s">
        <v>7</v>
      </c>
    </row>
    <row r="9208" spans="1:4">
      <c r="A9208" t="s">
        <v>6</v>
      </c>
      <c r="B9208">
        <v>39</v>
      </c>
      <c r="C9208" t="str">
        <f>CHOOSE(MATCH(B9208, {20,25,30,35,40,45,50,55,60,65,70,75,80,85}, 1), "20-24", "25-29", "30-34", "35-39", "40-44", "45-49", "50-54", "55-59", "60-64", "65-69", "70-74", "75-79", "80-84", "85+")</f>
        <v>35-39</v>
      </c>
      <c r="D9208" t="s">
        <v>8</v>
      </c>
    </row>
    <row r="9209" spans="1:4">
      <c r="A9209" t="s">
        <v>6</v>
      </c>
      <c r="B9209">
        <v>33</v>
      </c>
      <c r="C9209" t="str">
        <f>CHOOSE(MATCH(B9209, {20,25,30,35,40,45,50,55,60,65,70,75,80,85}, 1), "20-24", "25-29", "30-34", "35-39", "40-44", "45-49", "50-54", "55-59", "60-64", "65-69", "70-74", "75-79", "80-84", "85+")</f>
        <v>30-34</v>
      </c>
      <c r="D9209" t="s">
        <v>7</v>
      </c>
    </row>
    <row r="9210" spans="1:4">
      <c r="A9210" t="s">
        <v>6</v>
      </c>
      <c r="B9210">
        <v>27</v>
      </c>
      <c r="C9210" t="str">
        <f>CHOOSE(MATCH(B9210, {20,25,30,35,40,45,50,55,60,65,70,75,80,85}, 1), "20-24", "25-29", "30-34", "35-39", "40-44", "45-49", "50-54", "55-59", "60-64", "65-69", "70-74", "75-79", "80-84", "85+")</f>
        <v>25-29</v>
      </c>
      <c r="D9210" t="s">
        <v>7</v>
      </c>
    </row>
    <row r="9211" spans="1:4">
      <c r="A9211" t="s">
        <v>6</v>
      </c>
      <c r="B9211">
        <v>28</v>
      </c>
      <c r="C9211" t="str">
        <f>CHOOSE(MATCH(B9211, {20,25,30,35,40,45,50,55,60,65,70,75,80,85}, 1), "20-24", "25-29", "30-34", "35-39", "40-44", "45-49", "50-54", "55-59", "60-64", "65-69", "70-74", "75-79", "80-84", "85+")</f>
        <v>25-29</v>
      </c>
      <c r="D9211" t="s">
        <v>7</v>
      </c>
    </row>
    <row r="9212" spans="1:4">
      <c r="A9212" t="s">
        <v>6</v>
      </c>
      <c r="B9212">
        <v>66</v>
      </c>
      <c r="C9212" t="str">
        <f>CHOOSE(MATCH(B9212, {20,25,30,35,40,45,50,55,60,65,70,75,80,85}, 1), "20-24", "25-29", "30-34", "35-39", "40-44", "45-49", "50-54", "55-59", "60-64", "65-69", "70-74", "75-79", "80-84", "85+")</f>
        <v>65-69</v>
      </c>
      <c r="D9212" t="s">
        <v>8</v>
      </c>
    </row>
    <row r="9213" spans="1:4">
      <c r="A9213" t="s">
        <v>6</v>
      </c>
      <c r="B9213">
        <v>34</v>
      </c>
      <c r="C9213" t="str">
        <f>CHOOSE(MATCH(B9213, {20,25,30,35,40,45,50,55,60,65,70,75,80,85}, 1), "20-24", "25-29", "30-34", "35-39", "40-44", "45-49", "50-54", "55-59", "60-64", "65-69", "70-74", "75-79", "80-84", "85+")</f>
        <v>30-34</v>
      </c>
      <c r="D9213" t="s">
        <v>7</v>
      </c>
    </row>
    <row r="9214" spans="1:4">
      <c r="A9214" t="s">
        <v>6</v>
      </c>
      <c r="B9214">
        <v>26</v>
      </c>
      <c r="C9214" t="str">
        <f>CHOOSE(MATCH(B9214, {20,25,30,35,40,45,50,55,60,65,70,75,80,85}, 1), "20-24", "25-29", "30-34", "35-39", "40-44", "45-49", "50-54", "55-59", "60-64", "65-69", "70-74", "75-79", "80-84", "85+")</f>
        <v>25-29</v>
      </c>
      <c r="D9214" t="s">
        <v>7</v>
      </c>
    </row>
    <row r="9215" spans="1:4">
      <c r="A9215" t="s">
        <v>6</v>
      </c>
      <c r="B9215">
        <v>22</v>
      </c>
      <c r="C9215" t="str">
        <f>CHOOSE(MATCH(B9215, {20,25,30,35,40,45,50,55,60,65,70,75,80,85}, 1), "20-24", "25-29", "30-34", "35-39", "40-44", "45-49", "50-54", "55-59", "60-64", "65-69", "70-74", "75-79", "80-84", "85+")</f>
        <v>20-24</v>
      </c>
      <c r="D9215" t="s">
        <v>7</v>
      </c>
    </row>
    <row r="9216" spans="1:4">
      <c r="A9216" t="s">
        <v>6</v>
      </c>
      <c r="B9216">
        <v>53</v>
      </c>
      <c r="C9216" t="str">
        <f>CHOOSE(MATCH(B9216, {20,25,30,35,40,45,50,55,60,65,70,75,80,85}, 1), "20-24", "25-29", "30-34", "35-39", "40-44", "45-49", "50-54", "55-59", "60-64", "65-69", "70-74", "75-79", "80-84", "85+")</f>
        <v>50-54</v>
      </c>
      <c r="D9216" t="s">
        <v>7</v>
      </c>
    </row>
    <row r="9217" spans="1:4">
      <c r="A9217" t="s">
        <v>6</v>
      </c>
      <c r="B9217">
        <v>41</v>
      </c>
      <c r="C9217" t="str">
        <f>CHOOSE(MATCH(B9217, {20,25,30,35,40,45,50,55,60,65,70,75,80,85}, 1), "20-24", "25-29", "30-34", "35-39", "40-44", "45-49", "50-54", "55-59", "60-64", "65-69", "70-74", "75-79", "80-84", "85+")</f>
        <v>40-44</v>
      </c>
      <c r="D9217" t="s">
        <v>7</v>
      </c>
    </row>
    <row r="9218" spans="1:4">
      <c r="A9218" t="s">
        <v>6</v>
      </c>
      <c r="B9218">
        <v>30</v>
      </c>
      <c r="C9218" t="str">
        <f>CHOOSE(MATCH(B9218, {20,25,30,35,40,45,50,55,60,65,70,75,80,85}, 1), "20-24", "25-29", "30-34", "35-39", "40-44", "45-49", "50-54", "55-59", "60-64", "65-69", "70-74", "75-79", "80-84", "85+")</f>
        <v>30-34</v>
      </c>
      <c r="D9218" t="s">
        <v>7</v>
      </c>
    </row>
    <row r="9219" spans="1:4">
      <c r="A9219" t="s">
        <v>6</v>
      </c>
      <c r="B9219">
        <v>27</v>
      </c>
      <c r="C9219" t="str">
        <f>CHOOSE(MATCH(B9219, {20,25,30,35,40,45,50,55,60,65,70,75,80,85}, 1), "20-24", "25-29", "30-34", "35-39", "40-44", "45-49", "50-54", "55-59", "60-64", "65-69", "70-74", "75-79", "80-84", "85+")</f>
        <v>25-29</v>
      </c>
      <c r="D9219" t="s">
        <v>8</v>
      </c>
    </row>
    <row r="9220" spans="1:4">
      <c r="A9220" t="s">
        <v>6</v>
      </c>
      <c r="B9220">
        <v>48</v>
      </c>
      <c r="C9220" t="str">
        <f>CHOOSE(MATCH(B9220, {20,25,30,35,40,45,50,55,60,65,70,75,80,85}, 1), "20-24", "25-29", "30-34", "35-39", "40-44", "45-49", "50-54", "55-59", "60-64", "65-69", "70-74", "75-79", "80-84", "85+")</f>
        <v>45-49</v>
      </c>
      <c r="D9220" t="s">
        <v>8</v>
      </c>
    </row>
    <row r="9221" spans="1:4">
      <c r="A9221" t="s">
        <v>6</v>
      </c>
      <c r="B9221">
        <v>32</v>
      </c>
      <c r="C9221" t="str">
        <f>CHOOSE(MATCH(B9221, {20,25,30,35,40,45,50,55,60,65,70,75,80,85}, 1), "20-24", "25-29", "30-34", "35-39", "40-44", "45-49", "50-54", "55-59", "60-64", "65-69", "70-74", "75-79", "80-84", "85+")</f>
        <v>30-34</v>
      </c>
      <c r="D9221" t="s">
        <v>7</v>
      </c>
    </row>
    <row r="9222" spans="1:4">
      <c r="A9222" t="s">
        <v>6</v>
      </c>
      <c r="B9222">
        <v>39</v>
      </c>
      <c r="C9222" t="str">
        <f>CHOOSE(MATCH(B9222, {20,25,30,35,40,45,50,55,60,65,70,75,80,85}, 1), "20-24", "25-29", "30-34", "35-39", "40-44", "45-49", "50-54", "55-59", "60-64", "65-69", "70-74", "75-79", "80-84", "85+")</f>
        <v>35-39</v>
      </c>
      <c r="D9222" t="s">
        <v>7</v>
      </c>
    </row>
    <row r="9223" spans="1:4">
      <c r="A9223" t="s">
        <v>6</v>
      </c>
      <c r="B9223">
        <v>48</v>
      </c>
      <c r="C9223" t="str">
        <f>CHOOSE(MATCH(B9223, {20,25,30,35,40,45,50,55,60,65,70,75,80,85}, 1), "20-24", "25-29", "30-34", "35-39", "40-44", "45-49", "50-54", "55-59", "60-64", "65-69", "70-74", "75-79", "80-84", "85+")</f>
        <v>45-49</v>
      </c>
      <c r="D9223" t="s">
        <v>8</v>
      </c>
    </row>
    <row r="9224" spans="1:4">
      <c r="A9224" t="s">
        <v>6</v>
      </c>
      <c r="B9224">
        <v>21</v>
      </c>
      <c r="C9224" t="str">
        <f>CHOOSE(MATCH(B9224, {20,25,30,35,40,45,50,55,60,65,70,75,80,85}, 1), "20-24", "25-29", "30-34", "35-39", "40-44", "45-49", "50-54", "55-59", "60-64", "65-69", "70-74", "75-79", "80-84", "85+")</f>
        <v>20-24</v>
      </c>
      <c r="D9224" t="s">
        <v>7</v>
      </c>
    </row>
    <row r="9225" spans="1:4">
      <c r="A9225" t="s">
        <v>6</v>
      </c>
      <c r="B9225">
        <v>30</v>
      </c>
      <c r="C9225" t="str">
        <f>CHOOSE(MATCH(B9225, {20,25,30,35,40,45,50,55,60,65,70,75,80,85}, 1), "20-24", "25-29", "30-34", "35-39", "40-44", "45-49", "50-54", "55-59", "60-64", "65-69", "70-74", "75-79", "80-84", "85+")</f>
        <v>30-34</v>
      </c>
      <c r="D9225" t="s">
        <v>7</v>
      </c>
    </row>
    <row r="9226" spans="1:4">
      <c r="A9226" t="s">
        <v>6</v>
      </c>
      <c r="B9226">
        <v>27</v>
      </c>
      <c r="C9226" t="str">
        <f>CHOOSE(MATCH(B9226, {20,25,30,35,40,45,50,55,60,65,70,75,80,85}, 1), "20-24", "25-29", "30-34", "35-39", "40-44", "45-49", "50-54", "55-59", "60-64", "65-69", "70-74", "75-79", "80-84", "85+")</f>
        <v>25-29</v>
      </c>
      <c r="D9226" t="s">
        <v>8</v>
      </c>
    </row>
    <row r="9227" spans="1:4">
      <c r="A9227" t="s">
        <v>6</v>
      </c>
      <c r="B9227">
        <v>35</v>
      </c>
      <c r="C9227" t="str">
        <f>CHOOSE(MATCH(B9227, {20,25,30,35,40,45,50,55,60,65,70,75,80,85}, 1), "20-24", "25-29", "30-34", "35-39", "40-44", "45-49", "50-54", "55-59", "60-64", "65-69", "70-74", "75-79", "80-84", "85+")</f>
        <v>35-39</v>
      </c>
      <c r="D9227" t="s">
        <v>7</v>
      </c>
    </row>
    <row r="9228" spans="1:4">
      <c r="A9228" t="s">
        <v>6</v>
      </c>
      <c r="B9228">
        <v>27</v>
      </c>
      <c r="C9228" t="str">
        <f>CHOOSE(MATCH(B9228, {20,25,30,35,40,45,50,55,60,65,70,75,80,85}, 1), "20-24", "25-29", "30-34", "35-39", "40-44", "45-49", "50-54", "55-59", "60-64", "65-69", "70-74", "75-79", "80-84", "85+")</f>
        <v>25-29</v>
      </c>
      <c r="D9228" t="s">
        <v>7</v>
      </c>
    </row>
    <row r="9229" spans="1:4">
      <c r="A9229" t="s">
        <v>6</v>
      </c>
      <c r="B9229">
        <v>30</v>
      </c>
      <c r="C9229" t="str">
        <f>CHOOSE(MATCH(B9229, {20,25,30,35,40,45,50,55,60,65,70,75,80,85}, 1), "20-24", "25-29", "30-34", "35-39", "40-44", "45-49", "50-54", "55-59", "60-64", "65-69", "70-74", "75-79", "80-84", "85+")</f>
        <v>30-34</v>
      </c>
      <c r="D9229" t="s">
        <v>7</v>
      </c>
    </row>
    <row r="9230" spans="1:4">
      <c r="A9230" t="s">
        <v>6</v>
      </c>
      <c r="B9230">
        <v>29</v>
      </c>
      <c r="C9230" t="str">
        <f>CHOOSE(MATCH(B9230, {20,25,30,35,40,45,50,55,60,65,70,75,80,85}, 1), "20-24", "25-29", "30-34", "35-39", "40-44", "45-49", "50-54", "55-59", "60-64", "65-69", "70-74", "75-79", "80-84", "85+")</f>
        <v>25-29</v>
      </c>
      <c r="D9230" t="s">
        <v>7</v>
      </c>
    </row>
    <row r="9231" spans="1:4">
      <c r="A9231" t="s">
        <v>6</v>
      </c>
      <c r="B9231">
        <v>36</v>
      </c>
      <c r="C9231" t="str">
        <f>CHOOSE(MATCH(B9231, {20,25,30,35,40,45,50,55,60,65,70,75,80,85}, 1), "20-24", "25-29", "30-34", "35-39", "40-44", "45-49", "50-54", "55-59", "60-64", "65-69", "70-74", "75-79", "80-84", "85+")</f>
        <v>35-39</v>
      </c>
      <c r="D9231" t="s">
        <v>7</v>
      </c>
    </row>
    <row r="9232" spans="1:4">
      <c r="A9232" t="s">
        <v>6</v>
      </c>
      <c r="B9232">
        <v>26</v>
      </c>
      <c r="C9232" t="str">
        <f>CHOOSE(MATCH(B9232, {20,25,30,35,40,45,50,55,60,65,70,75,80,85}, 1), "20-24", "25-29", "30-34", "35-39", "40-44", "45-49", "50-54", "55-59", "60-64", "65-69", "70-74", "75-79", "80-84", "85+")</f>
        <v>25-29</v>
      </c>
      <c r="D9232" t="s">
        <v>7</v>
      </c>
    </row>
    <row r="9233" spans="1:4">
      <c r="A9233" t="s">
        <v>6</v>
      </c>
      <c r="B9233">
        <v>42</v>
      </c>
      <c r="C9233" t="str">
        <f>CHOOSE(MATCH(B9233, {20,25,30,35,40,45,50,55,60,65,70,75,80,85}, 1), "20-24", "25-29", "30-34", "35-39", "40-44", "45-49", "50-54", "55-59", "60-64", "65-69", "70-74", "75-79", "80-84", "85+")</f>
        <v>40-44</v>
      </c>
      <c r="D9233" t="s">
        <v>8</v>
      </c>
    </row>
    <row r="9234" spans="1:4">
      <c r="A9234" t="s">
        <v>6</v>
      </c>
      <c r="B9234">
        <v>43</v>
      </c>
      <c r="C9234" t="str">
        <f>CHOOSE(MATCH(B9234, {20,25,30,35,40,45,50,55,60,65,70,75,80,85}, 1), "20-24", "25-29", "30-34", "35-39", "40-44", "45-49", "50-54", "55-59", "60-64", "65-69", "70-74", "75-79", "80-84", "85+")</f>
        <v>40-44</v>
      </c>
      <c r="D9234" t="s">
        <v>7</v>
      </c>
    </row>
    <row r="9235" spans="1:4">
      <c r="A9235" t="s">
        <v>6</v>
      </c>
      <c r="B9235">
        <v>47</v>
      </c>
      <c r="C9235" t="str">
        <f>CHOOSE(MATCH(B9235, {20,25,30,35,40,45,50,55,60,65,70,75,80,85}, 1), "20-24", "25-29", "30-34", "35-39", "40-44", "45-49", "50-54", "55-59", "60-64", "65-69", "70-74", "75-79", "80-84", "85+")</f>
        <v>45-49</v>
      </c>
      <c r="D9235" t="s">
        <v>7</v>
      </c>
    </row>
    <row r="9236" spans="1:4">
      <c r="A9236" t="s">
        <v>6</v>
      </c>
      <c r="B9236">
        <v>84</v>
      </c>
      <c r="C9236" t="str">
        <f>CHOOSE(MATCH(B9236, {20,25,30,35,40,45,50,55,60,65,70,75,80,85}, 1), "20-24", "25-29", "30-34", "35-39", "40-44", "45-49", "50-54", "55-59", "60-64", "65-69", "70-74", "75-79", "80-84", "85+")</f>
        <v>80-84</v>
      </c>
      <c r="D9236" t="s">
        <v>8</v>
      </c>
    </row>
    <row r="9237" spans="1:4">
      <c r="A9237" t="s">
        <v>6</v>
      </c>
      <c r="B9237">
        <v>43</v>
      </c>
      <c r="C9237" t="str">
        <f>CHOOSE(MATCH(B9237, {20,25,30,35,40,45,50,55,60,65,70,75,80,85}, 1), "20-24", "25-29", "30-34", "35-39", "40-44", "45-49", "50-54", "55-59", "60-64", "65-69", "70-74", "75-79", "80-84", "85+")</f>
        <v>40-44</v>
      </c>
      <c r="D9237" t="s">
        <v>8</v>
      </c>
    </row>
    <row r="9238" spans="1:4">
      <c r="A9238" t="s">
        <v>6</v>
      </c>
      <c r="B9238">
        <v>52</v>
      </c>
      <c r="C9238" t="str">
        <f>CHOOSE(MATCH(B9238, {20,25,30,35,40,45,50,55,60,65,70,75,80,85}, 1), "20-24", "25-29", "30-34", "35-39", "40-44", "45-49", "50-54", "55-59", "60-64", "65-69", "70-74", "75-79", "80-84", "85+")</f>
        <v>50-54</v>
      </c>
      <c r="D9238" t="s">
        <v>7</v>
      </c>
    </row>
    <row r="9239" spans="1:4">
      <c r="A9239" t="s">
        <v>6</v>
      </c>
      <c r="B9239">
        <v>45</v>
      </c>
      <c r="C9239" t="str">
        <f>CHOOSE(MATCH(B9239, {20,25,30,35,40,45,50,55,60,65,70,75,80,85}, 1), "20-24", "25-29", "30-34", "35-39", "40-44", "45-49", "50-54", "55-59", "60-64", "65-69", "70-74", "75-79", "80-84", "85+")</f>
        <v>45-49</v>
      </c>
      <c r="D9239" t="s">
        <v>7</v>
      </c>
    </row>
    <row r="9240" spans="1:4">
      <c r="A9240" t="s">
        <v>6</v>
      </c>
      <c r="B9240">
        <v>62</v>
      </c>
      <c r="C9240" t="str">
        <f>CHOOSE(MATCH(B9240, {20,25,30,35,40,45,50,55,60,65,70,75,80,85}, 1), "20-24", "25-29", "30-34", "35-39", "40-44", "45-49", "50-54", "55-59", "60-64", "65-69", "70-74", "75-79", "80-84", "85+")</f>
        <v>60-64</v>
      </c>
      <c r="D9240" t="s">
        <v>7</v>
      </c>
    </row>
    <row r="9241" spans="1:4">
      <c r="A9241" t="s">
        <v>6</v>
      </c>
      <c r="B9241">
        <v>28</v>
      </c>
      <c r="C9241" t="str">
        <f>CHOOSE(MATCH(B9241, {20,25,30,35,40,45,50,55,60,65,70,75,80,85}, 1), "20-24", "25-29", "30-34", "35-39", "40-44", "45-49", "50-54", "55-59", "60-64", "65-69", "70-74", "75-79", "80-84", "85+")</f>
        <v>25-29</v>
      </c>
      <c r="D9241" t="s">
        <v>7</v>
      </c>
    </row>
    <row r="9242" spans="1:4">
      <c r="A9242" t="s">
        <v>6</v>
      </c>
      <c r="B9242">
        <v>37</v>
      </c>
      <c r="C9242" t="str">
        <f>CHOOSE(MATCH(B9242, {20,25,30,35,40,45,50,55,60,65,70,75,80,85}, 1), "20-24", "25-29", "30-34", "35-39", "40-44", "45-49", "50-54", "55-59", "60-64", "65-69", "70-74", "75-79", "80-84", "85+")</f>
        <v>35-39</v>
      </c>
      <c r="D9242" t="s">
        <v>8</v>
      </c>
    </row>
    <row r="9243" spans="1:4">
      <c r="A9243" t="s">
        <v>6</v>
      </c>
      <c r="B9243">
        <v>60</v>
      </c>
      <c r="C9243" t="str">
        <f>CHOOSE(MATCH(B9243, {20,25,30,35,40,45,50,55,60,65,70,75,80,85}, 1), "20-24", "25-29", "30-34", "35-39", "40-44", "45-49", "50-54", "55-59", "60-64", "65-69", "70-74", "75-79", "80-84", "85+")</f>
        <v>60-64</v>
      </c>
      <c r="D9243" t="s">
        <v>8</v>
      </c>
    </row>
    <row r="9244" spans="1:4">
      <c r="A9244" t="s">
        <v>6</v>
      </c>
      <c r="B9244">
        <v>31</v>
      </c>
      <c r="C9244" t="str">
        <f>CHOOSE(MATCH(B9244, {20,25,30,35,40,45,50,55,60,65,70,75,80,85}, 1), "20-24", "25-29", "30-34", "35-39", "40-44", "45-49", "50-54", "55-59", "60-64", "65-69", "70-74", "75-79", "80-84", "85+")</f>
        <v>30-34</v>
      </c>
      <c r="D9244" t="s">
        <v>7</v>
      </c>
    </row>
    <row r="9245" spans="1:4">
      <c r="A9245" t="s">
        <v>6</v>
      </c>
      <c r="B9245">
        <v>21</v>
      </c>
      <c r="C9245" t="str">
        <f>CHOOSE(MATCH(B9245, {20,25,30,35,40,45,50,55,60,65,70,75,80,85}, 1), "20-24", "25-29", "30-34", "35-39", "40-44", "45-49", "50-54", "55-59", "60-64", "65-69", "70-74", "75-79", "80-84", "85+")</f>
        <v>20-24</v>
      </c>
      <c r="D9245" t="s">
        <v>7</v>
      </c>
    </row>
    <row r="9246" spans="1:4">
      <c r="A9246" t="s">
        <v>6</v>
      </c>
      <c r="B9246">
        <v>67</v>
      </c>
      <c r="C9246" t="str">
        <f>CHOOSE(MATCH(B9246, {20,25,30,35,40,45,50,55,60,65,70,75,80,85}, 1), "20-24", "25-29", "30-34", "35-39", "40-44", "45-49", "50-54", "55-59", "60-64", "65-69", "70-74", "75-79", "80-84", "85+")</f>
        <v>65-69</v>
      </c>
      <c r="D9246" t="s">
        <v>8</v>
      </c>
    </row>
    <row r="9247" spans="1:4">
      <c r="A9247" t="s">
        <v>6</v>
      </c>
      <c r="B9247">
        <v>35</v>
      </c>
      <c r="C9247" t="str">
        <f>CHOOSE(MATCH(B9247, {20,25,30,35,40,45,50,55,60,65,70,75,80,85}, 1), "20-24", "25-29", "30-34", "35-39", "40-44", "45-49", "50-54", "55-59", "60-64", "65-69", "70-74", "75-79", "80-84", "85+")</f>
        <v>35-39</v>
      </c>
      <c r="D9247" t="s">
        <v>8</v>
      </c>
    </row>
    <row r="9248" spans="1:4">
      <c r="A9248" t="s">
        <v>6</v>
      </c>
      <c r="B9248">
        <v>81</v>
      </c>
      <c r="C9248" t="str">
        <f>CHOOSE(MATCH(B9248, {20,25,30,35,40,45,50,55,60,65,70,75,80,85}, 1), "20-24", "25-29", "30-34", "35-39", "40-44", "45-49", "50-54", "55-59", "60-64", "65-69", "70-74", "75-79", "80-84", "85+")</f>
        <v>80-84</v>
      </c>
      <c r="D9248" t="s">
        <v>7</v>
      </c>
    </row>
    <row r="9249" spans="1:4">
      <c r="A9249" t="s">
        <v>6</v>
      </c>
      <c r="B9249">
        <v>30</v>
      </c>
      <c r="C9249" t="str">
        <f>CHOOSE(MATCH(B9249, {20,25,30,35,40,45,50,55,60,65,70,75,80,85}, 1), "20-24", "25-29", "30-34", "35-39", "40-44", "45-49", "50-54", "55-59", "60-64", "65-69", "70-74", "75-79", "80-84", "85+")</f>
        <v>30-34</v>
      </c>
      <c r="D9249" t="s">
        <v>7</v>
      </c>
    </row>
    <row r="9250" spans="1:4">
      <c r="A9250" t="s">
        <v>6</v>
      </c>
      <c r="B9250">
        <v>30</v>
      </c>
      <c r="C9250" t="str">
        <f>CHOOSE(MATCH(B9250, {20,25,30,35,40,45,50,55,60,65,70,75,80,85}, 1), "20-24", "25-29", "30-34", "35-39", "40-44", "45-49", "50-54", "55-59", "60-64", "65-69", "70-74", "75-79", "80-84", "85+")</f>
        <v>30-34</v>
      </c>
      <c r="D9250" t="s">
        <v>7</v>
      </c>
    </row>
    <row r="9251" spans="1:4">
      <c r="A9251" t="s">
        <v>6</v>
      </c>
      <c r="B9251">
        <v>23</v>
      </c>
      <c r="C9251" t="str">
        <f>CHOOSE(MATCH(B9251, {20,25,30,35,40,45,50,55,60,65,70,75,80,85}, 1), "20-24", "25-29", "30-34", "35-39", "40-44", "45-49", "50-54", "55-59", "60-64", "65-69", "70-74", "75-79", "80-84", "85+")</f>
        <v>20-24</v>
      </c>
      <c r="D9251" t="s">
        <v>8</v>
      </c>
    </row>
    <row r="9252" spans="1:4">
      <c r="A9252" t="s">
        <v>6</v>
      </c>
      <c r="B9252">
        <v>29</v>
      </c>
      <c r="C9252" t="str">
        <f>CHOOSE(MATCH(B9252, {20,25,30,35,40,45,50,55,60,65,70,75,80,85}, 1), "20-24", "25-29", "30-34", "35-39", "40-44", "45-49", "50-54", "55-59", "60-64", "65-69", "70-74", "75-79", "80-84", "85+")</f>
        <v>25-29</v>
      </c>
      <c r="D9252" t="s">
        <v>8</v>
      </c>
    </row>
    <row r="9253" spans="1:4">
      <c r="A9253" t="s">
        <v>6</v>
      </c>
      <c r="B9253">
        <v>27</v>
      </c>
      <c r="C9253" t="str">
        <f>CHOOSE(MATCH(B9253, {20,25,30,35,40,45,50,55,60,65,70,75,80,85}, 1), "20-24", "25-29", "30-34", "35-39", "40-44", "45-49", "50-54", "55-59", "60-64", "65-69", "70-74", "75-79", "80-84", "85+")</f>
        <v>25-29</v>
      </c>
      <c r="D9253" t="s">
        <v>8</v>
      </c>
    </row>
    <row r="9254" spans="1:4">
      <c r="A9254" t="s">
        <v>6</v>
      </c>
      <c r="B9254">
        <v>42</v>
      </c>
      <c r="C9254" t="str">
        <f>CHOOSE(MATCH(B9254, {20,25,30,35,40,45,50,55,60,65,70,75,80,85}, 1), "20-24", "25-29", "30-34", "35-39", "40-44", "45-49", "50-54", "55-59", "60-64", "65-69", "70-74", "75-79", "80-84", "85+")</f>
        <v>40-44</v>
      </c>
      <c r="D9254" t="s">
        <v>7</v>
      </c>
    </row>
    <row r="9255" spans="1:4">
      <c r="A9255" t="s">
        <v>6</v>
      </c>
      <c r="B9255">
        <v>50</v>
      </c>
      <c r="C9255" t="str">
        <f>CHOOSE(MATCH(B9255, {20,25,30,35,40,45,50,55,60,65,70,75,80,85}, 1), "20-24", "25-29", "30-34", "35-39", "40-44", "45-49", "50-54", "55-59", "60-64", "65-69", "70-74", "75-79", "80-84", "85+")</f>
        <v>50-54</v>
      </c>
      <c r="D9255" t="s">
        <v>8</v>
      </c>
    </row>
    <row r="9256" spans="1:4">
      <c r="A9256" t="s">
        <v>6</v>
      </c>
      <c r="B9256">
        <v>37</v>
      </c>
      <c r="C9256" t="str">
        <f>CHOOSE(MATCH(B9256, {20,25,30,35,40,45,50,55,60,65,70,75,80,85}, 1), "20-24", "25-29", "30-34", "35-39", "40-44", "45-49", "50-54", "55-59", "60-64", "65-69", "70-74", "75-79", "80-84", "85+")</f>
        <v>35-39</v>
      </c>
      <c r="D9256" t="s">
        <v>8</v>
      </c>
    </row>
    <row r="9257" spans="1:4">
      <c r="A9257" t="s">
        <v>6</v>
      </c>
      <c r="B9257">
        <v>58</v>
      </c>
      <c r="C9257" t="str">
        <f>CHOOSE(MATCH(B9257, {20,25,30,35,40,45,50,55,60,65,70,75,80,85}, 1), "20-24", "25-29", "30-34", "35-39", "40-44", "45-49", "50-54", "55-59", "60-64", "65-69", "70-74", "75-79", "80-84", "85+")</f>
        <v>55-59</v>
      </c>
      <c r="D9257" t="s">
        <v>8</v>
      </c>
    </row>
    <row r="9258" spans="1:4">
      <c r="A9258" t="s">
        <v>6</v>
      </c>
      <c r="B9258">
        <v>40</v>
      </c>
      <c r="C9258" t="str">
        <f>CHOOSE(MATCH(B9258, {20,25,30,35,40,45,50,55,60,65,70,75,80,85}, 1), "20-24", "25-29", "30-34", "35-39", "40-44", "45-49", "50-54", "55-59", "60-64", "65-69", "70-74", "75-79", "80-84", "85+")</f>
        <v>40-44</v>
      </c>
      <c r="D9258" t="s">
        <v>7</v>
      </c>
    </row>
    <row r="9259" spans="1:4">
      <c r="A9259" t="s">
        <v>6</v>
      </c>
      <c r="B9259">
        <v>29</v>
      </c>
      <c r="C9259" t="str">
        <f>CHOOSE(MATCH(B9259, {20,25,30,35,40,45,50,55,60,65,70,75,80,85}, 1), "20-24", "25-29", "30-34", "35-39", "40-44", "45-49", "50-54", "55-59", "60-64", "65-69", "70-74", "75-79", "80-84", "85+")</f>
        <v>25-29</v>
      </c>
      <c r="D9259" t="s">
        <v>7</v>
      </c>
    </row>
    <row r="9260" spans="1:4">
      <c r="A9260" t="s">
        <v>6</v>
      </c>
      <c r="B9260">
        <v>57</v>
      </c>
      <c r="C9260" t="str">
        <f>CHOOSE(MATCH(B9260, {20,25,30,35,40,45,50,55,60,65,70,75,80,85}, 1), "20-24", "25-29", "30-34", "35-39", "40-44", "45-49", "50-54", "55-59", "60-64", "65-69", "70-74", "75-79", "80-84", "85+")</f>
        <v>55-59</v>
      </c>
      <c r="D9260" t="s">
        <v>7</v>
      </c>
    </row>
    <row r="9261" spans="1:4">
      <c r="A9261" t="s">
        <v>6</v>
      </c>
      <c r="B9261">
        <v>42</v>
      </c>
      <c r="C9261" t="str">
        <f>CHOOSE(MATCH(B9261, {20,25,30,35,40,45,50,55,60,65,70,75,80,85}, 1), "20-24", "25-29", "30-34", "35-39", "40-44", "45-49", "50-54", "55-59", "60-64", "65-69", "70-74", "75-79", "80-84", "85+")</f>
        <v>40-44</v>
      </c>
      <c r="D9261" t="s">
        <v>7</v>
      </c>
    </row>
    <row r="9262" spans="1:4">
      <c r="A9262" t="s">
        <v>6</v>
      </c>
      <c r="B9262">
        <v>43</v>
      </c>
      <c r="C9262" t="str">
        <f>CHOOSE(MATCH(B9262, {20,25,30,35,40,45,50,55,60,65,70,75,80,85}, 1), "20-24", "25-29", "30-34", "35-39", "40-44", "45-49", "50-54", "55-59", "60-64", "65-69", "70-74", "75-79", "80-84", "85+")</f>
        <v>40-44</v>
      </c>
      <c r="D9262" t="s">
        <v>7</v>
      </c>
    </row>
    <row r="9263" spans="1:4">
      <c r="A9263" t="s">
        <v>6</v>
      </c>
      <c r="B9263">
        <v>34</v>
      </c>
      <c r="C9263" t="str">
        <f>CHOOSE(MATCH(B9263, {20,25,30,35,40,45,50,55,60,65,70,75,80,85}, 1), "20-24", "25-29", "30-34", "35-39", "40-44", "45-49", "50-54", "55-59", "60-64", "65-69", "70-74", "75-79", "80-84", "85+")</f>
        <v>30-34</v>
      </c>
      <c r="D9263" t="s">
        <v>7</v>
      </c>
    </row>
    <row r="9264" spans="1:4">
      <c r="A9264" t="s">
        <v>6</v>
      </c>
      <c r="B9264">
        <v>68</v>
      </c>
      <c r="C9264" t="str">
        <f>CHOOSE(MATCH(B9264, {20,25,30,35,40,45,50,55,60,65,70,75,80,85}, 1), "20-24", "25-29", "30-34", "35-39", "40-44", "45-49", "50-54", "55-59", "60-64", "65-69", "70-74", "75-79", "80-84", "85+")</f>
        <v>65-69</v>
      </c>
      <c r="D9264" t="s">
        <v>7</v>
      </c>
    </row>
    <row r="9265" spans="1:4">
      <c r="A9265" t="s">
        <v>6</v>
      </c>
      <c r="B9265">
        <v>31</v>
      </c>
      <c r="C9265" t="str">
        <f>CHOOSE(MATCH(B9265, {20,25,30,35,40,45,50,55,60,65,70,75,80,85}, 1), "20-24", "25-29", "30-34", "35-39", "40-44", "45-49", "50-54", "55-59", "60-64", "65-69", "70-74", "75-79", "80-84", "85+")</f>
        <v>30-34</v>
      </c>
      <c r="D9265" t="s">
        <v>8</v>
      </c>
    </row>
    <row r="9266" spans="1:4">
      <c r="A9266" t="s">
        <v>6</v>
      </c>
      <c r="B9266">
        <v>70</v>
      </c>
      <c r="C9266" t="str">
        <f>CHOOSE(MATCH(B9266, {20,25,30,35,40,45,50,55,60,65,70,75,80,85}, 1), "20-24", "25-29", "30-34", "35-39", "40-44", "45-49", "50-54", "55-59", "60-64", "65-69", "70-74", "75-79", "80-84", "85+")</f>
        <v>70-74</v>
      </c>
      <c r="D9266" t="s">
        <v>8</v>
      </c>
    </row>
    <row r="9267" spans="1:4">
      <c r="A9267" t="s">
        <v>6</v>
      </c>
      <c r="B9267">
        <v>70</v>
      </c>
      <c r="C9267" t="str">
        <f>CHOOSE(MATCH(B9267, {20,25,30,35,40,45,50,55,60,65,70,75,80,85}, 1), "20-24", "25-29", "30-34", "35-39", "40-44", "45-49", "50-54", "55-59", "60-64", "65-69", "70-74", "75-79", "80-84", "85+")</f>
        <v>70-74</v>
      </c>
      <c r="D9267" t="s">
        <v>7</v>
      </c>
    </row>
    <row r="9268" spans="1:4">
      <c r="A9268" t="s">
        <v>6</v>
      </c>
      <c r="B9268">
        <v>47</v>
      </c>
      <c r="C9268" t="str">
        <f>CHOOSE(MATCH(B9268, {20,25,30,35,40,45,50,55,60,65,70,75,80,85}, 1), "20-24", "25-29", "30-34", "35-39", "40-44", "45-49", "50-54", "55-59", "60-64", "65-69", "70-74", "75-79", "80-84", "85+")</f>
        <v>45-49</v>
      </c>
      <c r="D9268" t="s">
        <v>8</v>
      </c>
    </row>
    <row r="9269" spans="1:4">
      <c r="A9269" t="s">
        <v>6</v>
      </c>
      <c r="B9269">
        <v>54</v>
      </c>
      <c r="C9269" t="str">
        <f>CHOOSE(MATCH(B9269, {20,25,30,35,40,45,50,55,60,65,70,75,80,85}, 1), "20-24", "25-29", "30-34", "35-39", "40-44", "45-49", "50-54", "55-59", "60-64", "65-69", "70-74", "75-79", "80-84", "85+")</f>
        <v>50-54</v>
      </c>
      <c r="D9269" t="s">
        <v>7</v>
      </c>
    </row>
    <row r="9270" spans="1:4">
      <c r="A9270" t="s">
        <v>6</v>
      </c>
      <c r="B9270">
        <v>31</v>
      </c>
      <c r="C9270" t="str">
        <f>CHOOSE(MATCH(B9270, {20,25,30,35,40,45,50,55,60,65,70,75,80,85}, 1), "20-24", "25-29", "30-34", "35-39", "40-44", "45-49", "50-54", "55-59", "60-64", "65-69", "70-74", "75-79", "80-84", "85+")</f>
        <v>30-34</v>
      </c>
      <c r="D9270" t="s">
        <v>7</v>
      </c>
    </row>
    <row r="9271" spans="1:4">
      <c r="A9271" t="s">
        <v>6</v>
      </c>
      <c r="B9271">
        <v>52</v>
      </c>
      <c r="C9271" t="str">
        <f>CHOOSE(MATCH(B9271, {20,25,30,35,40,45,50,55,60,65,70,75,80,85}, 1), "20-24", "25-29", "30-34", "35-39", "40-44", "45-49", "50-54", "55-59", "60-64", "65-69", "70-74", "75-79", "80-84", "85+")</f>
        <v>50-54</v>
      </c>
      <c r="D9271" t="s">
        <v>8</v>
      </c>
    </row>
    <row r="9272" spans="1:4">
      <c r="A9272" t="s">
        <v>6</v>
      </c>
      <c r="B9272">
        <v>29</v>
      </c>
      <c r="C9272" t="str">
        <f>CHOOSE(MATCH(B9272, {20,25,30,35,40,45,50,55,60,65,70,75,80,85}, 1), "20-24", "25-29", "30-34", "35-39", "40-44", "45-49", "50-54", "55-59", "60-64", "65-69", "70-74", "75-79", "80-84", "85+")</f>
        <v>25-29</v>
      </c>
      <c r="D9272" t="s">
        <v>8</v>
      </c>
    </row>
    <row r="9273" spans="1:4">
      <c r="A9273" t="s">
        <v>6</v>
      </c>
      <c r="B9273">
        <v>53</v>
      </c>
      <c r="C9273" t="str">
        <f>CHOOSE(MATCH(B9273, {20,25,30,35,40,45,50,55,60,65,70,75,80,85}, 1), "20-24", "25-29", "30-34", "35-39", "40-44", "45-49", "50-54", "55-59", "60-64", "65-69", "70-74", "75-79", "80-84", "85+")</f>
        <v>50-54</v>
      </c>
      <c r="D9273" t="s">
        <v>7</v>
      </c>
    </row>
    <row r="9274" spans="1:4">
      <c r="A9274" t="s">
        <v>6</v>
      </c>
      <c r="B9274">
        <v>20</v>
      </c>
      <c r="C9274" t="str">
        <f>CHOOSE(MATCH(B9274, {20,25,30,35,40,45,50,55,60,65,70,75,80,85}, 1), "20-24", "25-29", "30-34", "35-39", "40-44", "45-49", "50-54", "55-59", "60-64", "65-69", "70-74", "75-79", "80-84", "85+")</f>
        <v>20-24</v>
      </c>
      <c r="D9274" t="s">
        <v>7</v>
      </c>
    </row>
    <row r="9275" spans="1:4">
      <c r="A9275" t="s">
        <v>6</v>
      </c>
      <c r="B9275">
        <v>35</v>
      </c>
      <c r="C9275" t="str">
        <f>CHOOSE(MATCH(B9275, {20,25,30,35,40,45,50,55,60,65,70,75,80,85}, 1), "20-24", "25-29", "30-34", "35-39", "40-44", "45-49", "50-54", "55-59", "60-64", "65-69", "70-74", "75-79", "80-84", "85+")</f>
        <v>35-39</v>
      </c>
      <c r="D9275" t="s">
        <v>7</v>
      </c>
    </row>
    <row r="9276" spans="1:4">
      <c r="A9276" t="s">
        <v>6</v>
      </c>
      <c r="B9276">
        <v>64</v>
      </c>
      <c r="C9276" t="str">
        <f>CHOOSE(MATCH(B9276, {20,25,30,35,40,45,50,55,60,65,70,75,80,85}, 1), "20-24", "25-29", "30-34", "35-39", "40-44", "45-49", "50-54", "55-59", "60-64", "65-69", "70-74", "75-79", "80-84", "85+")</f>
        <v>60-64</v>
      </c>
      <c r="D9276" t="s">
        <v>7</v>
      </c>
    </row>
    <row r="9277" spans="1:4">
      <c r="A9277" t="s">
        <v>6</v>
      </c>
      <c r="B9277">
        <v>69</v>
      </c>
      <c r="C9277" t="str">
        <f>CHOOSE(MATCH(B9277, {20,25,30,35,40,45,50,55,60,65,70,75,80,85}, 1), "20-24", "25-29", "30-34", "35-39", "40-44", "45-49", "50-54", "55-59", "60-64", "65-69", "70-74", "75-79", "80-84", "85+")</f>
        <v>65-69</v>
      </c>
      <c r="D9277" t="s">
        <v>7</v>
      </c>
    </row>
    <row r="9278" spans="1:4">
      <c r="A9278" t="s">
        <v>6</v>
      </c>
      <c r="B9278">
        <v>28</v>
      </c>
      <c r="C9278" t="str">
        <f>CHOOSE(MATCH(B9278, {20,25,30,35,40,45,50,55,60,65,70,75,80,85}, 1), "20-24", "25-29", "30-34", "35-39", "40-44", "45-49", "50-54", "55-59", "60-64", "65-69", "70-74", "75-79", "80-84", "85+")</f>
        <v>25-29</v>
      </c>
      <c r="D9278" t="s">
        <v>8</v>
      </c>
    </row>
    <row r="9279" spans="1:4">
      <c r="A9279" t="s">
        <v>6</v>
      </c>
      <c r="B9279">
        <v>32</v>
      </c>
      <c r="C9279" t="str">
        <f>CHOOSE(MATCH(B9279, {20,25,30,35,40,45,50,55,60,65,70,75,80,85}, 1), "20-24", "25-29", "30-34", "35-39", "40-44", "45-49", "50-54", "55-59", "60-64", "65-69", "70-74", "75-79", "80-84", "85+")</f>
        <v>30-34</v>
      </c>
      <c r="D9279" t="s">
        <v>7</v>
      </c>
    </row>
    <row r="9280" spans="1:4">
      <c r="A9280" t="s">
        <v>6</v>
      </c>
      <c r="B9280">
        <v>44</v>
      </c>
      <c r="C9280" t="str">
        <f>CHOOSE(MATCH(B9280, {20,25,30,35,40,45,50,55,60,65,70,75,80,85}, 1), "20-24", "25-29", "30-34", "35-39", "40-44", "45-49", "50-54", "55-59", "60-64", "65-69", "70-74", "75-79", "80-84", "85+")</f>
        <v>40-44</v>
      </c>
      <c r="D9280" t="s">
        <v>8</v>
      </c>
    </row>
    <row r="9281" spans="1:4">
      <c r="A9281" t="s">
        <v>6</v>
      </c>
      <c r="B9281">
        <v>70</v>
      </c>
      <c r="C9281" t="str">
        <f>CHOOSE(MATCH(B9281, {20,25,30,35,40,45,50,55,60,65,70,75,80,85}, 1), "20-24", "25-29", "30-34", "35-39", "40-44", "45-49", "50-54", "55-59", "60-64", "65-69", "70-74", "75-79", "80-84", "85+")</f>
        <v>70-74</v>
      </c>
      <c r="D9281" t="s">
        <v>7</v>
      </c>
    </row>
    <row r="9282" spans="1:4">
      <c r="A9282" t="s">
        <v>6</v>
      </c>
      <c r="B9282">
        <v>25</v>
      </c>
      <c r="C9282" t="str">
        <f>CHOOSE(MATCH(B9282, {20,25,30,35,40,45,50,55,60,65,70,75,80,85}, 1), "20-24", "25-29", "30-34", "35-39", "40-44", "45-49", "50-54", "55-59", "60-64", "65-69", "70-74", "75-79", "80-84", "85+")</f>
        <v>25-29</v>
      </c>
      <c r="D9282" t="s">
        <v>7</v>
      </c>
    </row>
    <row r="9283" spans="1:4">
      <c r="A9283" t="s">
        <v>6</v>
      </c>
      <c r="B9283">
        <v>23</v>
      </c>
      <c r="C9283" t="str">
        <f>CHOOSE(MATCH(B9283, {20,25,30,35,40,45,50,55,60,65,70,75,80,85}, 1), "20-24", "25-29", "30-34", "35-39", "40-44", "45-49", "50-54", "55-59", "60-64", "65-69", "70-74", "75-79", "80-84", "85+")</f>
        <v>20-24</v>
      </c>
      <c r="D9283" t="s">
        <v>7</v>
      </c>
    </row>
    <row r="9284" spans="1:4">
      <c r="A9284" t="s">
        <v>6</v>
      </c>
      <c r="B9284">
        <v>54</v>
      </c>
      <c r="C9284" t="str">
        <f>CHOOSE(MATCH(B9284, {20,25,30,35,40,45,50,55,60,65,70,75,80,85}, 1), "20-24", "25-29", "30-34", "35-39", "40-44", "45-49", "50-54", "55-59", "60-64", "65-69", "70-74", "75-79", "80-84", "85+")</f>
        <v>50-54</v>
      </c>
      <c r="D9284" t="s">
        <v>7</v>
      </c>
    </row>
    <row r="9285" spans="1:4">
      <c r="A9285" t="s">
        <v>6</v>
      </c>
      <c r="B9285">
        <v>41</v>
      </c>
      <c r="C9285" t="str">
        <f>CHOOSE(MATCH(B9285, {20,25,30,35,40,45,50,55,60,65,70,75,80,85}, 1), "20-24", "25-29", "30-34", "35-39", "40-44", "45-49", "50-54", "55-59", "60-64", "65-69", "70-74", "75-79", "80-84", "85+")</f>
        <v>40-44</v>
      </c>
      <c r="D9285" t="s">
        <v>8</v>
      </c>
    </row>
    <row r="9286" spans="1:4">
      <c r="A9286" t="s">
        <v>6</v>
      </c>
      <c r="B9286">
        <v>59</v>
      </c>
      <c r="C9286" t="str">
        <f>CHOOSE(MATCH(B9286, {20,25,30,35,40,45,50,55,60,65,70,75,80,85}, 1), "20-24", "25-29", "30-34", "35-39", "40-44", "45-49", "50-54", "55-59", "60-64", "65-69", "70-74", "75-79", "80-84", "85+")</f>
        <v>55-59</v>
      </c>
      <c r="D9286" t="s">
        <v>7</v>
      </c>
    </row>
    <row r="9287" spans="1:4">
      <c r="A9287" t="s">
        <v>6</v>
      </c>
      <c r="B9287">
        <v>75</v>
      </c>
      <c r="C9287" t="str">
        <f>CHOOSE(MATCH(B9287, {20,25,30,35,40,45,50,55,60,65,70,75,80,85}, 1), "20-24", "25-29", "30-34", "35-39", "40-44", "45-49", "50-54", "55-59", "60-64", "65-69", "70-74", "75-79", "80-84", "85+")</f>
        <v>75-79</v>
      </c>
      <c r="D9287" t="s">
        <v>8</v>
      </c>
    </row>
    <row r="9288" spans="1:4">
      <c r="A9288" t="s">
        <v>6</v>
      </c>
      <c r="B9288">
        <v>29</v>
      </c>
      <c r="C9288" t="str">
        <f>CHOOSE(MATCH(B9288, {20,25,30,35,40,45,50,55,60,65,70,75,80,85}, 1), "20-24", "25-29", "30-34", "35-39", "40-44", "45-49", "50-54", "55-59", "60-64", "65-69", "70-74", "75-79", "80-84", "85+")</f>
        <v>25-29</v>
      </c>
      <c r="D9288" t="s">
        <v>7</v>
      </c>
    </row>
    <row r="9289" spans="1:4">
      <c r="A9289" t="s">
        <v>6</v>
      </c>
      <c r="B9289">
        <v>74</v>
      </c>
      <c r="C9289" t="str">
        <f>CHOOSE(MATCH(B9289, {20,25,30,35,40,45,50,55,60,65,70,75,80,85}, 1), "20-24", "25-29", "30-34", "35-39", "40-44", "45-49", "50-54", "55-59", "60-64", "65-69", "70-74", "75-79", "80-84", "85+")</f>
        <v>70-74</v>
      </c>
      <c r="D9289" t="s">
        <v>8</v>
      </c>
    </row>
    <row r="9290" spans="1:4">
      <c r="A9290" t="s">
        <v>6</v>
      </c>
      <c r="B9290">
        <v>70</v>
      </c>
      <c r="C9290" t="str">
        <f>CHOOSE(MATCH(B9290, {20,25,30,35,40,45,50,55,60,65,70,75,80,85}, 1), "20-24", "25-29", "30-34", "35-39", "40-44", "45-49", "50-54", "55-59", "60-64", "65-69", "70-74", "75-79", "80-84", "85+")</f>
        <v>70-74</v>
      </c>
      <c r="D9290" t="s">
        <v>8</v>
      </c>
    </row>
    <row r="9291" spans="1:4">
      <c r="A9291" t="s">
        <v>6</v>
      </c>
      <c r="B9291">
        <v>57</v>
      </c>
      <c r="C9291" t="str">
        <f>CHOOSE(MATCH(B9291, {20,25,30,35,40,45,50,55,60,65,70,75,80,85}, 1), "20-24", "25-29", "30-34", "35-39", "40-44", "45-49", "50-54", "55-59", "60-64", "65-69", "70-74", "75-79", "80-84", "85+")</f>
        <v>55-59</v>
      </c>
      <c r="D9291" t="s">
        <v>8</v>
      </c>
    </row>
    <row r="9292" spans="1:4">
      <c r="A9292" t="s">
        <v>6</v>
      </c>
      <c r="B9292">
        <v>25</v>
      </c>
      <c r="C9292" t="str">
        <f>CHOOSE(MATCH(B9292, {20,25,30,35,40,45,50,55,60,65,70,75,80,85}, 1), "20-24", "25-29", "30-34", "35-39", "40-44", "45-49", "50-54", "55-59", "60-64", "65-69", "70-74", "75-79", "80-84", "85+")</f>
        <v>25-29</v>
      </c>
      <c r="D9292" t="s">
        <v>8</v>
      </c>
    </row>
    <row r="9293" spans="1:4">
      <c r="A9293" t="s">
        <v>6</v>
      </c>
      <c r="B9293">
        <v>60</v>
      </c>
      <c r="C9293" t="str">
        <f>CHOOSE(MATCH(B9293, {20,25,30,35,40,45,50,55,60,65,70,75,80,85}, 1), "20-24", "25-29", "30-34", "35-39", "40-44", "45-49", "50-54", "55-59", "60-64", "65-69", "70-74", "75-79", "80-84", "85+")</f>
        <v>60-64</v>
      </c>
      <c r="D9293" t="s">
        <v>8</v>
      </c>
    </row>
    <row r="9294" spans="1:4">
      <c r="A9294" t="s">
        <v>6</v>
      </c>
      <c r="B9294">
        <v>33</v>
      </c>
      <c r="C9294" t="str">
        <f>CHOOSE(MATCH(B9294, {20,25,30,35,40,45,50,55,60,65,70,75,80,85}, 1), "20-24", "25-29", "30-34", "35-39", "40-44", "45-49", "50-54", "55-59", "60-64", "65-69", "70-74", "75-79", "80-84", "85+")</f>
        <v>30-34</v>
      </c>
      <c r="D9294" t="s">
        <v>7</v>
      </c>
    </row>
    <row r="9295" spans="1:4">
      <c r="A9295" t="s">
        <v>6</v>
      </c>
      <c r="B9295">
        <v>27</v>
      </c>
      <c r="C9295" t="str">
        <f>CHOOSE(MATCH(B9295, {20,25,30,35,40,45,50,55,60,65,70,75,80,85}, 1), "20-24", "25-29", "30-34", "35-39", "40-44", "45-49", "50-54", "55-59", "60-64", "65-69", "70-74", "75-79", "80-84", "85+")</f>
        <v>25-29</v>
      </c>
      <c r="D9295" t="s">
        <v>8</v>
      </c>
    </row>
    <row r="9296" spans="1:4">
      <c r="A9296" t="s">
        <v>6</v>
      </c>
      <c r="B9296">
        <v>27</v>
      </c>
      <c r="C9296" t="str">
        <f>CHOOSE(MATCH(B9296, {20,25,30,35,40,45,50,55,60,65,70,75,80,85}, 1), "20-24", "25-29", "30-34", "35-39", "40-44", "45-49", "50-54", "55-59", "60-64", "65-69", "70-74", "75-79", "80-84", "85+")</f>
        <v>25-29</v>
      </c>
      <c r="D9296" t="s">
        <v>8</v>
      </c>
    </row>
    <row r="9297" spans="1:4">
      <c r="A9297" t="s">
        <v>6</v>
      </c>
      <c r="B9297">
        <v>45</v>
      </c>
      <c r="C9297" t="str">
        <f>CHOOSE(MATCH(B9297, {20,25,30,35,40,45,50,55,60,65,70,75,80,85}, 1), "20-24", "25-29", "30-34", "35-39", "40-44", "45-49", "50-54", "55-59", "60-64", "65-69", "70-74", "75-79", "80-84", "85+")</f>
        <v>45-49</v>
      </c>
      <c r="D9297" t="s">
        <v>7</v>
      </c>
    </row>
    <row r="9298" spans="1:4">
      <c r="A9298" t="s">
        <v>6</v>
      </c>
      <c r="B9298">
        <v>42</v>
      </c>
      <c r="C9298" t="str">
        <f>CHOOSE(MATCH(B9298, {20,25,30,35,40,45,50,55,60,65,70,75,80,85}, 1), "20-24", "25-29", "30-34", "35-39", "40-44", "45-49", "50-54", "55-59", "60-64", "65-69", "70-74", "75-79", "80-84", "85+")</f>
        <v>40-44</v>
      </c>
      <c r="D9298" t="s">
        <v>7</v>
      </c>
    </row>
    <row r="9299" spans="1:4">
      <c r="A9299" t="s">
        <v>6</v>
      </c>
      <c r="B9299">
        <v>44</v>
      </c>
      <c r="C9299" t="str">
        <f>CHOOSE(MATCH(B9299, {20,25,30,35,40,45,50,55,60,65,70,75,80,85}, 1), "20-24", "25-29", "30-34", "35-39", "40-44", "45-49", "50-54", "55-59", "60-64", "65-69", "70-74", "75-79", "80-84", "85+")</f>
        <v>40-44</v>
      </c>
      <c r="D9299" t="s">
        <v>8</v>
      </c>
    </row>
    <row r="9300" spans="1:4">
      <c r="A9300" t="s">
        <v>6</v>
      </c>
      <c r="B9300">
        <v>31</v>
      </c>
      <c r="C9300" t="str">
        <f>CHOOSE(MATCH(B9300, {20,25,30,35,40,45,50,55,60,65,70,75,80,85}, 1), "20-24", "25-29", "30-34", "35-39", "40-44", "45-49", "50-54", "55-59", "60-64", "65-69", "70-74", "75-79", "80-84", "85+")</f>
        <v>30-34</v>
      </c>
      <c r="D9300" t="s">
        <v>7</v>
      </c>
    </row>
    <row r="9301" spans="1:4">
      <c r="A9301" t="s">
        <v>6</v>
      </c>
      <c r="B9301">
        <v>35</v>
      </c>
      <c r="C9301" t="str">
        <f>CHOOSE(MATCH(B9301, {20,25,30,35,40,45,50,55,60,65,70,75,80,85}, 1), "20-24", "25-29", "30-34", "35-39", "40-44", "45-49", "50-54", "55-59", "60-64", "65-69", "70-74", "75-79", "80-84", "85+")</f>
        <v>35-39</v>
      </c>
      <c r="D9301" t="s">
        <v>7</v>
      </c>
    </row>
    <row r="9302" spans="1:4">
      <c r="A9302" t="s">
        <v>6</v>
      </c>
      <c r="B9302">
        <v>25</v>
      </c>
      <c r="C9302" t="str">
        <f>CHOOSE(MATCH(B9302, {20,25,30,35,40,45,50,55,60,65,70,75,80,85}, 1), "20-24", "25-29", "30-34", "35-39", "40-44", "45-49", "50-54", "55-59", "60-64", "65-69", "70-74", "75-79", "80-84", "85+")</f>
        <v>25-29</v>
      </c>
      <c r="D9302" t="s">
        <v>7</v>
      </c>
    </row>
    <row r="9303" spans="1:4">
      <c r="A9303" t="s">
        <v>6</v>
      </c>
      <c r="B9303">
        <v>27</v>
      </c>
      <c r="C9303" t="str">
        <f>CHOOSE(MATCH(B9303, {20,25,30,35,40,45,50,55,60,65,70,75,80,85}, 1), "20-24", "25-29", "30-34", "35-39", "40-44", "45-49", "50-54", "55-59", "60-64", "65-69", "70-74", "75-79", "80-84", "85+")</f>
        <v>25-29</v>
      </c>
      <c r="D9303" t="s">
        <v>8</v>
      </c>
    </row>
    <row r="9304" spans="1:4">
      <c r="A9304" t="s">
        <v>6</v>
      </c>
      <c r="B9304">
        <v>40</v>
      </c>
      <c r="C9304" t="str">
        <f>CHOOSE(MATCH(B9304, {20,25,30,35,40,45,50,55,60,65,70,75,80,85}, 1), "20-24", "25-29", "30-34", "35-39", "40-44", "45-49", "50-54", "55-59", "60-64", "65-69", "70-74", "75-79", "80-84", "85+")</f>
        <v>40-44</v>
      </c>
      <c r="D9304" t="s">
        <v>7</v>
      </c>
    </row>
    <row r="9305" spans="1:4">
      <c r="A9305" t="s">
        <v>6</v>
      </c>
      <c r="B9305">
        <v>28</v>
      </c>
      <c r="C9305" t="str">
        <f>CHOOSE(MATCH(B9305, {20,25,30,35,40,45,50,55,60,65,70,75,80,85}, 1), "20-24", "25-29", "30-34", "35-39", "40-44", "45-49", "50-54", "55-59", "60-64", "65-69", "70-74", "75-79", "80-84", "85+")</f>
        <v>25-29</v>
      </c>
      <c r="D9305" t="s">
        <v>8</v>
      </c>
    </row>
    <row r="9306" spans="1:4">
      <c r="A9306" t="s">
        <v>6</v>
      </c>
      <c r="B9306">
        <v>36</v>
      </c>
      <c r="C9306" t="str">
        <f>CHOOSE(MATCH(B9306, {20,25,30,35,40,45,50,55,60,65,70,75,80,85}, 1), "20-24", "25-29", "30-34", "35-39", "40-44", "45-49", "50-54", "55-59", "60-64", "65-69", "70-74", "75-79", "80-84", "85+")</f>
        <v>35-39</v>
      </c>
      <c r="D9306" t="s">
        <v>8</v>
      </c>
    </row>
    <row r="9307" spans="1:4">
      <c r="A9307" t="s">
        <v>6</v>
      </c>
      <c r="B9307">
        <v>40</v>
      </c>
      <c r="C9307" t="str">
        <f>CHOOSE(MATCH(B9307, {20,25,30,35,40,45,50,55,60,65,70,75,80,85}, 1), "20-24", "25-29", "30-34", "35-39", "40-44", "45-49", "50-54", "55-59", "60-64", "65-69", "70-74", "75-79", "80-84", "85+")</f>
        <v>40-44</v>
      </c>
      <c r="D9307" t="s">
        <v>8</v>
      </c>
    </row>
    <row r="9308" spans="1:4">
      <c r="A9308" t="s">
        <v>6</v>
      </c>
      <c r="B9308">
        <v>35</v>
      </c>
      <c r="C9308" t="str">
        <f>CHOOSE(MATCH(B9308, {20,25,30,35,40,45,50,55,60,65,70,75,80,85}, 1), "20-24", "25-29", "30-34", "35-39", "40-44", "45-49", "50-54", "55-59", "60-64", "65-69", "70-74", "75-79", "80-84", "85+")</f>
        <v>35-39</v>
      </c>
      <c r="D9308" t="s">
        <v>7</v>
      </c>
    </row>
    <row r="9309" spans="1:4">
      <c r="A9309" t="s">
        <v>6</v>
      </c>
      <c r="B9309">
        <v>31</v>
      </c>
      <c r="C9309" t="str">
        <f>CHOOSE(MATCH(B9309, {20,25,30,35,40,45,50,55,60,65,70,75,80,85}, 1), "20-24", "25-29", "30-34", "35-39", "40-44", "45-49", "50-54", "55-59", "60-64", "65-69", "70-74", "75-79", "80-84", "85+")</f>
        <v>30-34</v>
      </c>
      <c r="D9309" t="s">
        <v>7</v>
      </c>
    </row>
    <row r="9310" spans="1:4">
      <c r="A9310" t="s">
        <v>6</v>
      </c>
      <c r="B9310">
        <v>46</v>
      </c>
      <c r="C9310" t="str">
        <f>CHOOSE(MATCH(B9310, {20,25,30,35,40,45,50,55,60,65,70,75,80,85}, 1), "20-24", "25-29", "30-34", "35-39", "40-44", "45-49", "50-54", "55-59", "60-64", "65-69", "70-74", "75-79", "80-84", "85+")</f>
        <v>45-49</v>
      </c>
      <c r="D9310" t="s">
        <v>7</v>
      </c>
    </row>
    <row r="9311" spans="1:4">
      <c r="A9311" t="s">
        <v>6</v>
      </c>
      <c r="B9311">
        <v>53</v>
      </c>
      <c r="C9311" t="str">
        <f>CHOOSE(MATCH(B9311, {20,25,30,35,40,45,50,55,60,65,70,75,80,85}, 1), "20-24", "25-29", "30-34", "35-39", "40-44", "45-49", "50-54", "55-59", "60-64", "65-69", "70-74", "75-79", "80-84", "85+")</f>
        <v>50-54</v>
      </c>
      <c r="D9311" t="s">
        <v>8</v>
      </c>
    </row>
    <row r="9312" spans="1:4">
      <c r="A9312" t="s">
        <v>6</v>
      </c>
      <c r="B9312">
        <v>73</v>
      </c>
      <c r="C9312" t="str">
        <f>CHOOSE(MATCH(B9312, {20,25,30,35,40,45,50,55,60,65,70,75,80,85}, 1), "20-24", "25-29", "30-34", "35-39", "40-44", "45-49", "50-54", "55-59", "60-64", "65-69", "70-74", "75-79", "80-84", "85+")</f>
        <v>70-74</v>
      </c>
      <c r="D9312" t="s">
        <v>8</v>
      </c>
    </row>
    <row r="9313" spans="1:4">
      <c r="A9313" t="s">
        <v>6</v>
      </c>
      <c r="B9313">
        <v>37</v>
      </c>
      <c r="C9313" t="str">
        <f>CHOOSE(MATCH(B9313, {20,25,30,35,40,45,50,55,60,65,70,75,80,85}, 1), "20-24", "25-29", "30-34", "35-39", "40-44", "45-49", "50-54", "55-59", "60-64", "65-69", "70-74", "75-79", "80-84", "85+")</f>
        <v>35-39</v>
      </c>
      <c r="D9313" t="s">
        <v>8</v>
      </c>
    </row>
    <row r="9314" spans="1:4">
      <c r="A9314" t="s">
        <v>6</v>
      </c>
      <c r="B9314">
        <v>55</v>
      </c>
      <c r="C9314" t="str">
        <f>CHOOSE(MATCH(B9314, {20,25,30,35,40,45,50,55,60,65,70,75,80,85}, 1), "20-24", "25-29", "30-34", "35-39", "40-44", "45-49", "50-54", "55-59", "60-64", "65-69", "70-74", "75-79", "80-84", "85+")</f>
        <v>55-59</v>
      </c>
      <c r="D9314" t="s">
        <v>8</v>
      </c>
    </row>
    <row r="9315" spans="1:4">
      <c r="A9315" t="s">
        <v>6</v>
      </c>
      <c r="B9315">
        <v>23</v>
      </c>
      <c r="C9315" t="str">
        <f>CHOOSE(MATCH(B9315, {20,25,30,35,40,45,50,55,60,65,70,75,80,85}, 1), "20-24", "25-29", "30-34", "35-39", "40-44", "45-49", "50-54", "55-59", "60-64", "65-69", "70-74", "75-79", "80-84", "85+")</f>
        <v>20-24</v>
      </c>
      <c r="D9315" t="s">
        <v>7</v>
      </c>
    </row>
    <row r="9316" spans="1:4">
      <c r="A9316" t="s">
        <v>6</v>
      </c>
      <c r="B9316">
        <v>36</v>
      </c>
      <c r="C9316" t="str">
        <f>CHOOSE(MATCH(B9316, {20,25,30,35,40,45,50,55,60,65,70,75,80,85}, 1), "20-24", "25-29", "30-34", "35-39", "40-44", "45-49", "50-54", "55-59", "60-64", "65-69", "70-74", "75-79", "80-84", "85+")</f>
        <v>35-39</v>
      </c>
      <c r="D9316" t="s">
        <v>8</v>
      </c>
    </row>
    <row r="9317" spans="1:4">
      <c r="A9317" t="s">
        <v>6</v>
      </c>
      <c r="B9317">
        <v>86</v>
      </c>
      <c r="C9317" t="str">
        <f>CHOOSE(MATCH(B9317, {20,25,30,35,40,45,50,55,60,65,70,75,80,85}, 1), "20-24", "25-29", "30-34", "35-39", "40-44", "45-49", "50-54", "55-59", "60-64", "65-69", "70-74", "75-79", "80-84", "85+")</f>
        <v>85+</v>
      </c>
      <c r="D9317" t="s">
        <v>8</v>
      </c>
    </row>
    <row r="9318" spans="1:4">
      <c r="A9318" t="s">
        <v>6</v>
      </c>
      <c r="B9318">
        <v>55</v>
      </c>
      <c r="C9318" t="str">
        <f>CHOOSE(MATCH(B9318, {20,25,30,35,40,45,50,55,60,65,70,75,80,85}, 1), "20-24", "25-29", "30-34", "35-39", "40-44", "45-49", "50-54", "55-59", "60-64", "65-69", "70-74", "75-79", "80-84", "85+")</f>
        <v>55-59</v>
      </c>
      <c r="D9318" t="s">
        <v>7</v>
      </c>
    </row>
    <row r="9319" spans="1:4">
      <c r="A9319" t="s">
        <v>6</v>
      </c>
      <c r="B9319">
        <v>55</v>
      </c>
      <c r="C9319" t="str">
        <f>CHOOSE(MATCH(B9319, {20,25,30,35,40,45,50,55,60,65,70,75,80,85}, 1), "20-24", "25-29", "30-34", "35-39", "40-44", "45-49", "50-54", "55-59", "60-64", "65-69", "70-74", "75-79", "80-84", "85+")</f>
        <v>55-59</v>
      </c>
      <c r="D9319" t="s">
        <v>8</v>
      </c>
    </row>
    <row r="9320" spans="1:4">
      <c r="A9320" t="s">
        <v>6</v>
      </c>
      <c r="B9320">
        <v>49</v>
      </c>
      <c r="C9320" t="str">
        <f>CHOOSE(MATCH(B9320, {20,25,30,35,40,45,50,55,60,65,70,75,80,85}, 1), "20-24", "25-29", "30-34", "35-39", "40-44", "45-49", "50-54", "55-59", "60-64", "65-69", "70-74", "75-79", "80-84", "85+")</f>
        <v>45-49</v>
      </c>
      <c r="D9320" t="s">
        <v>7</v>
      </c>
    </row>
    <row r="9321" spans="1:4">
      <c r="A9321" t="s">
        <v>6</v>
      </c>
      <c r="B9321">
        <v>38</v>
      </c>
      <c r="C9321" t="str">
        <f>CHOOSE(MATCH(B9321, {20,25,30,35,40,45,50,55,60,65,70,75,80,85}, 1), "20-24", "25-29", "30-34", "35-39", "40-44", "45-49", "50-54", "55-59", "60-64", "65-69", "70-74", "75-79", "80-84", "85+")</f>
        <v>35-39</v>
      </c>
      <c r="D9321" t="s">
        <v>7</v>
      </c>
    </row>
    <row r="9322" spans="1:4">
      <c r="A9322" t="s">
        <v>6</v>
      </c>
      <c r="B9322">
        <v>52</v>
      </c>
      <c r="C9322" t="str">
        <f>CHOOSE(MATCH(B9322, {20,25,30,35,40,45,50,55,60,65,70,75,80,85}, 1), "20-24", "25-29", "30-34", "35-39", "40-44", "45-49", "50-54", "55-59", "60-64", "65-69", "70-74", "75-79", "80-84", "85+")</f>
        <v>50-54</v>
      </c>
      <c r="D9322" t="s">
        <v>8</v>
      </c>
    </row>
    <row r="9323" spans="1:4">
      <c r="A9323" t="s">
        <v>6</v>
      </c>
      <c r="B9323">
        <v>48</v>
      </c>
      <c r="C9323" t="str">
        <f>CHOOSE(MATCH(B9323, {20,25,30,35,40,45,50,55,60,65,70,75,80,85}, 1), "20-24", "25-29", "30-34", "35-39", "40-44", "45-49", "50-54", "55-59", "60-64", "65-69", "70-74", "75-79", "80-84", "85+")</f>
        <v>45-49</v>
      </c>
      <c r="D9323" t="s">
        <v>8</v>
      </c>
    </row>
    <row r="9324" spans="1:4">
      <c r="A9324" t="s">
        <v>6</v>
      </c>
      <c r="B9324">
        <v>31</v>
      </c>
      <c r="C9324" t="str">
        <f>CHOOSE(MATCH(B9324, {20,25,30,35,40,45,50,55,60,65,70,75,80,85}, 1), "20-24", "25-29", "30-34", "35-39", "40-44", "45-49", "50-54", "55-59", "60-64", "65-69", "70-74", "75-79", "80-84", "85+")</f>
        <v>30-34</v>
      </c>
      <c r="D9324" t="s">
        <v>7</v>
      </c>
    </row>
    <row r="9325" spans="1:4">
      <c r="A9325" t="s">
        <v>6</v>
      </c>
      <c r="B9325">
        <v>38</v>
      </c>
      <c r="C9325" t="str">
        <f>CHOOSE(MATCH(B9325, {20,25,30,35,40,45,50,55,60,65,70,75,80,85}, 1), "20-24", "25-29", "30-34", "35-39", "40-44", "45-49", "50-54", "55-59", "60-64", "65-69", "70-74", "75-79", "80-84", "85+")</f>
        <v>35-39</v>
      </c>
      <c r="D9325" t="s">
        <v>8</v>
      </c>
    </row>
    <row r="9326" spans="1:4">
      <c r="A9326" t="s">
        <v>6</v>
      </c>
      <c r="B9326">
        <v>42</v>
      </c>
      <c r="C9326" t="str">
        <f>CHOOSE(MATCH(B9326, {20,25,30,35,40,45,50,55,60,65,70,75,80,85}, 1), "20-24", "25-29", "30-34", "35-39", "40-44", "45-49", "50-54", "55-59", "60-64", "65-69", "70-74", "75-79", "80-84", "85+")</f>
        <v>40-44</v>
      </c>
      <c r="D9326" t="s">
        <v>7</v>
      </c>
    </row>
    <row r="9327" spans="1:4">
      <c r="A9327" t="s">
        <v>6</v>
      </c>
      <c r="B9327">
        <v>34</v>
      </c>
      <c r="C9327" t="str">
        <f>CHOOSE(MATCH(B9327, {20,25,30,35,40,45,50,55,60,65,70,75,80,85}, 1), "20-24", "25-29", "30-34", "35-39", "40-44", "45-49", "50-54", "55-59", "60-64", "65-69", "70-74", "75-79", "80-84", "85+")</f>
        <v>30-34</v>
      </c>
      <c r="D9327" t="s">
        <v>7</v>
      </c>
    </row>
    <row r="9328" spans="1:4">
      <c r="A9328" t="s">
        <v>6</v>
      </c>
      <c r="B9328">
        <v>31</v>
      </c>
      <c r="C9328" t="str">
        <f>CHOOSE(MATCH(B9328, {20,25,30,35,40,45,50,55,60,65,70,75,80,85}, 1), "20-24", "25-29", "30-34", "35-39", "40-44", "45-49", "50-54", "55-59", "60-64", "65-69", "70-74", "75-79", "80-84", "85+")</f>
        <v>30-34</v>
      </c>
      <c r="D9328" t="s">
        <v>7</v>
      </c>
    </row>
    <row r="9329" spans="1:4">
      <c r="A9329" t="s">
        <v>6</v>
      </c>
      <c r="B9329">
        <v>59</v>
      </c>
      <c r="C9329" t="str">
        <f>CHOOSE(MATCH(B9329, {20,25,30,35,40,45,50,55,60,65,70,75,80,85}, 1), "20-24", "25-29", "30-34", "35-39", "40-44", "45-49", "50-54", "55-59", "60-64", "65-69", "70-74", "75-79", "80-84", "85+")</f>
        <v>55-59</v>
      </c>
      <c r="D9329" t="s">
        <v>8</v>
      </c>
    </row>
    <row r="9330" spans="1:4">
      <c r="A9330" t="s">
        <v>6</v>
      </c>
      <c r="B9330">
        <v>33</v>
      </c>
      <c r="C9330" t="str">
        <f>CHOOSE(MATCH(B9330, {20,25,30,35,40,45,50,55,60,65,70,75,80,85}, 1), "20-24", "25-29", "30-34", "35-39", "40-44", "45-49", "50-54", "55-59", "60-64", "65-69", "70-74", "75-79", "80-84", "85+")</f>
        <v>30-34</v>
      </c>
      <c r="D9330" t="s">
        <v>8</v>
      </c>
    </row>
    <row r="9331" spans="1:4">
      <c r="A9331" t="s">
        <v>6</v>
      </c>
      <c r="B9331">
        <v>27</v>
      </c>
      <c r="C9331" t="str">
        <f>CHOOSE(MATCH(B9331, {20,25,30,35,40,45,50,55,60,65,70,75,80,85}, 1), "20-24", "25-29", "30-34", "35-39", "40-44", "45-49", "50-54", "55-59", "60-64", "65-69", "70-74", "75-79", "80-84", "85+")</f>
        <v>25-29</v>
      </c>
      <c r="D9331" t="s">
        <v>7</v>
      </c>
    </row>
    <row r="9332" spans="1:4">
      <c r="A9332" t="s">
        <v>6</v>
      </c>
      <c r="B9332">
        <v>66</v>
      </c>
      <c r="C9332" t="str">
        <f>CHOOSE(MATCH(B9332, {20,25,30,35,40,45,50,55,60,65,70,75,80,85}, 1), "20-24", "25-29", "30-34", "35-39", "40-44", "45-49", "50-54", "55-59", "60-64", "65-69", "70-74", "75-79", "80-84", "85+")</f>
        <v>65-69</v>
      </c>
      <c r="D9332" t="s">
        <v>8</v>
      </c>
    </row>
    <row r="9333" spans="1:4">
      <c r="A9333" t="s">
        <v>6</v>
      </c>
      <c r="B9333">
        <v>72</v>
      </c>
      <c r="C9333" t="str">
        <f>CHOOSE(MATCH(B9333, {20,25,30,35,40,45,50,55,60,65,70,75,80,85}, 1), "20-24", "25-29", "30-34", "35-39", "40-44", "45-49", "50-54", "55-59", "60-64", "65-69", "70-74", "75-79", "80-84", "85+")</f>
        <v>70-74</v>
      </c>
      <c r="D9333" t="s">
        <v>7</v>
      </c>
    </row>
    <row r="9334" spans="1:4">
      <c r="A9334" t="s">
        <v>6</v>
      </c>
      <c r="B9334">
        <v>22</v>
      </c>
      <c r="C9334" t="str">
        <f>CHOOSE(MATCH(B9334, {20,25,30,35,40,45,50,55,60,65,70,75,80,85}, 1), "20-24", "25-29", "30-34", "35-39", "40-44", "45-49", "50-54", "55-59", "60-64", "65-69", "70-74", "75-79", "80-84", "85+")</f>
        <v>20-24</v>
      </c>
      <c r="D9334" t="s">
        <v>7</v>
      </c>
    </row>
    <row r="9335" spans="1:4">
      <c r="A9335" t="s">
        <v>6</v>
      </c>
      <c r="B9335">
        <v>31</v>
      </c>
      <c r="C9335" t="str">
        <f>CHOOSE(MATCH(B9335, {20,25,30,35,40,45,50,55,60,65,70,75,80,85}, 1), "20-24", "25-29", "30-34", "35-39", "40-44", "45-49", "50-54", "55-59", "60-64", "65-69", "70-74", "75-79", "80-84", "85+")</f>
        <v>30-34</v>
      </c>
      <c r="D9335" t="s">
        <v>8</v>
      </c>
    </row>
    <row r="9336" spans="1:4">
      <c r="A9336" t="s">
        <v>6</v>
      </c>
      <c r="B9336">
        <v>45</v>
      </c>
      <c r="C9336" t="str">
        <f>CHOOSE(MATCH(B9336, {20,25,30,35,40,45,50,55,60,65,70,75,80,85}, 1), "20-24", "25-29", "30-34", "35-39", "40-44", "45-49", "50-54", "55-59", "60-64", "65-69", "70-74", "75-79", "80-84", "85+")</f>
        <v>45-49</v>
      </c>
      <c r="D9336" t="s">
        <v>8</v>
      </c>
    </row>
    <row r="9337" spans="1:4">
      <c r="A9337" t="s">
        <v>6</v>
      </c>
      <c r="B9337">
        <v>41</v>
      </c>
      <c r="C9337" t="str">
        <f>CHOOSE(MATCH(B9337, {20,25,30,35,40,45,50,55,60,65,70,75,80,85}, 1), "20-24", "25-29", "30-34", "35-39", "40-44", "45-49", "50-54", "55-59", "60-64", "65-69", "70-74", "75-79", "80-84", "85+")</f>
        <v>40-44</v>
      </c>
      <c r="D9337" t="s">
        <v>8</v>
      </c>
    </row>
    <row r="9338" spans="1:4">
      <c r="A9338" t="s">
        <v>6</v>
      </c>
      <c r="B9338">
        <v>25</v>
      </c>
      <c r="C9338" t="str">
        <f>CHOOSE(MATCH(B9338, {20,25,30,35,40,45,50,55,60,65,70,75,80,85}, 1), "20-24", "25-29", "30-34", "35-39", "40-44", "45-49", "50-54", "55-59", "60-64", "65-69", "70-74", "75-79", "80-84", "85+")</f>
        <v>25-29</v>
      </c>
      <c r="D9338" t="s">
        <v>7</v>
      </c>
    </row>
    <row r="9339" spans="1:4">
      <c r="A9339" t="s">
        <v>6</v>
      </c>
      <c r="B9339">
        <v>53</v>
      </c>
      <c r="C9339" t="str">
        <f>CHOOSE(MATCH(B9339, {20,25,30,35,40,45,50,55,60,65,70,75,80,85}, 1), "20-24", "25-29", "30-34", "35-39", "40-44", "45-49", "50-54", "55-59", "60-64", "65-69", "70-74", "75-79", "80-84", "85+")</f>
        <v>50-54</v>
      </c>
      <c r="D9339" t="s">
        <v>8</v>
      </c>
    </row>
    <row r="9340" spans="1:4">
      <c r="A9340" t="s">
        <v>6</v>
      </c>
      <c r="B9340">
        <v>40</v>
      </c>
      <c r="C9340" t="str">
        <f>CHOOSE(MATCH(B9340, {20,25,30,35,40,45,50,55,60,65,70,75,80,85}, 1), "20-24", "25-29", "30-34", "35-39", "40-44", "45-49", "50-54", "55-59", "60-64", "65-69", "70-74", "75-79", "80-84", "85+")</f>
        <v>40-44</v>
      </c>
      <c r="D9340" t="s">
        <v>7</v>
      </c>
    </row>
    <row r="9341" spans="1:4">
      <c r="A9341" t="s">
        <v>6</v>
      </c>
      <c r="B9341">
        <v>45</v>
      </c>
      <c r="C9341" t="str">
        <f>CHOOSE(MATCH(B9341, {20,25,30,35,40,45,50,55,60,65,70,75,80,85}, 1), "20-24", "25-29", "30-34", "35-39", "40-44", "45-49", "50-54", "55-59", "60-64", "65-69", "70-74", "75-79", "80-84", "85+")</f>
        <v>45-49</v>
      </c>
      <c r="D9341" t="s">
        <v>7</v>
      </c>
    </row>
    <row r="9342" spans="1:4">
      <c r="A9342" t="s">
        <v>6</v>
      </c>
      <c r="B9342">
        <v>33</v>
      </c>
      <c r="C9342" t="str">
        <f>CHOOSE(MATCH(B9342, {20,25,30,35,40,45,50,55,60,65,70,75,80,85}, 1), "20-24", "25-29", "30-34", "35-39", "40-44", "45-49", "50-54", "55-59", "60-64", "65-69", "70-74", "75-79", "80-84", "85+")</f>
        <v>30-34</v>
      </c>
      <c r="D9342" t="s">
        <v>7</v>
      </c>
    </row>
    <row r="9343" spans="1:4">
      <c r="A9343" t="s">
        <v>6</v>
      </c>
      <c r="B9343">
        <v>37</v>
      </c>
      <c r="C9343" t="str">
        <f>CHOOSE(MATCH(B9343, {20,25,30,35,40,45,50,55,60,65,70,75,80,85}, 1), "20-24", "25-29", "30-34", "35-39", "40-44", "45-49", "50-54", "55-59", "60-64", "65-69", "70-74", "75-79", "80-84", "85+")</f>
        <v>35-39</v>
      </c>
      <c r="D9343" t="s">
        <v>8</v>
      </c>
    </row>
    <row r="9344" spans="1:4">
      <c r="A9344" t="s">
        <v>6</v>
      </c>
      <c r="B9344">
        <v>31</v>
      </c>
      <c r="C9344" t="str">
        <f>CHOOSE(MATCH(B9344, {20,25,30,35,40,45,50,55,60,65,70,75,80,85}, 1), "20-24", "25-29", "30-34", "35-39", "40-44", "45-49", "50-54", "55-59", "60-64", "65-69", "70-74", "75-79", "80-84", "85+")</f>
        <v>30-34</v>
      </c>
      <c r="D9344" t="s">
        <v>8</v>
      </c>
    </row>
    <row r="9345" spans="1:4">
      <c r="A9345" t="s">
        <v>6</v>
      </c>
      <c r="B9345">
        <v>26</v>
      </c>
      <c r="C9345" t="str">
        <f>CHOOSE(MATCH(B9345, {20,25,30,35,40,45,50,55,60,65,70,75,80,85}, 1), "20-24", "25-29", "30-34", "35-39", "40-44", "45-49", "50-54", "55-59", "60-64", "65-69", "70-74", "75-79", "80-84", "85+")</f>
        <v>25-29</v>
      </c>
      <c r="D9345" t="s">
        <v>7</v>
      </c>
    </row>
    <row r="9346" spans="1:4">
      <c r="A9346" t="s">
        <v>6</v>
      </c>
      <c r="B9346">
        <v>61</v>
      </c>
      <c r="C9346" t="str">
        <f>CHOOSE(MATCH(B9346, {20,25,30,35,40,45,50,55,60,65,70,75,80,85}, 1), "20-24", "25-29", "30-34", "35-39", "40-44", "45-49", "50-54", "55-59", "60-64", "65-69", "70-74", "75-79", "80-84", "85+")</f>
        <v>60-64</v>
      </c>
      <c r="D9346" t="s">
        <v>7</v>
      </c>
    </row>
    <row r="9347" spans="1:4">
      <c r="A9347" t="s">
        <v>6</v>
      </c>
      <c r="B9347">
        <v>34</v>
      </c>
      <c r="C9347" t="str">
        <f>CHOOSE(MATCH(B9347, {20,25,30,35,40,45,50,55,60,65,70,75,80,85}, 1), "20-24", "25-29", "30-34", "35-39", "40-44", "45-49", "50-54", "55-59", "60-64", "65-69", "70-74", "75-79", "80-84", "85+")</f>
        <v>30-34</v>
      </c>
      <c r="D9347" t="s">
        <v>7</v>
      </c>
    </row>
    <row r="9348" spans="1:4">
      <c r="A9348" t="s">
        <v>6</v>
      </c>
      <c r="B9348">
        <v>33</v>
      </c>
      <c r="C9348" t="str">
        <f>CHOOSE(MATCH(B9348, {20,25,30,35,40,45,50,55,60,65,70,75,80,85}, 1), "20-24", "25-29", "30-34", "35-39", "40-44", "45-49", "50-54", "55-59", "60-64", "65-69", "70-74", "75-79", "80-84", "85+")</f>
        <v>30-34</v>
      </c>
      <c r="D9348" t="s">
        <v>7</v>
      </c>
    </row>
    <row r="9349" spans="1:4">
      <c r="A9349" t="s">
        <v>6</v>
      </c>
      <c r="B9349">
        <v>63</v>
      </c>
      <c r="C9349" t="str">
        <f>CHOOSE(MATCH(B9349, {20,25,30,35,40,45,50,55,60,65,70,75,80,85}, 1), "20-24", "25-29", "30-34", "35-39", "40-44", "45-49", "50-54", "55-59", "60-64", "65-69", "70-74", "75-79", "80-84", "85+")</f>
        <v>60-64</v>
      </c>
      <c r="D9349" t="s">
        <v>7</v>
      </c>
    </row>
    <row r="9350" spans="1:4">
      <c r="A9350" t="s">
        <v>6</v>
      </c>
      <c r="B9350">
        <v>60</v>
      </c>
      <c r="C9350" t="str">
        <f>CHOOSE(MATCH(B9350, {20,25,30,35,40,45,50,55,60,65,70,75,80,85}, 1), "20-24", "25-29", "30-34", "35-39", "40-44", "45-49", "50-54", "55-59", "60-64", "65-69", "70-74", "75-79", "80-84", "85+")</f>
        <v>60-64</v>
      </c>
      <c r="D9350" t="s">
        <v>8</v>
      </c>
    </row>
    <row r="9351" spans="1:4">
      <c r="A9351" t="s">
        <v>6</v>
      </c>
      <c r="B9351">
        <v>58</v>
      </c>
      <c r="C9351" t="str">
        <f>CHOOSE(MATCH(B9351, {20,25,30,35,40,45,50,55,60,65,70,75,80,85}, 1), "20-24", "25-29", "30-34", "35-39", "40-44", "45-49", "50-54", "55-59", "60-64", "65-69", "70-74", "75-79", "80-84", "85+")</f>
        <v>55-59</v>
      </c>
      <c r="D9351" t="s">
        <v>7</v>
      </c>
    </row>
    <row r="9352" spans="1:4">
      <c r="A9352" t="s">
        <v>6</v>
      </c>
      <c r="B9352">
        <v>40</v>
      </c>
      <c r="C9352" t="str">
        <f>CHOOSE(MATCH(B9352, {20,25,30,35,40,45,50,55,60,65,70,75,80,85}, 1), "20-24", "25-29", "30-34", "35-39", "40-44", "45-49", "50-54", "55-59", "60-64", "65-69", "70-74", "75-79", "80-84", "85+")</f>
        <v>40-44</v>
      </c>
      <c r="D9352" t="s">
        <v>7</v>
      </c>
    </row>
    <row r="9353" spans="1:4">
      <c r="A9353" t="s">
        <v>6</v>
      </c>
      <c r="B9353">
        <v>26</v>
      </c>
      <c r="C9353" t="str">
        <f>CHOOSE(MATCH(B9353, {20,25,30,35,40,45,50,55,60,65,70,75,80,85}, 1), "20-24", "25-29", "30-34", "35-39", "40-44", "45-49", "50-54", "55-59", "60-64", "65-69", "70-74", "75-79", "80-84", "85+")</f>
        <v>25-29</v>
      </c>
      <c r="D9353" t="s">
        <v>7</v>
      </c>
    </row>
    <row r="9354" spans="1:4">
      <c r="A9354" t="s">
        <v>6</v>
      </c>
      <c r="B9354">
        <v>36</v>
      </c>
      <c r="C9354" t="str">
        <f>CHOOSE(MATCH(B9354, {20,25,30,35,40,45,50,55,60,65,70,75,80,85}, 1), "20-24", "25-29", "30-34", "35-39", "40-44", "45-49", "50-54", "55-59", "60-64", "65-69", "70-74", "75-79", "80-84", "85+")</f>
        <v>35-39</v>
      </c>
      <c r="D9354" t="s">
        <v>8</v>
      </c>
    </row>
    <row r="9355" spans="1:4">
      <c r="A9355" t="s">
        <v>6</v>
      </c>
      <c r="B9355">
        <v>38</v>
      </c>
      <c r="C9355" t="str">
        <f>CHOOSE(MATCH(B9355, {20,25,30,35,40,45,50,55,60,65,70,75,80,85}, 1), "20-24", "25-29", "30-34", "35-39", "40-44", "45-49", "50-54", "55-59", "60-64", "65-69", "70-74", "75-79", "80-84", "85+")</f>
        <v>35-39</v>
      </c>
      <c r="D9355" t="s">
        <v>7</v>
      </c>
    </row>
    <row r="9356" spans="1:4">
      <c r="A9356" t="s">
        <v>6</v>
      </c>
      <c r="B9356">
        <v>40</v>
      </c>
      <c r="C9356" t="str">
        <f>CHOOSE(MATCH(B9356, {20,25,30,35,40,45,50,55,60,65,70,75,80,85}, 1), "20-24", "25-29", "30-34", "35-39", "40-44", "45-49", "50-54", "55-59", "60-64", "65-69", "70-74", "75-79", "80-84", "85+")</f>
        <v>40-44</v>
      </c>
      <c r="D9356" t="s">
        <v>7</v>
      </c>
    </row>
    <row r="9357" spans="1:4">
      <c r="A9357" t="s">
        <v>6</v>
      </c>
      <c r="B9357">
        <v>35</v>
      </c>
      <c r="C9357" t="str">
        <f>CHOOSE(MATCH(B9357, {20,25,30,35,40,45,50,55,60,65,70,75,80,85}, 1), "20-24", "25-29", "30-34", "35-39", "40-44", "45-49", "50-54", "55-59", "60-64", "65-69", "70-74", "75-79", "80-84", "85+")</f>
        <v>35-39</v>
      </c>
      <c r="D9357" t="s">
        <v>7</v>
      </c>
    </row>
    <row r="9358" spans="1:4">
      <c r="A9358" t="s">
        <v>6</v>
      </c>
      <c r="B9358">
        <v>32</v>
      </c>
      <c r="C9358" t="str">
        <f>CHOOSE(MATCH(B9358, {20,25,30,35,40,45,50,55,60,65,70,75,80,85}, 1), "20-24", "25-29", "30-34", "35-39", "40-44", "45-49", "50-54", "55-59", "60-64", "65-69", "70-74", "75-79", "80-84", "85+")</f>
        <v>30-34</v>
      </c>
      <c r="D9358" t="s">
        <v>8</v>
      </c>
    </row>
    <row r="9359" spans="1:4">
      <c r="A9359" t="s">
        <v>6</v>
      </c>
      <c r="B9359">
        <v>30</v>
      </c>
      <c r="C9359" t="str">
        <f>CHOOSE(MATCH(B9359, {20,25,30,35,40,45,50,55,60,65,70,75,80,85}, 1), "20-24", "25-29", "30-34", "35-39", "40-44", "45-49", "50-54", "55-59", "60-64", "65-69", "70-74", "75-79", "80-84", "85+")</f>
        <v>30-34</v>
      </c>
      <c r="D9359" t="s">
        <v>7</v>
      </c>
    </row>
    <row r="9360" spans="1:4">
      <c r="A9360" t="s">
        <v>6</v>
      </c>
      <c r="B9360">
        <v>41</v>
      </c>
      <c r="C9360" t="str">
        <f>CHOOSE(MATCH(B9360, {20,25,30,35,40,45,50,55,60,65,70,75,80,85}, 1), "20-24", "25-29", "30-34", "35-39", "40-44", "45-49", "50-54", "55-59", "60-64", "65-69", "70-74", "75-79", "80-84", "85+")</f>
        <v>40-44</v>
      </c>
      <c r="D9360" t="s">
        <v>8</v>
      </c>
    </row>
    <row r="9361" spans="1:4">
      <c r="A9361" t="s">
        <v>6</v>
      </c>
      <c r="B9361">
        <v>63</v>
      </c>
      <c r="C9361" t="str">
        <f>CHOOSE(MATCH(B9361, {20,25,30,35,40,45,50,55,60,65,70,75,80,85}, 1), "20-24", "25-29", "30-34", "35-39", "40-44", "45-49", "50-54", "55-59", "60-64", "65-69", "70-74", "75-79", "80-84", "85+")</f>
        <v>60-64</v>
      </c>
      <c r="D9361" t="s">
        <v>8</v>
      </c>
    </row>
    <row r="9362" spans="1:4">
      <c r="A9362" t="s">
        <v>6</v>
      </c>
      <c r="B9362">
        <v>44</v>
      </c>
      <c r="C9362" t="str">
        <f>CHOOSE(MATCH(B9362, {20,25,30,35,40,45,50,55,60,65,70,75,80,85}, 1), "20-24", "25-29", "30-34", "35-39", "40-44", "45-49", "50-54", "55-59", "60-64", "65-69", "70-74", "75-79", "80-84", "85+")</f>
        <v>40-44</v>
      </c>
      <c r="D9362" t="s">
        <v>8</v>
      </c>
    </row>
    <row r="9363" spans="1:4">
      <c r="A9363" t="s">
        <v>6</v>
      </c>
      <c r="B9363">
        <v>56</v>
      </c>
      <c r="C9363" t="str">
        <f>CHOOSE(MATCH(B9363, {20,25,30,35,40,45,50,55,60,65,70,75,80,85}, 1), "20-24", "25-29", "30-34", "35-39", "40-44", "45-49", "50-54", "55-59", "60-64", "65-69", "70-74", "75-79", "80-84", "85+")</f>
        <v>55-59</v>
      </c>
      <c r="D9363" t="s">
        <v>7</v>
      </c>
    </row>
    <row r="9364" spans="1:4">
      <c r="A9364" t="s">
        <v>6</v>
      </c>
      <c r="B9364">
        <v>63</v>
      </c>
      <c r="C9364" t="str">
        <f>CHOOSE(MATCH(B9364, {20,25,30,35,40,45,50,55,60,65,70,75,80,85}, 1), "20-24", "25-29", "30-34", "35-39", "40-44", "45-49", "50-54", "55-59", "60-64", "65-69", "70-74", "75-79", "80-84", "85+")</f>
        <v>60-64</v>
      </c>
      <c r="D9364" t="s">
        <v>7</v>
      </c>
    </row>
    <row r="9365" spans="1:4">
      <c r="A9365" t="s">
        <v>6</v>
      </c>
      <c r="B9365">
        <v>56</v>
      </c>
      <c r="C9365" t="str">
        <f>CHOOSE(MATCH(B9365, {20,25,30,35,40,45,50,55,60,65,70,75,80,85}, 1), "20-24", "25-29", "30-34", "35-39", "40-44", "45-49", "50-54", "55-59", "60-64", "65-69", "70-74", "75-79", "80-84", "85+")</f>
        <v>55-59</v>
      </c>
      <c r="D9365" t="s">
        <v>7</v>
      </c>
    </row>
    <row r="9366" spans="1:4">
      <c r="A9366" t="s">
        <v>6</v>
      </c>
      <c r="B9366">
        <v>32</v>
      </c>
      <c r="C9366" t="str">
        <f>CHOOSE(MATCH(B9366, {20,25,30,35,40,45,50,55,60,65,70,75,80,85}, 1), "20-24", "25-29", "30-34", "35-39", "40-44", "45-49", "50-54", "55-59", "60-64", "65-69", "70-74", "75-79", "80-84", "85+")</f>
        <v>30-34</v>
      </c>
      <c r="D9366" t="s">
        <v>7</v>
      </c>
    </row>
    <row r="9367" spans="1:4">
      <c r="A9367" t="s">
        <v>6</v>
      </c>
      <c r="B9367">
        <v>30</v>
      </c>
      <c r="C9367" t="str">
        <f>CHOOSE(MATCH(B9367, {20,25,30,35,40,45,50,55,60,65,70,75,80,85}, 1), "20-24", "25-29", "30-34", "35-39", "40-44", "45-49", "50-54", "55-59", "60-64", "65-69", "70-74", "75-79", "80-84", "85+")</f>
        <v>30-34</v>
      </c>
      <c r="D9367" t="s">
        <v>7</v>
      </c>
    </row>
    <row r="9368" spans="1:4">
      <c r="A9368" t="s">
        <v>6</v>
      </c>
      <c r="B9368">
        <v>55</v>
      </c>
      <c r="C9368" t="str">
        <f>CHOOSE(MATCH(B9368, {20,25,30,35,40,45,50,55,60,65,70,75,80,85}, 1), "20-24", "25-29", "30-34", "35-39", "40-44", "45-49", "50-54", "55-59", "60-64", "65-69", "70-74", "75-79", "80-84", "85+")</f>
        <v>55-59</v>
      </c>
      <c r="D9368" t="s">
        <v>7</v>
      </c>
    </row>
    <row r="9369" spans="1:4">
      <c r="A9369" t="s">
        <v>6</v>
      </c>
      <c r="B9369">
        <v>52</v>
      </c>
      <c r="C9369" t="str">
        <f>CHOOSE(MATCH(B9369, {20,25,30,35,40,45,50,55,60,65,70,75,80,85}, 1), "20-24", "25-29", "30-34", "35-39", "40-44", "45-49", "50-54", "55-59", "60-64", "65-69", "70-74", "75-79", "80-84", "85+")</f>
        <v>50-54</v>
      </c>
      <c r="D9369" t="s">
        <v>7</v>
      </c>
    </row>
    <row r="9370" spans="1:4">
      <c r="A9370" t="s">
        <v>6</v>
      </c>
      <c r="B9370">
        <v>27</v>
      </c>
      <c r="C9370" t="str">
        <f>CHOOSE(MATCH(B9370, {20,25,30,35,40,45,50,55,60,65,70,75,80,85}, 1), "20-24", "25-29", "30-34", "35-39", "40-44", "45-49", "50-54", "55-59", "60-64", "65-69", "70-74", "75-79", "80-84", "85+")</f>
        <v>25-29</v>
      </c>
      <c r="D9370" t="s">
        <v>7</v>
      </c>
    </row>
    <row r="9371" spans="1:4">
      <c r="A9371" t="s">
        <v>6</v>
      </c>
      <c r="B9371">
        <v>49</v>
      </c>
      <c r="C9371" t="str">
        <f>CHOOSE(MATCH(B9371, {20,25,30,35,40,45,50,55,60,65,70,75,80,85}, 1), "20-24", "25-29", "30-34", "35-39", "40-44", "45-49", "50-54", "55-59", "60-64", "65-69", "70-74", "75-79", "80-84", "85+")</f>
        <v>45-49</v>
      </c>
      <c r="D9371" t="s">
        <v>8</v>
      </c>
    </row>
    <row r="9372" spans="1:4">
      <c r="A9372" t="s">
        <v>6</v>
      </c>
      <c r="B9372">
        <v>28</v>
      </c>
      <c r="C9372" t="str">
        <f>CHOOSE(MATCH(B9372, {20,25,30,35,40,45,50,55,60,65,70,75,80,85}, 1), "20-24", "25-29", "30-34", "35-39", "40-44", "45-49", "50-54", "55-59", "60-64", "65-69", "70-74", "75-79", "80-84", "85+")</f>
        <v>25-29</v>
      </c>
      <c r="D9372" t="s">
        <v>8</v>
      </c>
    </row>
    <row r="9373" spans="1:4">
      <c r="A9373" t="s">
        <v>6</v>
      </c>
      <c r="B9373">
        <v>60</v>
      </c>
      <c r="C9373" t="str">
        <f>CHOOSE(MATCH(B9373, {20,25,30,35,40,45,50,55,60,65,70,75,80,85}, 1), "20-24", "25-29", "30-34", "35-39", "40-44", "45-49", "50-54", "55-59", "60-64", "65-69", "70-74", "75-79", "80-84", "85+")</f>
        <v>60-64</v>
      </c>
      <c r="D9373" t="s">
        <v>8</v>
      </c>
    </row>
    <row r="9374" spans="1:4">
      <c r="A9374" t="s">
        <v>6</v>
      </c>
      <c r="B9374">
        <v>45</v>
      </c>
      <c r="C9374" t="str">
        <f>CHOOSE(MATCH(B9374, {20,25,30,35,40,45,50,55,60,65,70,75,80,85}, 1), "20-24", "25-29", "30-34", "35-39", "40-44", "45-49", "50-54", "55-59", "60-64", "65-69", "70-74", "75-79", "80-84", "85+")</f>
        <v>45-49</v>
      </c>
      <c r="D9374" t="s">
        <v>8</v>
      </c>
    </row>
    <row r="9375" spans="1:4">
      <c r="A9375" t="s">
        <v>6</v>
      </c>
      <c r="B9375">
        <v>61</v>
      </c>
      <c r="C9375" t="str">
        <f>CHOOSE(MATCH(B9375, {20,25,30,35,40,45,50,55,60,65,70,75,80,85}, 1), "20-24", "25-29", "30-34", "35-39", "40-44", "45-49", "50-54", "55-59", "60-64", "65-69", "70-74", "75-79", "80-84", "85+")</f>
        <v>60-64</v>
      </c>
      <c r="D9375" t="s">
        <v>8</v>
      </c>
    </row>
    <row r="9376" spans="1:4">
      <c r="A9376" t="s">
        <v>6</v>
      </c>
      <c r="B9376">
        <v>73</v>
      </c>
      <c r="C9376" t="str">
        <f>CHOOSE(MATCH(B9376, {20,25,30,35,40,45,50,55,60,65,70,75,80,85}, 1), "20-24", "25-29", "30-34", "35-39", "40-44", "45-49", "50-54", "55-59", "60-64", "65-69", "70-74", "75-79", "80-84", "85+")</f>
        <v>70-74</v>
      </c>
      <c r="D9376" t="s">
        <v>8</v>
      </c>
    </row>
    <row r="9377" spans="1:4">
      <c r="A9377" t="s">
        <v>6</v>
      </c>
      <c r="B9377">
        <v>37</v>
      </c>
      <c r="C9377" t="str">
        <f>CHOOSE(MATCH(B9377, {20,25,30,35,40,45,50,55,60,65,70,75,80,85}, 1), "20-24", "25-29", "30-34", "35-39", "40-44", "45-49", "50-54", "55-59", "60-64", "65-69", "70-74", "75-79", "80-84", "85+")</f>
        <v>35-39</v>
      </c>
      <c r="D9377" t="s">
        <v>7</v>
      </c>
    </row>
    <row r="9378" spans="1:4">
      <c r="A9378" t="s">
        <v>6</v>
      </c>
      <c r="B9378">
        <v>47</v>
      </c>
      <c r="C9378" t="str">
        <f>CHOOSE(MATCH(B9378, {20,25,30,35,40,45,50,55,60,65,70,75,80,85}, 1), "20-24", "25-29", "30-34", "35-39", "40-44", "45-49", "50-54", "55-59", "60-64", "65-69", "70-74", "75-79", "80-84", "85+")</f>
        <v>45-49</v>
      </c>
      <c r="D9378" t="s">
        <v>8</v>
      </c>
    </row>
    <row r="9379" spans="1:4">
      <c r="A9379" t="s">
        <v>6</v>
      </c>
      <c r="B9379">
        <v>32</v>
      </c>
      <c r="C9379" t="str">
        <f>CHOOSE(MATCH(B9379, {20,25,30,35,40,45,50,55,60,65,70,75,80,85}, 1), "20-24", "25-29", "30-34", "35-39", "40-44", "45-49", "50-54", "55-59", "60-64", "65-69", "70-74", "75-79", "80-84", "85+")</f>
        <v>30-34</v>
      </c>
      <c r="D9379" t="s">
        <v>7</v>
      </c>
    </row>
    <row r="9380" spans="1:4">
      <c r="A9380" t="s">
        <v>6</v>
      </c>
      <c r="B9380">
        <v>67</v>
      </c>
      <c r="C9380" t="str">
        <f>CHOOSE(MATCH(B9380, {20,25,30,35,40,45,50,55,60,65,70,75,80,85}, 1), "20-24", "25-29", "30-34", "35-39", "40-44", "45-49", "50-54", "55-59", "60-64", "65-69", "70-74", "75-79", "80-84", "85+")</f>
        <v>65-69</v>
      </c>
      <c r="D9380" t="s">
        <v>7</v>
      </c>
    </row>
    <row r="9381" spans="1:4">
      <c r="A9381" t="s">
        <v>6</v>
      </c>
      <c r="B9381">
        <v>30</v>
      </c>
      <c r="C9381" t="str">
        <f>CHOOSE(MATCH(B9381, {20,25,30,35,40,45,50,55,60,65,70,75,80,85}, 1), "20-24", "25-29", "30-34", "35-39", "40-44", "45-49", "50-54", "55-59", "60-64", "65-69", "70-74", "75-79", "80-84", "85+")</f>
        <v>30-34</v>
      </c>
      <c r="D9381" t="s">
        <v>7</v>
      </c>
    </row>
    <row r="9382" spans="1:4">
      <c r="A9382" t="s">
        <v>6</v>
      </c>
      <c r="B9382">
        <v>42</v>
      </c>
      <c r="C9382" t="str">
        <f>CHOOSE(MATCH(B9382, {20,25,30,35,40,45,50,55,60,65,70,75,80,85}, 1), "20-24", "25-29", "30-34", "35-39", "40-44", "45-49", "50-54", "55-59", "60-64", "65-69", "70-74", "75-79", "80-84", "85+")</f>
        <v>40-44</v>
      </c>
      <c r="D9382" t="s">
        <v>8</v>
      </c>
    </row>
    <row r="9383" spans="1:4">
      <c r="A9383" t="s">
        <v>6</v>
      </c>
      <c r="B9383">
        <v>26</v>
      </c>
      <c r="C9383" t="str">
        <f>CHOOSE(MATCH(B9383, {20,25,30,35,40,45,50,55,60,65,70,75,80,85}, 1), "20-24", "25-29", "30-34", "35-39", "40-44", "45-49", "50-54", "55-59", "60-64", "65-69", "70-74", "75-79", "80-84", "85+")</f>
        <v>25-29</v>
      </c>
      <c r="D9383" t="s">
        <v>7</v>
      </c>
    </row>
    <row r="9384" spans="1:4">
      <c r="A9384" t="s">
        <v>6</v>
      </c>
      <c r="B9384">
        <v>35</v>
      </c>
      <c r="C9384" t="str">
        <f>CHOOSE(MATCH(B9384, {20,25,30,35,40,45,50,55,60,65,70,75,80,85}, 1), "20-24", "25-29", "30-34", "35-39", "40-44", "45-49", "50-54", "55-59", "60-64", "65-69", "70-74", "75-79", "80-84", "85+")</f>
        <v>35-39</v>
      </c>
      <c r="D9384" t="s">
        <v>7</v>
      </c>
    </row>
    <row r="9385" spans="1:4">
      <c r="A9385" t="s">
        <v>6</v>
      </c>
      <c r="B9385">
        <v>55</v>
      </c>
      <c r="C9385" t="str">
        <f>CHOOSE(MATCH(B9385, {20,25,30,35,40,45,50,55,60,65,70,75,80,85}, 1), "20-24", "25-29", "30-34", "35-39", "40-44", "45-49", "50-54", "55-59", "60-64", "65-69", "70-74", "75-79", "80-84", "85+")</f>
        <v>55-59</v>
      </c>
      <c r="D9385" t="s">
        <v>7</v>
      </c>
    </row>
    <row r="9386" spans="1:4">
      <c r="A9386" t="s">
        <v>6</v>
      </c>
      <c r="B9386">
        <v>40</v>
      </c>
      <c r="C9386" t="str">
        <f>CHOOSE(MATCH(B9386, {20,25,30,35,40,45,50,55,60,65,70,75,80,85}, 1), "20-24", "25-29", "30-34", "35-39", "40-44", "45-49", "50-54", "55-59", "60-64", "65-69", "70-74", "75-79", "80-84", "85+")</f>
        <v>40-44</v>
      </c>
      <c r="D9386" t="s">
        <v>8</v>
      </c>
    </row>
    <row r="9387" spans="1:4">
      <c r="A9387" t="s">
        <v>6</v>
      </c>
      <c r="B9387">
        <v>30</v>
      </c>
      <c r="C9387" t="str">
        <f>CHOOSE(MATCH(B9387, {20,25,30,35,40,45,50,55,60,65,70,75,80,85}, 1), "20-24", "25-29", "30-34", "35-39", "40-44", "45-49", "50-54", "55-59", "60-64", "65-69", "70-74", "75-79", "80-84", "85+")</f>
        <v>30-34</v>
      </c>
      <c r="D9387" t="s">
        <v>8</v>
      </c>
    </row>
    <row r="9388" spans="1:4">
      <c r="A9388" t="s">
        <v>6</v>
      </c>
      <c r="B9388">
        <v>73</v>
      </c>
      <c r="C9388" t="str">
        <f>CHOOSE(MATCH(B9388, {20,25,30,35,40,45,50,55,60,65,70,75,80,85}, 1), "20-24", "25-29", "30-34", "35-39", "40-44", "45-49", "50-54", "55-59", "60-64", "65-69", "70-74", "75-79", "80-84", "85+")</f>
        <v>70-74</v>
      </c>
      <c r="D9388" t="s">
        <v>7</v>
      </c>
    </row>
    <row r="9389" spans="1:4">
      <c r="A9389" t="s">
        <v>6</v>
      </c>
      <c r="B9389">
        <v>52</v>
      </c>
      <c r="C9389" t="str">
        <f>CHOOSE(MATCH(B9389, {20,25,30,35,40,45,50,55,60,65,70,75,80,85}, 1), "20-24", "25-29", "30-34", "35-39", "40-44", "45-49", "50-54", "55-59", "60-64", "65-69", "70-74", "75-79", "80-84", "85+")</f>
        <v>50-54</v>
      </c>
      <c r="D9389" t="s">
        <v>8</v>
      </c>
    </row>
    <row r="9390" spans="1:4">
      <c r="A9390" t="s">
        <v>6</v>
      </c>
      <c r="B9390">
        <v>34</v>
      </c>
      <c r="C9390" t="str">
        <f>CHOOSE(MATCH(B9390, {20,25,30,35,40,45,50,55,60,65,70,75,80,85}, 1), "20-24", "25-29", "30-34", "35-39", "40-44", "45-49", "50-54", "55-59", "60-64", "65-69", "70-74", "75-79", "80-84", "85+")</f>
        <v>30-34</v>
      </c>
      <c r="D9390" t="s">
        <v>7</v>
      </c>
    </row>
    <row r="9391" spans="1:4">
      <c r="A9391" t="s">
        <v>6</v>
      </c>
      <c r="B9391">
        <v>53</v>
      </c>
      <c r="C9391" t="str">
        <f>CHOOSE(MATCH(B9391, {20,25,30,35,40,45,50,55,60,65,70,75,80,85}, 1), "20-24", "25-29", "30-34", "35-39", "40-44", "45-49", "50-54", "55-59", "60-64", "65-69", "70-74", "75-79", "80-84", "85+")</f>
        <v>50-54</v>
      </c>
      <c r="D9391" t="s">
        <v>7</v>
      </c>
    </row>
    <row r="9392" spans="1:4">
      <c r="A9392" t="s">
        <v>6</v>
      </c>
      <c r="B9392">
        <v>29</v>
      </c>
      <c r="C9392" t="str">
        <f>CHOOSE(MATCH(B9392, {20,25,30,35,40,45,50,55,60,65,70,75,80,85}, 1), "20-24", "25-29", "30-34", "35-39", "40-44", "45-49", "50-54", "55-59", "60-64", "65-69", "70-74", "75-79", "80-84", "85+")</f>
        <v>25-29</v>
      </c>
      <c r="D9392" t="s">
        <v>7</v>
      </c>
    </row>
    <row r="9393" spans="1:4">
      <c r="A9393" t="s">
        <v>6</v>
      </c>
      <c r="B9393">
        <v>40</v>
      </c>
      <c r="C9393" t="str">
        <f>CHOOSE(MATCH(B9393, {20,25,30,35,40,45,50,55,60,65,70,75,80,85}, 1), "20-24", "25-29", "30-34", "35-39", "40-44", "45-49", "50-54", "55-59", "60-64", "65-69", "70-74", "75-79", "80-84", "85+")</f>
        <v>40-44</v>
      </c>
      <c r="D9393" t="s">
        <v>8</v>
      </c>
    </row>
    <row r="9394" spans="1:4">
      <c r="A9394" t="s">
        <v>6</v>
      </c>
      <c r="B9394">
        <v>33</v>
      </c>
      <c r="C9394" t="str">
        <f>CHOOSE(MATCH(B9394, {20,25,30,35,40,45,50,55,60,65,70,75,80,85}, 1), "20-24", "25-29", "30-34", "35-39", "40-44", "45-49", "50-54", "55-59", "60-64", "65-69", "70-74", "75-79", "80-84", "85+")</f>
        <v>30-34</v>
      </c>
      <c r="D9394" t="s">
        <v>8</v>
      </c>
    </row>
    <row r="9395" spans="1:4">
      <c r="A9395" t="s">
        <v>6</v>
      </c>
      <c r="B9395">
        <v>39</v>
      </c>
      <c r="C9395" t="str">
        <f>CHOOSE(MATCH(B9395, {20,25,30,35,40,45,50,55,60,65,70,75,80,85}, 1), "20-24", "25-29", "30-34", "35-39", "40-44", "45-49", "50-54", "55-59", "60-64", "65-69", "70-74", "75-79", "80-84", "85+")</f>
        <v>35-39</v>
      </c>
      <c r="D9395" t="s">
        <v>7</v>
      </c>
    </row>
    <row r="9396" spans="1:4">
      <c r="A9396" t="s">
        <v>6</v>
      </c>
      <c r="B9396">
        <v>50</v>
      </c>
      <c r="C9396" t="str">
        <f>CHOOSE(MATCH(B9396, {20,25,30,35,40,45,50,55,60,65,70,75,80,85}, 1), "20-24", "25-29", "30-34", "35-39", "40-44", "45-49", "50-54", "55-59", "60-64", "65-69", "70-74", "75-79", "80-84", "85+")</f>
        <v>50-54</v>
      </c>
      <c r="D9396" t="s">
        <v>8</v>
      </c>
    </row>
    <row r="9397" spans="1:4">
      <c r="A9397" t="s">
        <v>6</v>
      </c>
      <c r="B9397">
        <v>21</v>
      </c>
      <c r="C9397" t="str">
        <f>CHOOSE(MATCH(B9397, {20,25,30,35,40,45,50,55,60,65,70,75,80,85}, 1), "20-24", "25-29", "30-34", "35-39", "40-44", "45-49", "50-54", "55-59", "60-64", "65-69", "70-74", "75-79", "80-84", "85+")</f>
        <v>20-24</v>
      </c>
      <c r="D9397" t="s">
        <v>7</v>
      </c>
    </row>
    <row r="9398" spans="1:4">
      <c r="A9398" t="s">
        <v>6</v>
      </c>
      <c r="B9398">
        <v>55</v>
      </c>
      <c r="C9398" t="str">
        <f>CHOOSE(MATCH(B9398, {20,25,30,35,40,45,50,55,60,65,70,75,80,85}, 1), "20-24", "25-29", "30-34", "35-39", "40-44", "45-49", "50-54", "55-59", "60-64", "65-69", "70-74", "75-79", "80-84", "85+")</f>
        <v>55-59</v>
      </c>
      <c r="D9398" t="s">
        <v>7</v>
      </c>
    </row>
    <row r="9399" spans="1:4">
      <c r="A9399" t="s">
        <v>6</v>
      </c>
      <c r="B9399">
        <v>84</v>
      </c>
      <c r="C9399" t="str">
        <f>CHOOSE(MATCH(B9399, {20,25,30,35,40,45,50,55,60,65,70,75,80,85}, 1), "20-24", "25-29", "30-34", "35-39", "40-44", "45-49", "50-54", "55-59", "60-64", "65-69", "70-74", "75-79", "80-84", "85+")</f>
        <v>80-84</v>
      </c>
      <c r="D9399" t="s">
        <v>7</v>
      </c>
    </row>
    <row r="9400" spans="1:4">
      <c r="A9400" t="s">
        <v>6</v>
      </c>
      <c r="B9400">
        <v>20</v>
      </c>
      <c r="C9400" t="str">
        <f>CHOOSE(MATCH(B9400, {20,25,30,35,40,45,50,55,60,65,70,75,80,85}, 1), "20-24", "25-29", "30-34", "35-39", "40-44", "45-49", "50-54", "55-59", "60-64", "65-69", "70-74", "75-79", "80-84", "85+")</f>
        <v>20-24</v>
      </c>
      <c r="D9400" t="s">
        <v>8</v>
      </c>
    </row>
    <row r="9401" spans="1:4">
      <c r="A9401" t="s">
        <v>6</v>
      </c>
      <c r="B9401">
        <v>37</v>
      </c>
      <c r="C9401" t="str">
        <f>CHOOSE(MATCH(B9401, {20,25,30,35,40,45,50,55,60,65,70,75,80,85}, 1), "20-24", "25-29", "30-34", "35-39", "40-44", "45-49", "50-54", "55-59", "60-64", "65-69", "70-74", "75-79", "80-84", "85+")</f>
        <v>35-39</v>
      </c>
      <c r="D9401" t="s">
        <v>8</v>
      </c>
    </row>
    <row r="9402" spans="1:4">
      <c r="A9402" t="s">
        <v>6</v>
      </c>
      <c r="B9402">
        <v>77</v>
      </c>
      <c r="C9402" t="str">
        <f>CHOOSE(MATCH(B9402, {20,25,30,35,40,45,50,55,60,65,70,75,80,85}, 1), "20-24", "25-29", "30-34", "35-39", "40-44", "45-49", "50-54", "55-59", "60-64", "65-69", "70-74", "75-79", "80-84", "85+")</f>
        <v>75-79</v>
      </c>
      <c r="D9402" t="s">
        <v>7</v>
      </c>
    </row>
    <row r="9403" spans="1:4">
      <c r="A9403" t="s">
        <v>6</v>
      </c>
      <c r="B9403">
        <v>63</v>
      </c>
      <c r="C9403" t="str">
        <f>CHOOSE(MATCH(B9403, {20,25,30,35,40,45,50,55,60,65,70,75,80,85}, 1), "20-24", "25-29", "30-34", "35-39", "40-44", "45-49", "50-54", "55-59", "60-64", "65-69", "70-74", "75-79", "80-84", "85+")</f>
        <v>60-64</v>
      </c>
      <c r="D9403" t="s">
        <v>8</v>
      </c>
    </row>
    <row r="9404" spans="1:4">
      <c r="A9404" t="s">
        <v>6</v>
      </c>
      <c r="B9404">
        <v>57</v>
      </c>
      <c r="C9404" t="str">
        <f>CHOOSE(MATCH(B9404, {20,25,30,35,40,45,50,55,60,65,70,75,80,85}, 1), "20-24", "25-29", "30-34", "35-39", "40-44", "45-49", "50-54", "55-59", "60-64", "65-69", "70-74", "75-79", "80-84", "85+")</f>
        <v>55-59</v>
      </c>
      <c r="D9404" t="s">
        <v>8</v>
      </c>
    </row>
    <row r="9405" spans="1:4">
      <c r="A9405" t="s">
        <v>6</v>
      </c>
      <c r="B9405">
        <v>40</v>
      </c>
      <c r="C9405" t="str">
        <f>CHOOSE(MATCH(B9405, {20,25,30,35,40,45,50,55,60,65,70,75,80,85}, 1), "20-24", "25-29", "30-34", "35-39", "40-44", "45-49", "50-54", "55-59", "60-64", "65-69", "70-74", "75-79", "80-84", "85+")</f>
        <v>40-44</v>
      </c>
      <c r="D9405" t="s">
        <v>8</v>
      </c>
    </row>
    <row r="9406" spans="1:4">
      <c r="A9406" t="s">
        <v>6</v>
      </c>
      <c r="B9406">
        <v>33</v>
      </c>
      <c r="C9406" t="str">
        <f>CHOOSE(MATCH(B9406, {20,25,30,35,40,45,50,55,60,65,70,75,80,85}, 1), "20-24", "25-29", "30-34", "35-39", "40-44", "45-49", "50-54", "55-59", "60-64", "65-69", "70-74", "75-79", "80-84", "85+")</f>
        <v>30-34</v>
      </c>
      <c r="D9406" t="s">
        <v>7</v>
      </c>
    </row>
    <row r="9407" spans="1:4">
      <c r="A9407" t="s">
        <v>6</v>
      </c>
      <c r="B9407">
        <v>25</v>
      </c>
      <c r="C9407" t="str">
        <f>CHOOSE(MATCH(B9407, {20,25,30,35,40,45,50,55,60,65,70,75,80,85}, 1), "20-24", "25-29", "30-34", "35-39", "40-44", "45-49", "50-54", "55-59", "60-64", "65-69", "70-74", "75-79", "80-84", "85+")</f>
        <v>25-29</v>
      </c>
      <c r="D9407" t="s">
        <v>7</v>
      </c>
    </row>
    <row r="9408" spans="1:4">
      <c r="A9408" t="s">
        <v>6</v>
      </c>
      <c r="B9408">
        <v>91</v>
      </c>
      <c r="C9408" t="str">
        <f>CHOOSE(MATCH(B9408, {20,25,30,35,40,45,50,55,60,65,70,75,80,85}, 1), "20-24", "25-29", "30-34", "35-39", "40-44", "45-49", "50-54", "55-59", "60-64", "65-69", "70-74", "75-79", "80-84", "85+")</f>
        <v>85+</v>
      </c>
      <c r="D9408" t="s">
        <v>7</v>
      </c>
    </row>
    <row r="9409" spans="1:4">
      <c r="A9409" t="s">
        <v>6</v>
      </c>
      <c r="B9409">
        <v>27</v>
      </c>
      <c r="C9409" t="str">
        <f>CHOOSE(MATCH(B9409, {20,25,30,35,40,45,50,55,60,65,70,75,80,85}, 1), "20-24", "25-29", "30-34", "35-39", "40-44", "45-49", "50-54", "55-59", "60-64", "65-69", "70-74", "75-79", "80-84", "85+")</f>
        <v>25-29</v>
      </c>
      <c r="D9409" t="s">
        <v>7</v>
      </c>
    </row>
    <row r="9410" spans="1:4">
      <c r="A9410" t="s">
        <v>6</v>
      </c>
      <c r="B9410">
        <v>30</v>
      </c>
      <c r="C9410" t="str">
        <f>CHOOSE(MATCH(B9410, {20,25,30,35,40,45,50,55,60,65,70,75,80,85}, 1), "20-24", "25-29", "30-34", "35-39", "40-44", "45-49", "50-54", "55-59", "60-64", "65-69", "70-74", "75-79", "80-84", "85+")</f>
        <v>30-34</v>
      </c>
      <c r="D9410" t="s">
        <v>7</v>
      </c>
    </row>
    <row r="9411" spans="1:4">
      <c r="A9411" t="s">
        <v>6</v>
      </c>
      <c r="B9411">
        <v>30</v>
      </c>
      <c r="C9411" t="str">
        <f>CHOOSE(MATCH(B9411, {20,25,30,35,40,45,50,55,60,65,70,75,80,85}, 1), "20-24", "25-29", "30-34", "35-39", "40-44", "45-49", "50-54", "55-59", "60-64", "65-69", "70-74", "75-79", "80-84", "85+")</f>
        <v>30-34</v>
      </c>
      <c r="D9411" t="s">
        <v>7</v>
      </c>
    </row>
    <row r="9412" spans="1:4">
      <c r="A9412" t="s">
        <v>6</v>
      </c>
      <c r="B9412">
        <v>26</v>
      </c>
      <c r="C9412" t="str">
        <f>CHOOSE(MATCH(B9412, {20,25,30,35,40,45,50,55,60,65,70,75,80,85}, 1), "20-24", "25-29", "30-34", "35-39", "40-44", "45-49", "50-54", "55-59", "60-64", "65-69", "70-74", "75-79", "80-84", "85+")</f>
        <v>25-29</v>
      </c>
      <c r="D9412" t="s">
        <v>7</v>
      </c>
    </row>
    <row r="9413" spans="1:4">
      <c r="A9413" t="s">
        <v>6</v>
      </c>
      <c r="B9413">
        <v>29</v>
      </c>
      <c r="C9413" t="str">
        <f>CHOOSE(MATCH(B9413, {20,25,30,35,40,45,50,55,60,65,70,75,80,85}, 1), "20-24", "25-29", "30-34", "35-39", "40-44", "45-49", "50-54", "55-59", "60-64", "65-69", "70-74", "75-79", "80-84", "85+")</f>
        <v>25-29</v>
      </c>
      <c r="D9413" t="s">
        <v>7</v>
      </c>
    </row>
    <row r="9414" spans="1:4">
      <c r="A9414" t="s">
        <v>6</v>
      </c>
      <c r="B9414">
        <v>60</v>
      </c>
      <c r="C9414" t="str">
        <f>CHOOSE(MATCH(B9414, {20,25,30,35,40,45,50,55,60,65,70,75,80,85}, 1), "20-24", "25-29", "30-34", "35-39", "40-44", "45-49", "50-54", "55-59", "60-64", "65-69", "70-74", "75-79", "80-84", "85+")</f>
        <v>60-64</v>
      </c>
      <c r="D9414" t="s">
        <v>7</v>
      </c>
    </row>
    <row r="9415" spans="1:4">
      <c r="A9415" t="s">
        <v>6</v>
      </c>
      <c r="B9415">
        <v>26</v>
      </c>
      <c r="C9415" t="str">
        <f>CHOOSE(MATCH(B9415, {20,25,30,35,40,45,50,55,60,65,70,75,80,85}, 1), "20-24", "25-29", "30-34", "35-39", "40-44", "45-49", "50-54", "55-59", "60-64", "65-69", "70-74", "75-79", "80-84", "85+")</f>
        <v>25-29</v>
      </c>
      <c r="D9415" t="s">
        <v>8</v>
      </c>
    </row>
    <row r="9416" spans="1:4">
      <c r="A9416" t="s">
        <v>6</v>
      </c>
      <c r="B9416">
        <v>30</v>
      </c>
      <c r="C9416" t="str">
        <f>CHOOSE(MATCH(B9416, {20,25,30,35,40,45,50,55,60,65,70,75,80,85}, 1), "20-24", "25-29", "30-34", "35-39", "40-44", "45-49", "50-54", "55-59", "60-64", "65-69", "70-74", "75-79", "80-84", "85+")</f>
        <v>30-34</v>
      </c>
      <c r="D9416" t="s">
        <v>7</v>
      </c>
    </row>
    <row r="9417" spans="1:4">
      <c r="A9417" t="s">
        <v>6</v>
      </c>
      <c r="B9417">
        <v>47</v>
      </c>
      <c r="C9417" t="str">
        <f>CHOOSE(MATCH(B9417, {20,25,30,35,40,45,50,55,60,65,70,75,80,85}, 1), "20-24", "25-29", "30-34", "35-39", "40-44", "45-49", "50-54", "55-59", "60-64", "65-69", "70-74", "75-79", "80-84", "85+")</f>
        <v>45-49</v>
      </c>
      <c r="D9417" t="s">
        <v>8</v>
      </c>
    </row>
    <row r="9418" spans="1:4">
      <c r="A9418" t="s">
        <v>6</v>
      </c>
      <c r="B9418">
        <v>35</v>
      </c>
      <c r="C9418" t="str">
        <f>CHOOSE(MATCH(B9418, {20,25,30,35,40,45,50,55,60,65,70,75,80,85}, 1), "20-24", "25-29", "30-34", "35-39", "40-44", "45-49", "50-54", "55-59", "60-64", "65-69", "70-74", "75-79", "80-84", "85+")</f>
        <v>35-39</v>
      </c>
      <c r="D9418" t="s">
        <v>7</v>
      </c>
    </row>
    <row r="9419" spans="1:4">
      <c r="A9419" t="s">
        <v>6</v>
      </c>
      <c r="B9419">
        <v>44</v>
      </c>
      <c r="C9419" t="str">
        <f>CHOOSE(MATCH(B9419, {20,25,30,35,40,45,50,55,60,65,70,75,80,85}, 1), "20-24", "25-29", "30-34", "35-39", "40-44", "45-49", "50-54", "55-59", "60-64", "65-69", "70-74", "75-79", "80-84", "85+")</f>
        <v>40-44</v>
      </c>
      <c r="D9419" t="s">
        <v>7</v>
      </c>
    </row>
    <row r="9420" spans="1:4">
      <c r="A9420" t="s">
        <v>6</v>
      </c>
      <c r="B9420">
        <v>40</v>
      </c>
      <c r="C9420" t="str">
        <f>CHOOSE(MATCH(B9420, {20,25,30,35,40,45,50,55,60,65,70,75,80,85}, 1), "20-24", "25-29", "30-34", "35-39", "40-44", "45-49", "50-54", "55-59", "60-64", "65-69", "70-74", "75-79", "80-84", "85+")</f>
        <v>40-44</v>
      </c>
      <c r="D9420" t="s">
        <v>8</v>
      </c>
    </row>
    <row r="9421" spans="1:4">
      <c r="A9421" t="s">
        <v>6</v>
      </c>
      <c r="B9421">
        <v>65</v>
      </c>
      <c r="C9421" t="str">
        <f>CHOOSE(MATCH(B9421, {20,25,30,35,40,45,50,55,60,65,70,75,80,85}, 1), "20-24", "25-29", "30-34", "35-39", "40-44", "45-49", "50-54", "55-59", "60-64", "65-69", "70-74", "75-79", "80-84", "85+")</f>
        <v>65-69</v>
      </c>
      <c r="D9421" t="s">
        <v>7</v>
      </c>
    </row>
    <row r="9422" spans="1:4">
      <c r="A9422" t="s">
        <v>6</v>
      </c>
      <c r="B9422">
        <v>72</v>
      </c>
      <c r="C9422" t="str">
        <f>CHOOSE(MATCH(B9422, {20,25,30,35,40,45,50,55,60,65,70,75,80,85}, 1), "20-24", "25-29", "30-34", "35-39", "40-44", "45-49", "50-54", "55-59", "60-64", "65-69", "70-74", "75-79", "80-84", "85+")</f>
        <v>70-74</v>
      </c>
      <c r="D9422" t="s">
        <v>7</v>
      </c>
    </row>
    <row r="9423" spans="1:4">
      <c r="A9423" t="s">
        <v>6</v>
      </c>
      <c r="B9423">
        <v>65</v>
      </c>
      <c r="C9423" t="str">
        <f>CHOOSE(MATCH(B9423, {20,25,30,35,40,45,50,55,60,65,70,75,80,85}, 1), "20-24", "25-29", "30-34", "35-39", "40-44", "45-49", "50-54", "55-59", "60-64", "65-69", "70-74", "75-79", "80-84", "85+")</f>
        <v>65-69</v>
      </c>
      <c r="D9423" t="s">
        <v>8</v>
      </c>
    </row>
    <row r="9424" spans="1:4">
      <c r="A9424" t="s">
        <v>6</v>
      </c>
      <c r="B9424">
        <v>66</v>
      </c>
      <c r="C9424" t="str">
        <f>CHOOSE(MATCH(B9424, {20,25,30,35,40,45,50,55,60,65,70,75,80,85}, 1), "20-24", "25-29", "30-34", "35-39", "40-44", "45-49", "50-54", "55-59", "60-64", "65-69", "70-74", "75-79", "80-84", "85+")</f>
        <v>65-69</v>
      </c>
      <c r="D9424" t="s">
        <v>8</v>
      </c>
    </row>
    <row r="9425" spans="1:4">
      <c r="A9425" t="s">
        <v>6</v>
      </c>
      <c r="B9425">
        <v>33</v>
      </c>
      <c r="C9425" t="str">
        <f>CHOOSE(MATCH(B9425, {20,25,30,35,40,45,50,55,60,65,70,75,80,85}, 1), "20-24", "25-29", "30-34", "35-39", "40-44", "45-49", "50-54", "55-59", "60-64", "65-69", "70-74", "75-79", "80-84", "85+")</f>
        <v>30-34</v>
      </c>
      <c r="D9425" t="s">
        <v>7</v>
      </c>
    </row>
    <row r="9426" spans="1:4">
      <c r="A9426" t="s">
        <v>6</v>
      </c>
      <c r="B9426">
        <v>70</v>
      </c>
      <c r="C9426" t="str">
        <f>CHOOSE(MATCH(B9426, {20,25,30,35,40,45,50,55,60,65,70,75,80,85}, 1), "20-24", "25-29", "30-34", "35-39", "40-44", "45-49", "50-54", "55-59", "60-64", "65-69", "70-74", "75-79", "80-84", "85+")</f>
        <v>70-74</v>
      </c>
      <c r="D9426" t="s">
        <v>7</v>
      </c>
    </row>
    <row r="9427" spans="1:4">
      <c r="A9427" t="s">
        <v>6</v>
      </c>
      <c r="B9427">
        <v>37</v>
      </c>
      <c r="C9427" t="str">
        <f>CHOOSE(MATCH(B9427, {20,25,30,35,40,45,50,55,60,65,70,75,80,85}, 1), "20-24", "25-29", "30-34", "35-39", "40-44", "45-49", "50-54", "55-59", "60-64", "65-69", "70-74", "75-79", "80-84", "85+")</f>
        <v>35-39</v>
      </c>
      <c r="D9427" t="s">
        <v>7</v>
      </c>
    </row>
    <row r="9428" spans="1:4">
      <c r="A9428" t="s">
        <v>6</v>
      </c>
      <c r="B9428">
        <v>45</v>
      </c>
      <c r="C9428" t="str">
        <f>CHOOSE(MATCH(B9428, {20,25,30,35,40,45,50,55,60,65,70,75,80,85}, 1), "20-24", "25-29", "30-34", "35-39", "40-44", "45-49", "50-54", "55-59", "60-64", "65-69", "70-74", "75-79", "80-84", "85+")</f>
        <v>45-49</v>
      </c>
      <c r="D9428" t="s">
        <v>8</v>
      </c>
    </row>
    <row r="9429" spans="1:4">
      <c r="A9429" t="s">
        <v>6</v>
      </c>
      <c r="B9429">
        <v>21</v>
      </c>
      <c r="C9429" t="str">
        <f>CHOOSE(MATCH(B9429, {20,25,30,35,40,45,50,55,60,65,70,75,80,85}, 1), "20-24", "25-29", "30-34", "35-39", "40-44", "45-49", "50-54", "55-59", "60-64", "65-69", "70-74", "75-79", "80-84", "85+")</f>
        <v>20-24</v>
      </c>
      <c r="D9429" t="s">
        <v>8</v>
      </c>
    </row>
    <row r="9430" spans="1:4">
      <c r="A9430" t="s">
        <v>6</v>
      </c>
      <c r="B9430">
        <v>33</v>
      </c>
      <c r="C9430" t="str">
        <f>CHOOSE(MATCH(B9430, {20,25,30,35,40,45,50,55,60,65,70,75,80,85}, 1), "20-24", "25-29", "30-34", "35-39", "40-44", "45-49", "50-54", "55-59", "60-64", "65-69", "70-74", "75-79", "80-84", "85+")</f>
        <v>30-34</v>
      </c>
      <c r="D9430" t="s">
        <v>7</v>
      </c>
    </row>
    <row r="9431" spans="1:4">
      <c r="A9431" t="s">
        <v>6</v>
      </c>
      <c r="B9431">
        <v>31</v>
      </c>
      <c r="C9431" t="str">
        <f>CHOOSE(MATCH(B9431, {20,25,30,35,40,45,50,55,60,65,70,75,80,85}, 1), "20-24", "25-29", "30-34", "35-39", "40-44", "45-49", "50-54", "55-59", "60-64", "65-69", "70-74", "75-79", "80-84", "85+")</f>
        <v>30-34</v>
      </c>
      <c r="D9431" t="s">
        <v>8</v>
      </c>
    </row>
    <row r="9432" spans="1:4">
      <c r="A9432" t="s">
        <v>6</v>
      </c>
      <c r="B9432">
        <v>34</v>
      </c>
      <c r="C9432" t="str">
        <f>CHOOSE(MATCH(B9432, {20,25,30,35,40,45,50,55,60,65,70,75,80,85}, 1), "20-24", "25-29", "30-34", "35-39", "40-44", "45-49", "50-54", "55-59", "60-64", "65-69", "70-74", "75-79", "80-84", "85+")</f>
        <v>30-34</v>
      </c>
      <c r="D9432" t="s">
        <v>8</v>
      </c>
    </row>
    <row r="9433" spans="1:4">
      <c r="A9433" t="s">
        <v>6</v>
      </c>
      <c r="B9433">
        <v>69</v>
      </c>
      <c r="C9433" t="str">
        <f>CHOOSE(MATCH(B9433, {20,25,30,35,40,45,50,55,60,65,70,75,80,85}, 1), "20-24", "25-29", "30-34", "35-39", "40-44", "45-49", "50-54", "55-59", "60-64", "65-69", "70-74", "75-79", "80-84", "85+")</f>
        <v>65-69</v>
      </c>
      <c r="D9433" t="s">
        <v>8</v>
      </c>
    </row>
    <row r="9434" spans="1:4">
      <c r="A9434" t="s">
        <v>6</v>
      </c>
      <c r="B9434">
        <v>38</v>
      </c>
      <c r="C9434" t="str">
        <f>CHOOSE(MATCH(B9434, {20,25,30,35,40,45,50,55,60,65,70,75,80,85}, 1), "20-24", "25-29", "30-34", "35-39", "40-44", "45-49", "50-54", "55-59", "60-64", "65-69", "70-74", "75-79", "80-84", "85+")</f>
        <v>35-39</v>
      </c>
      <c r="D9434" t="s">
        <v>7</v>
      </c>
    </row>
    <row r="9435" spans="1:4">
      <c r="A9435" t="s">
        <v>6</v>
      </c>
      <c r="B9435">
        <v>52</v>
      </c>
      <c r="C9435" t="str">
        <f>CHOOSE(MATCH(B9435, {20,25,30,35,40,45,50,55,60,65,70,75,80,85}, 1), "20-24", "25-29", "30-34", "35-39", "40-44", "45-49", "50-54", "55-59", "60-64", "65-69", "70-74", "75-79", "80-84", "85+")</f>
        <v>50-54</v>
      </c>
      <c r="D9435" t="s">
        <v>8</v>
      </c>
    </row>
    <row r="9436" spans="1:4">
      <c r="A9436" t="s">
        <v>6</v>
      </c>
      <c r="B9436">
        <v>75</v>
      </c>
      <c r="C9436" t="str">
        <f>CHOOSE(MATCH(B9436, {20,25,30,35,40,45,50,55,60,65,70,75,80,85}, 1), "20-24", "25-29", "30-34", "35-39", "40-44", "45-49", "50-54", "55-59", "60-64", "65-69", "70-74", "75-79", "80-84", "85+")</f>
        <v>75-79</v>
      </c>
      <c r="D9436" t="s">
        <v>8</v>
      </c>
    </row>
    <row r="9437" spans="1:4">
      <c r="A9437" t="s">
        <v>6</v>
      </c>
      <c r="B9437">
        <v>28</v>
      </c>
      <c r="C9437" t="str">
        <f>CHOOSE(MATCH(B9437, {20,25,30,35,40,45,50,55,60,65,70,75,80,85}, 1), "20-24", "25-29", "30-34", "35-39", "40-44", "45-49", "50-54", "55-59", "60-64", "65-69", "70-74", "75-79", "80-84", "85+")</f>
        <v>25-29</v>
      </c>
      <c r="D9437" t="s">
        <v>7</v>
      </c>
    </row>
    <row r="9438" spans="1:4">
      <c r="A9438" t="s">
        <v>6</v>
      </c>
      <c r="B9438">
        <v>30</v>
      </c>
      <c r="C9438" t="str">
        <f>CHOOSE(MATCH(B9438, {20,25,30,35,40,45,50,55,60,65,70,75,80,85}, 1), "20-24", "25-29", "30-34", "35-39", "40-44", "45-49", "50-54", "55-59", "60-64", "65-69", "70-74", "75-79", "80-84", "85+")</f>
        <v>30-34</v>
      </c>
      <c r="D9438" t="s">
        <v>8</v>
      </c>
    </row>
    <row r="9439" spans="1:4">
      <c r="A9439" t="s">
        <v>6</v>
      </c>
      <c r="B9439">
        <v>58</v>
      </c>
      <c r="C9439" t="str">
        <f>CHOOSE(MATCH(B9439, {20,25,30,35,40,45,50,55,60,65,70,75,80,85}, 1), "20-24", "25-29", "30-34", "35-39", "40-44", "45-49", "50-54", "55-59", "60-64", "65-69", "70-74", "75-79", "80-84", "85+")</f>
        <v>55-59</v>
      </c>
      <c r="D9439" t="s">
        <v>8</v>
      </c>
    </row>
    <row r="9440" spans="1:4">
      <c r="A9440" t="s">
        <v>6</v>
      </c>
      <c r="B9440">
        <v>74</v>
      </c>
      <c r="C9440" t="str">
        <f>CHOOSE(MATCH(B9440, {20,25,30,35,40,45,50,55,60,65,70,75,80,85}, 1), "20-24", "25-29", "30-34", "35-39", "40-44", "45-49", "50-54", "55-59", "60-64", "65-69", "70-74", "75-79", "80-84", "85+")</f>
        <v>70-74</v>
      </c>
      <c r="D9440" t="s">
        <v>8</v>
      </c>
    </row>
    <row r="9441" spans="1:4">
      <c r="A9441" t="s">
        <v>6</v>
      </c>
      <c r="B9441">
        <v>46</v>
      </c>
      <c r="C9441" t="str">
        <f>CHOOSE(MATCH(B9441, {20,25,30,35,40,45,50,55,60,65,70,75,80,85}, 1), "20-24", "25-29", "30-34", "35-39", "40-44", "45-49", "50-54", "55-59", "60-64", "65-69", "70-74", "75-79", "80-84", "85+")</f>
        <v>45-49</v>
      </c>
      <c r="D9441" t="s">
        <v>8</v>
      </c>
    </row>
    <row r="9442" spans="1:4">
      <c r="A9442" t="s">
        <v>6</v>
      </c>
      <c r="B9442">
        <v>65</v>
      </c>
      <c r="C9442" t="str">
        <f>CHOOSE(MATCH(B9442, {20,25,30,35,40,45,50,55,60,65,70,75,80,85}, 1), "20-24", "25-29", "30-34", "35-39", "40-44", "45-49", "50-54", "55-59", "60-64", "65-69", "70-74", "75-79", "80-84", "85+")</f>
        <v>65-69</v>
      </c>
      <c r="D9442" t="s">
        <v>8</v>
      </c>
    </row>
    <row r="9443" spans="1:4">
      <c r="A9443" t="s">
        <v>6</v>
      </c>
      <c r="B9443">
        <v>31</v>
      </c>
      <c r="C9443" t="str">
        <f>CHOOSE(MATCH(B9443, {20,25,30,35,40,45,50,55,60,65,70,75,80,85}, 1), "20-24", "25-29", "30-34", "35-39", "40-44", "45-49", "50-54", "55-59", "60-64", "65-69", "70-74", "75-79", "80-84", "85+")</f>
        <v>30-34</v>
      </c>
      <c r="D9443" t="s">
        <v>7</v>
      </c>
    </row>
    <row r="9444" spans="1:4">
      <c r="A9444" t="s">
        <v>6</v>
      </c>
      <c r="B9444">
        <v>69</v>
      </c>
      <c r="C9444" t="str">
        <f>CHOOSE(MATCH(B9444, {20,25,30,35,40,45,50,55,60,65,70,75,80,85}, 1), "20-24", "25-29", "30-34", "35-39", "40-44", "45-49", "50-54", "55-59", "60-64", "65-69", "70-74", "75-79", "80-84", "85+")</f>
        <v>65-69</v>
      </c>
      <c r="D9444" t="s">
        <v>8</v>
      </c>
    </row>
    <row r="9445" spans="1:4">
      <c r="A9445" t="s">
        <v>6</v>
      </c>
      <c r="B9445">
        <v>34</v>
      </c>
      <c r="C9445" t="str">
        <f>CHOOSE(MATCH(B9445, {20,25,30,35,40,45,50,55,60,65,70,75,80,85}, 1), "20-24", "25-29", "30-34", "35-39", "40-44", "45-49", "50-54", "55-59", "60-64", "65-69", "70-74", "75-79", "80-84", "85+")</f>
        <v>30-34</v>
      </c>
      <c r="D9445" t="s">
        <v>8</v>
      </c>
    </row>
    <row r="9446" spans="1:4">
      <c r="A9446" t="s">
        <v>6</v>
      </c>
      <c r="B9446">
        <v>20</v>
      </c>
      <c r="C9446" t="str">
        <f>CHOOSE(MATCH(B9446, {20,25,30,35,40,45,50,55,60,65,70,75,80,85}, 1), "20-24", "25-29", "30-34", "35-39", "40-44", "45-49", "50-54", "55-59", "60-64", "65-69", "70-74", "75-79", "80-84", "85+")</f>
        <v>20-24</v>
      </c>
      <c r="D9446" t="s">
        <v>8</v>
      </c>
    </row>
    <row r="9447" spans="1:4">
      <c r="A9447" t="s">
        <v>6</v>
      </c>
      <c r="B9447">
        <v>32</v>
      </c>
      <c r="C9447" t="str">
        <f>CHOOSE(MATCH(B9447, {20,25,30,35,40,45,50,55,60,65,70,75,80,85}, 1), "20-24", "25-29", "30-34", "35-39", "40-44", "45-49", "50-54", "55-59", "60-64", "65-69", "70-74", "75-79", "80-84", "85+")</f>
        <v>30-34</v>
      </c>
      <c r="D9447" t="s">
        <v>8</v>
      </c>
    </row>
    <row r="9448" spans="1:4">
      <c r="A9448" t="s">
        <v>6</v>
      </c>
      <c r="B9448">
        <v>76</v>
      </c>
      <c r="C9448" t="str">
        <f>CHOOSE(MATCH(B9448, {20,25,30,35,40,45,50,55,60,65,70,75,80,85}, 1), "20-24", "25-29", "30-34", "35-39", "40-44", "45-49", "50-54", "55-59", "60-64", "65-69", "70-74", "75-79", "80-84", "85+")</f>
        <v>75-79</v>
      </c>
      <c r="D9448" t="s">
        <v>7</v>
      </c>
    </row>
    <row r="9449" spans="1:4">
      <c r="A9449" t="s">
        <v>6</v>
      </c>
      <c r="B9449">
        <v>39</v>
      </c>
      <c r="C9449" t="str">
        <f>CHOOSE(MATCH(B9449, {20,25,30,35,40,45,50,55,60,65,70,75,80,85}, 1), "20-24", "25-29", "30-34", "35-39", "40-44", "45-49", "50-54", "55-59", "60-64", "65-69", "70-74", "75-79", "80-84", "85+")</f>
        <v>35-39</v>
      </c>
      <c r="D9449" t="s">
        <v>7</v>
      </c>
    </row>
    <row r="9450" spans="1:4">
      <c r="A9450" t="s">
        <v>6</v>
      </c>
      <c r="B9450">
        <v>55</v>
      </c>
      <c r="C9450" t="str">
        <f>CHOOSE(MATCH(B9450, {20,25,30,35,40,45,50,55,60,65,70,75,80,85}, 1), "20-24", "25-29", "30-34", "35-39", "40-44", "45-49", "50-54", "55-59", "60-64", "65-69", "70-74", "75-79", "80-84", "85+")</f>
        <v>55-59</v>
      </c>
      <c r="D9450" t="s">
        <v>8</v>
      </c>
    </row>
    <row r="9451" spans="1:4">
      <c r="A9451" t="s">
        <v>6</v>
      </c>
      <c r="B9451">
        <v>52</v>
      </c>
      <c r="C9451" t="str">
        <f>CHOOSE(MATCH(B9451, {20,25,30,35,40,45,50,55,60,65,70,75,80,85}, 1), "20-24", "25-29", "30-34", "35-39", "40-44", "45-49", "50-54", "55-59", "60-64", "65-69", "70-74", "75-79", "80-84", "85+")</f>
        <v>50-54</v>
      </c>
      <c r="D9451" t="s">
        <v>8</v>
      </c>
    </row>
    <row r="9452" spans="1:4">
      <c r="A9452" t="s">
        <v>6</v>
      </c>
      <c r="B9452">
        <v>34</v>
      </c>
      <c r="C9452" t="str">
        <f>CHOOSE(MATCH(B9452, {20,25,30,35,40,45,50,55,60,65,70,75,80,85}, 1), "20-24", "25-29", "30-34", "35-39", "40-44", "45-49", "50-54", "55-59", "60-64", "65-69", "70-74", "75-79", "80-84", "85+")</f>
        <v>30-34</v>
      </c>
      <c r="D9452" t="s">
        <v>7</v>
      </c>
    </row>
    <row r="9453" spans="1:4">
      <c r="A9453" t="s">
        <v>6</v>
      </c>
      <c r="B9453">
        <v>71</v>
      </c>
      <c r="C9453" t="str">
        <f>CHOOSE(MATCH(B9453, {20,25,30,35,40,45,50,55,60,65,70,75,80,85}, 1), "20-24", "25-29", "30-34", "35-39", "40-44", "45-49", "50-54", "55-59", "60-64", "65-69", "70-74", "75-79", "80-84", "85+")</f>
        <v>70-74</v>
      </c>
      <c r="D9453" t="s">
        <v>7</v>
      </c>
    </row>
    <row r="9454" spans="1:4">
      <c r="A9454" t="s">
        <v>6</v>
      </c>
      <c r="B9454">
        <v>27</v>
      </c>
      <c r="C9454" t="str">
        <f>CHOOSE(MATCH(B9454, {20,25,30,35,40,45,50,55,60,65,70,75,80,85}, 1), "20-24", "25-29", "30-34", "35-39", "40-44", "45-49", "50-54", "55-59", "60-64", "65-69", "70-74", "75-79", "80-84", "85+")</f>
        <v>25-29</v>
      </c>
      <c r="D9454" t="s">
        <v>7</v>
      </c>
    </row>
    <row r="9455" spans="1:4">
      <c r="A9455" t="s">
        <v>6</v>
      </c>
      <c r="B9455">
        <v>44</v>
      </c>
      <c r="C9455" t="str">
        <f>CHOOSE(MATCH(B9455, {20,25,30,35,40,45,50,55,60,65,70,75,80,85}, 1), "20-24", "25-29", "30-34", "35-39", "40-44", "45-49", "50-54", "55-59", "60-64", "65-69", "70-74", "75-79", "80-84", "85+")</f>
        <v>40-44</v>
      </c>
      <c r="D9455" t="s">
        <v>8</v>
      </c>
    </row>
    <row r="9456" spans="1:4">
      <c r="A9456" t="s">
        <v>6</v>
      </c>
      <c r="B9456">
        <v>46</v>
      </c>
      <c r="C9456" t="str">
        <f>CHOOSE(MATCH(B9456, {20,25,30,35,40,45,50,55,60,65,70,75,80,85}, 1), "20-24", "25-29", "30-34", "35-39", "40-44", "45-49", "50-54", "55-59", "60-64", "65-69", "70-74", "75-79", "80-84", "85+")</f>
        <v>45-49</v>
      </c>
      <c r="D9456" t="s">
        <v>7</v>
      </c>
    </row>
    <row r="9457" spans="1:4">
      <c r="A9457" t="s">
        <v>6</v>
      </c>
      <c r="B9457">
        <v>38</v>
      </c>
      <c r="C9457" t="str">
        <f>CHOOSE(MATCH(B9457, {20,25,30,35,40,45,50,55,60,65,70,75,80,85}, 1), "20-24", "25-29", "30-34", "35-39", "40-44", "45-49", "50-54", "55-59", "60-64", "65-69", "70-74", "75-79", "80-84", "85+")</f>
        <v>35-39</v>
      </c>
      <c r="D9457" t="s">
        <v>7</v>
      </c>
    </row>
    <row r="9458" spans="1:4">
      <c r="A9458" t="s">
        <v>6</v>
      </c>
      <c r="B9458">
        <v>28</v>
      </c>
      <c r="C9458" t="str">
        <f>CHOOSE(MATCH(B9458, {20,25,30,35,40,45,50,55,60,65,70,75,80,85}, 1), "20-24", "25-29", "30-34", "35-39", "40-44", "45-49", "50-54", "55-59", "60-64", "65-69", "70-74", "75-79", "80-84", "85+")</f>
        <v>25-29</v>
      </c>
      <c r="D9458" t="s">
        <v>7</v>
      </c>
    </row>
    <row r="9459" spans="1:4">
      <c r="A9459" t="s">
        <v>6</v>
      </c>
      <c r="B9459">
        <v>34</v>
      </c>
      <c r="C9459" t="str">
        <f>CHOOSE(MATCH(B9459, {20,25,30,35,40,45,50,55,60,65,70,75,80,85}, 1), "20-24", "25-29", "30-34", "35-39", "40-44", "45-49", "50-54", "55-59", "60-64", "65-69", "70-74", "75-79", "80-84", "85+")</f>
        <v>30-34</v>
      </c>
      <c r="D9459" t="s">
        <v>8</v>
      </c>
    </row>
    <row r="9460" spans="1:4">
      <c r="A9460" t="s">
        <v>6</v>
      </c>
      <c r="B9460">
        <v>70</v>
      </c>
      <c r="C9460" t="str">
        <f>CHOOSE(MATCH(B9460, {20,25,30,35,40,45,50,55,60,65,70,75,80,85}, 1), "20-24", "25-29", "30-34", "35-39", "40-44", "45-49", "50-54", "55-59", "60-64", "65-69", "70-74", "75-79", "80-84", "85+")</f>
        <v>70-74</v>
      </c>
      <c r="D9460" t="s">
        <v>7</v>
      </c>
    </row>
    <row r="9461" spans="1:4">
      <c r="A9461" t="s">
        <v>6</v>
      </c>
      <c r="B9461">
        <v>24</v>
      </c>
      <c r="C9461" t="str">
        <f>CHOOSE(MATCH(B9461, {20,25,30,35,40,45,50,55,60,65,70,75,80,85}, 1), "20-24", "25-29", "30-34", "35-39", "40-44", "45-49", "50-54", "55-59", "60-64", "65-69", "70-74", "75-79", "80-84", "85+")</f>
        <v>20-24</v>
      </c>
      <c r="D9461" t="s">
        <v>7</v>
      </c>
    </row>
    <row r="9462" spans="1:4">
      <c r="A9462" t="s">
        <v>6</v>
      </c>
      <c r="B9462">
        <v>24</v>
      </c>
      <c r="C9462" t="str">
        <f>CHOOSE(MATCH(B9462, {20,25,30,35,40,45,50,55,60,65,70,75,80,85}, 1), "20-24", "25-29", "30-34", "35-39", "40-44", "45-49", "50-54", "55-59", "60-64", "65-69", "70-74", "75-79", "80-84", "85+")</f>
        <v>20-24</v>
      </c>
      <c r="D9462" t="s">
        <v>7</v>
      </c>
    </row>
    <row r="9463" spans="1:4">
      <c r="A9463" t="s">
        <v>6</v>
      </c>
      <c r="B9463">
        <v>43</v>
      </c>
      <c r="C9463" t="str">
        <f>CHOOSE(MATCH(B9463, {20,25,30,35,40,45,50,55,60,65,70,75,80,85}, 1), "20-24", "25-29", "30-34", "35-39", "40-44", "45-49", "50-54", "55-59", "60-64", "65-69", "70-74", "75-79", "80-84", "85+")</f>
        <v>40-44</v>
      </c>
      <c r="D9463" t="s">
        <v>7</v>
      </c>
    </row>
    <row r="9464" spans="1:4">
      <c r="A9464" t="s">
        <v>6</v>
      </c>
      <c r="B9464">
        <v>72</v>
      </c>
      <c r="C9464" t="str">
        <f>CHOOSE(MATCH(B9464, {20,25,30,35,40,45,50,55,60,65,70,75,80,85}, 1), "20-24", "25-29", "30-34", "35-39", "40-44", "45-49", "50-54", "55-59", "60-64", "65-69", "70-74", "75-79", "80-84", "85+")</f>
        <v>70-74</v>
      </c>
      <c r="D9464" t="s">
        <v>8</v>
      </c>
    </row>
    <row r="9465" spans="1:4">
      <c r="A9465" t="s">
        <v>6</v>
      </c>
      <c r="B9465">
        <v>44</v>
      </c>
      <c r="C9465" t="str">
        <f>CHOOSE(MATCH(B9465, {20,25,30,35,40,45,50,55,60,65,70,75,80,85}, 1), "20-24", "25-29", "30-34", "35-39", "40-44", "45-49", "50-54", "55-59", "60-64", "65-69", "70-74", "75-79", "80-84", "85+")</f>
        <v>40-44</v>
      </c>
      <c r="D9465" t="s">
        <v>7</v>
      </c>
    </row>
    <row r="9466" spans="1:4">
      <c r="A9466" t="s">
        <v>6</v>
      </c>
      <c r="B9466">
        <v>36</v>
      </c>
      <c r="C9466" t="str">
        <f>CHOOSE(MATCH(B9466, {20,25,30,35,40,45,50,55,60,65,70,75,80,85}, 1), "20-24", "25-29", "30-34", "35-39", "40-44", "45-49", "50-54", "55-59", "60-64", "65-69", "70-74", "75-79", "80-84", "85+")</f>
        <v>35-39</v>
      </c>
      <c r="D9466" t="s">
        <v>7</v>
      </c>
    </row>
    <row r="9467" spans="1:4">
      <c r="A9467" t="s">
        <v>6</v>
      </c>
      <c r="B9467">
        <v>31</v>
      </c>
      <c r="C9467" t="str">
        <f>CHOOSE(MATCH(B9467, {20,25,30,35,40,45,50,55,60,65,70,75,80,85}, 1), "20-24", "25-29", "30-34", "35-39", "40-44", "45-49", "50-54", "55-59", "60-64", "65-69", "70-74", "75-79", "80-84", "85+")</f>
        <v>30-34</v>
      </c>
      <c r="D9467" t="s">
        <v>8</v>
      </c>
    </row>
    <row r="9468" spans="1:4">
      <c r="A9468" t="s">
        <v>6</v>
      </c>
      <c r="B9468">
        <v>28</v>
      </c>
      <c r="C9468" t="str">
        <f>CHOOSE(MATCH(B9468, {20,25,30,35,40,45,50,55,60,65,70,75,80,85}, 1), "20-24", "25-29", "30-34", "35-39", "40-44", "45-49", "50-54", "55-59", "60-64", "65-69", "70-74", "75-79", "80-84", "85+")</f>
        <v>25-29</v>
      </c>
      <c r="D9468" t="s">
        <v>7</v>
      </c>
    </row>
    <row r="9469" spans="1:4">
      <c r="A9469" t="s">
        <v>6</v>
      </c>
      <c r="B9469">
        <v>53</v>
      </c>
      <c r="C9469" t="str">
        <f>CHOOSE(MATCH(B9469, {20,25,30,35,40,45,50,55,60,65,70,75,80,85}, 1), "20-24", "25-29", "30-34", "35-39", "40-44", "45-49", "50-54", "55-59", "60-64", "65-69", "70-74", "75-79", "80-84", "85+")</f>
        <v>50-54</v>
      </c>
      <c r="D9469" t="s">
        <v>7</v>
      </c>
    </row>
    <row r="9470" spans="1:4">
      <c r="A9470" t="s">
        <v>6</v>
      </c>
      <c r="B9470">
        <v>27</v>
      </c>
      <c r="C9470" t="str">
        <f>CHOOSE(MATCH(B9470, {20,25,30,35,40,45,50,55,60,65,70,75,80,85}, 1), "20-24", "25-29", "30-34", "35-39", "40-44", "45-49", "50-54", "55-59", "60-64", "65-69", "70-74", "75-79", "80-84", "85+")</f>
        <v>25-29</v>
      </c>
      <c r="D9470" t="s">
        <v>8</v>
      </c>
    </row>
    <row r="9471" spans="1:4">
      <c r="A9471" t="s">
        <v>6</v>
      </c>
      <c r="B9471">
        <v>37</v>
      </c>
      <c r="C9471" t="str">
        <f>CHOOSE(MATCH(B9471, {20,25,30,35,40,45,50,55,60,65,70,75,80,85}, 1), "20-24", "25-29", "30-34", "35-39", "40-44", "45-49", "50-54", "55-59", "60-64", "65-69", "70-74", "75-79", "80-84", "85+")</f>
        <v>35-39</v>
      </c>
      <c r="D9471" t="s">
        <v>7</v>
      </c>
    </row>
    <row r="9472" spans="1:4">
      <c r="A9472" t="s">
        <v>6</v>
      </c>
      <c r="B9472">
        <v>76</v>
      </c>
      <c r="C9472" t="str">
        <f>CHOOSE(MATCH(B9472, {20,25,30,35,40,45,50,55,60,65,70,75,80,85}, 1), "20-24", "25-29", "30-34", "35-39", "40-44", "45-49", "50-54", "55-59", "60-64", "65-69", "70-74", "75-79", "80-84", "85+")</f>
        <v>75-79</v>
      </c>
      <c r="D9472" t="s">
        <v>8</v>
      </c>
    </row>
    <row r="9473" spans="1:4">
      <c r="A9473" t="s">
        <v>6</v>
      </c>
      <c r="B9473">
        <v>25</v>
      </c>
      <c r="C9473" t="str">
        <f>CHOOSE(MATCH(B9473, {20,25,30,35,40,45,50,55,60,65,70,75,80,85}, 1), "20-24", "25-29", "30-34", "35-39", "40-44", "45-49", "50-54", "55-59", "60-64", "65-69", "70-74", "75-79", "80-84", "85+")</f>
        <v>25-29</v>
      </c>
      <c r="D9473" t="s">
        <v>8</v>
      </c>
    </row>
    <row r="9474" spans="1:4">
      <c r="A9474" t="s">
        <v>6</v>
      </c>
      <c r="B9474">
        <v>67</v>
      </c>
      <c r="C9474" t="str">
        <f>CHOOSE(MATCH(B9474, {20,25,30,35,40,45,50,55,60,65,70,75,80,85}, 1), "20-24", "25-29", "30-34", "35-39", "40-44", "45-49", "50-54", "55-59", "60-64", "65-69", "70-74", "75-79", "80-84", "85+")</f>
        <v>65-69</v>
      </c>
      <c r="D9474" t="s">
        <v>8</v>
      </c>
    </row>
    <row r="9475" spans="1:4">
      <c r="A9475" t="s">
        <v>6</v>
      </c>
      <c r="B9475">
        <v>22</v>
      </c>
      <c r="C9475" t="str">
        <f>CHOOSE(MATCH(B9475, {20,25,30,35,40,45,50,55,60,65,70,75,80,85}, 1), "20-24", "25-29", "30-34", "35-39", "40-44", "45-49", "50-54", "55-59", "60-64", "65-69", "70-74", "75-79", "80-84", "85+")</f>
        <v>20-24</v>
      </c>
      <c r="D9475" t="s">
        <v>7</v>
      </c>
    </row>
    <row r="9476" spans="1:4">
      <c r="A9476" t="s">
        <v>6</v>
      </c>
      <c r="B9476">
        <v>27</v>
      </c>
      <c r="C9476" t="str">
        <f>CHOOSE(MATCH(B9476, {20,25,30,35,40,45,50,55,60,65,70,75,80,85}, 1), "20-24", "25-29", "30-34", "35-39", "40-44", "45-49", "50-54", "55-59", "60-64", "65-69", "70-74", "75-79", "80-84", "85+")</f>
        <v>25-29</v>
      </c>
      <c r="D9476" t="s">
        <v>7</v>
      </c>
    </row>
    <row r="9477" spans="1:4">
      <c r="A9477" t="s">
        <v>6</v>
      </c>
      <c r="B9477">
        <v>53</v>
      </c>
      <c r="C9477" t="str">
        <f>CHOOSE(MATCH(B9477, {20,25,30,35,40,45,50,55,60,65,70,75,80,85}, 1), "20-24", "25-29", "30-34", "35-39", "40-44", "45-49", "50-54", "55-59", "60-64", "65-69", "70-74", "75-79", "80-84", "85+")</f>
        <v>50-54</v>
      </c>
      <c r="D9477" t="s">
        <v>8</v>
      </c>
    </row>
    <row r="9478" spans="1:4">
      <c r="A9478" t="s">
        <v>6</v>
      </c>
      <c r="B9478">
        <v>44</v>
      </c>
      <c r="C9478" t="str">
        <f>CHOOSE(MATCH(B9478, {20,25,30,35,40,45,50,55,60,65,70,75,80,85}, 1), "20-24", "25-29", "30-34", "35-39", "40-44", "45-49", "50-54", "55-59", "60-64", "65-69", "70-74", "75-79", "80-84", "85+")</f>
        <v>40-44</v>
      </c>
      <c r="D9478" t="s">
        <v>7</v>
      </c>
    </row>
    <row r="9479" spans="1:4">
      <c r="A9479" t="s">
        <v>6</v>
      </c>
      <c r="B9479">
        <v>65</v>
      </c>
      <c r="C9479" t="str">
        <f>CHOOSE(MATCH(B9479, {20,25,30,35,40,45,50,55,60,65,70,75,80,85}, 1), "20-24", "25-29", "30-34", "35-39", "40-44", "45-49", "50-54", "55-59", "60-64", "65-69", "70-74", "75-79", "80-84", "85+")</f>
        <v>65-69</v>
      </c>
      <c r="D9479" t="s">
        <v>7</v>
      </c>
    </row>
    <row r="9480" spans="1:4">
      <c r="A9480" t="s">
        <v>6</v>
      </c>
      <c r="B9480">
        <v>35</v>
      </c>
      <c r="C9480" t="str">
        <f>CHOOSE(MATCH(B9480, {20,25,30,35,40,45,50,55,60,65,70,75,80,85}, 1), "20-24", "25-29", "30-34", "35-39", "40-44", "45-49", "50-54", "55-59", "60-64", "65-69", "70-74", "75-79", "80-84", "85+")</f>
        <v>35-39</v>
      </c>
      <c r="D9480" t="s">
        <v>7</v>
      </c>
    </row>
    <row r="9481" spans="1:4">
      <c r="A9481" t="s">
        <v>6</v>
      </c>
      <c r="B9481">
        <v>24</v>
      </c>
      <c r="C9481" t="str">
        <f>CHOOSE(MATCH(B9481, {20,25,30,35,40,45,50,55,60,65,70,75,80,85}, 1), "20-24", "25-29", "30-34", "35-39", "40-44", "45-49", "50-54", "55-59", "60-64", "65-69", "70-74", "75-79", "80-84", "85+")</f>
        <v>20-24</v>
      </c>
      <c r="D9481" t="s">
        <v>8</v>
      </c>
    </row>
    <row r="9482" spans="1:4">
      <c r="A9482" t="s">
        <v>6</v>
      </c>
      <c r="B9482">
        <v>91</v>
      </c>
      <c r="C9482" t="str">
        <f>CHOOSE(MATCH(B9482, {20,25,30,35,40,45,50,55,60,65,70,75,80,85}, 1), "20-24", "25-29", "30-34", "35-39", "40-44", "45-49", "50-54", "55-59", "60-64", "65-69", "70-74", "75-79", "80-84", "85+")</f>
        <v>85+</v>
      </c>
      <c r="D9482" t="s">
        <v>7</v>
      </c>
    </row>
    <row r="9483" spans="1:4">
      <c r="A9483" t="s">
        <v>6</v>
      </c>
      <c r="B9483">
        <v>88</v>
      </c>
      <c r="C9483" t="str">
        <f>CHOOSE(MATCH(B9483, {20,25,30,35,40,45,50,55,60,65,70,75,80,85}, 1), "20-24", "25-29", "30-34", "35-39", "40-44", "45-49", "50-54", "55-59", "60-64", "65-69", "70-74", "75-79", "80-84", "85+")</f>
        <v>85+</v>
      </c>
      <c r="D9483" t="s">
        <v>8</v>
      </c>
    </row>
    <row r="9484" spans="1:4">
      <c r="A9484" t="s">
        <v>6</v>
      </c>
      <c r="B9484">
        <v>37</v>
      </c>
      <c r="C9484" t="str">
        <f>CHOOSE(MATCH(B9484, {20,25,30,35,40,45,50,55,60,65,70,75,80,85}, 1), "20-24", "25-29", "30-34", "35-39", "40-44", "45-49", "50-54", "55-59", "60-64", "65-69", "70-74", "75-79", "80-84", "85+")</f>
        <v>35-39</v>
      </c>
      <c r="D9484" t="s">
        <v>7</v>
      </c>
    </row>
    <row r="9485" spans="1:4">
      <c r="A9485" t="s">
        <v>6</v>
      </c>
      <c r="B9485">
        <v>25</v>
      </c>
      <c r="C9485" t="str">
        <f>CHOOSE(MATCH(B9485, {20,25,30,35,40,45,50,55,60,65,70,75,80,85}, 1), "20-24", "25-29", "30-34", "35-39", "40-44", "45-49", "50-54", "55-59", "60-64", "65-69", "70-74", "75-79", "80-84", "85+")</f>
        <v>25-29</v>
      </c>
      <c r="D9485" t="s">
        <v>7</v>
      </c>
    </row>
    <row r="9486" spans="1:4">
      <c r="A9486" t="s">
        <v>6</v>
      </c>
      <c r="B9486">
        <v>54</v>
      </c>
      <c r="C9486" t="str">
        <f>CHOOSE(MATCH(B9486, {20,25,30,35,40,45,50,55,60,65,70,75,80,85}, 1), "20-24", "25-29", "30-34", "35-39", "40-44", "45-49", "50-54", "55-59", "60-64", "65-69", "70-74", "75-79", "80-84", "85+")</f>
        <v>50-54</v>
      </c>
      <c r="D9486" t="s">
        <v>8</v>
      </c>
    </row>
    <row r="9487" spans="1:4">
      <c r="A9487" t="s">
        <v>6</v>
      </c>
      <c r="B9487">
        <v>32</v>
      </c>
      <c r="C9487" t="str">
        <f>CHOOSE(MATCH(B9487, {20,25,30,35,40,45,50,55,60,65,70,75,80,85}, 1), "20-24", "25-29", "30-34", "35-39", "40-44", "45-49", "50-54", "55-59", "60-64", "65-69", "70-74", "75-79", "80-84", "85+")</f>
        <v>30-34</v>
      </c>
      <c r="D9487" t="s">
        <v>8</v>
      </c>
    </row>
    <row r="9488" spans="1:4">
      <c r="A9488" t="s">
        <v>6</v>
      </c>
      <c r="B9488">
        <v>32</v>
      </c>
      <c r="C9488" t="str">
        <f>CHOOSE(MATCH(B9488, {20,25,30,35,40,45,50,55,60,65,70,75,80,85}, 1), "20-24", "25-29", "30-34", "35-39", "40-44", "45-49", "50-54", "55-59", "60-64", "65-69", "70-74", "75-79", "80-84", "85+")</f>
        <v>30-34</v>
      </c>
      <c r="D9488" t="s">
        <v>7</v>
      </c>
    </row>
    <row r="9489" spans="1:4">
      <c r="A9489" t="s">
        <v>6</v>
      </c>
      <c r="B9489">
        <v>55</v>
      </c>
      <c r="C9489" t="str">
        <f>CHOOSE(MATCH(B9489, {20,25,30,35,40,45,50,55,60,65,70,75,80,85}, 1), "20-24", "25-29", "30-34", "35-39", "40-44", "45-49", "50-54", "55-59", "60-64", "65-69", "70-74", "75-79", "80-84", "85+")</f>
        <v>55-59</v>
      </c>
      <c r="D9489" t="s">
        <v>8</v>
      </c>
    </row>
    <row r="9490" spans="1:4">
      <c r="A9490" t="s">
        <v>6</v>
      </c>
      <c r="B9490">
        <v>36</v>
      </c>
      <c r="C9490" t="str">
        <f>CHOOSE(MATCH(B9490, {20,25,30,35,40,45,50,55,60,65,70,75,80,85}, 1), "20-24", "25-29", "30-34", "35-39", "40-44", "45-49", "50-54", "55-59", "60-64", "65-69", "70-74", "75-79", "80-84", "85+")</f>
        <v>35-39</v>
      </c>
      <c r="D9490" t="s">
        <v>8</v>
      </c>
    </row>
    <row r="9491" spans="1:4">
      <c r="A9491" t="s">
        <v>6</v>
      </c>
      <c r="B9491">
        <v>29</v>
      </c>
      <c r="C9491" t="str">
        <f>CHOOSE(MATCH(B9491, {20,25,30,35,40,45,50,55,60,65,70,75,80,85}, 1), "20-24", "25-29", "30-34", "35-39", "40-44", "45-49", "50-54", "55-59", "60-64", "65-69", "70-74", "75-79", "80-84", "85+")</f>
        <v>25-29</v>
      </c>
      <c r="D9491" t="s">
        <v>7</v>
      </c>
    </row>
    <row r="9492" spans="1:4">
      <c r="A9492" t="s">
        <v>6</v>
      </c>
      <c r="B9492">
        <v>22</v>
      </c>
      <c r="C9492" t="str">
        <f>CHOOSE(MATCH(B9492, {20,25,30,35,40,45,50,55,60,65,70,75,80,85}, 1), "20-24", "25-29", "30-34", "35-39", "40-44", "45-49", "50-54", "55-59", "60-64", "65-69", "70-74", "75-79", "80-84", "85+")</f>
        <v>20-24</v>
      </c>
      <c r="D9492" t="s">
        <v>7</v>
      </c>
    </row>
    <row r="9493" spans="1:4">
      <c r="A9493" t="s">
        <v>6</v>
      </c>
      <c r="B9493">
        <v>41</v>
      </c>
      <c r="C9493" t="str">
        <f>CHOOSE(MATCH(B9493, {20,25,30,35,40,45,50,55,60,65,70,75,80,85}, 1), "20-24", "25-29", "30-34", "35-39", "40-44", "45-49", "50-54", "55-59", "60-64", "65-69", "70-74", "75-79", "80-84", "85+")</f>
        <v>40-44</v>
      </c>
      <c r="D9493" t="s">
        <v>8</v>
      </c>
    </row>
    <row r="9494" spans="1:4">
      <c r="A9494" t="s">
        <v>6</v>
      </c>
      <c r="B9494">
        <v>23</v>
      </c>
      <c r="C9494" t="str">
        <f>CHOOSE(MATCH(B9494, {20,25,30,35,40,45,50,55,60,65,70,75,80,85}, 1), "20-24", "25-29", "30-34", "35-39", "40-44", "45-49", "50-54", "55-59", "60-64", "65-69", "70-74", "75-79", "80-84", "85+")</f>
        <v>20-24</v>
      </c>
      <c r="D9494" t="s">
        <v>7</v>
      </c>
    </row>
    <row r="9495" spans="1:4">
      <c r="A9495" t="s">
        <v>6</v>
      </c>
      <c r="B9495">
        <v>25</v>
      </c>
      <c r="C9495" t="str">
        <f>CHOOSE(MATCH(B9495, {20,25,30,35,40,45,50,55,60,65,70,75,80,85}, 1), "20-24", "25-29", "30-34", "35-39", "40-44", "45-49", "50-54", "55-59", "60-64", "65-69", "70-74", "75-79", "80-84", "85+")</f>
        <v>25-29</v>
      </c>
      <c r="D9495" t="s">
        <v>7</v>
      </c>
    </row>
    <row r="9496" spans="1:4">
      <c r="A9496" t="s">
        <v>6</v>
      </c>
      <c r="B9496">
        <v>36</v>
      </c>
      <c r="C9496" t="str">
        <f>CHOOSE(MATCH(B9496, {20,25,30,35,40,45,50,55,60,65,70,75,80,85}, 1), "20-24", "25-29", "30-34", "35-39", "40-44", "45-49", "50-54", "55-59", "60-64", "65-69", "70-74", "75-79", "80-84", "85+")</f>
        <v>35-39</v>
      </c>
      <c r="D9496" t="s">
        <v>7</v>
      </c>
    </row>
    <row r="9497" spans="1:4">
      <c r="A9497" t="s">
        <v>6</v>
      </c>
      <c r="B9497">
        <v>22</v>
      </c>
      <c r="C9497" t="str">
        <f>CHOOSE(MATCH(B9497, {20,25,30,35,40,45,50,55,60,65,70,75,80,85}, 1), "20-24", "25-29", "30-34", "35-39", "40-44", "45-49", "50-54", "55-59", "60-64", "65-69", "70-74", "75-79", "80-84", "85+")</f>
        <v>20-24</v>
      </c>
      <c r="D9497" t="s">
        <v>7</v>
      </c>
    </row>
    <row r="9498" spans="1:4">
      <c r="A9498" t="s">
        <v>6</v>
      </c>
      <c r="B9498">
        <v>37</v>
      </c>
      <c r="C9498" t="str">
        <f>CHOOSE(MATCH(B9498, {20,25,30,35,40,45,50,55,60,65,70,75,80,85}, 1), "20-24", "25-29", "30-34", "35-39", "40-44", "45-49", "50-54", "55-59", "60-64", "65-69", "70-74", "75-79", "80-84", "85+")</f>
        <v>35-39</v>
      </c>
      <c r="D9498" t="s">
        <v>7</v>
      </c>
    </row>
    <row r="9499" spans="1:4">
      <c r="A9499" t="s">
        <v>6</v>
      </c>
      <c r="B9499">
        <v>32</v>
      </c>
      <c r="C9499" t="str">
        <f>CHOOSE(MATCH(B9499, {20,25,30,35,40,45,50,55,60,65,70,75,80,85}, 1), "20-24", "25-29", "30-34", "35-39", "40-44", "45-49", "50-54", "55-59", "60-64", "65-69", "70-74", "75-79", "80-84", "85+")</f>
        <v>30-34</v>
      </c>
      <c r="D9499" t="s">
        <v>7</v>
      </c>
    </row>
    <row r="9500" spans="1:4">
      <c r="A9500" t="s">
        <v>6</v>
      </c>
      <c r="B9500">
        <v>69</v>
      </c>
      <c r="C9500" t="str">
        <f>CHOOSE(MATCH(B9500, {20,25,30,35,40,45,50,55,60,65,70,75,80,85}, 1), "20-24", "25-29", "30-34", "35-39", "40-44", "45-49", "50-54", "55-59", "60-64", "65-69", "70-74", "75-79", "80-84", "85+")</f>
        <v>65-69</v>
      </c>
      <c r="D9500" t="s">
        <v>7</v>
      </c>
    </row>
    <row r="9501" spans="1:4">
      <c r="A9501" t="s">
        <v>6</v>
      </c>
      <c r="B9501">
        <v>34</v>
      </c>
      <c r="C9501" t="str">
        <f>CHOOSE(MATCH(B9501, {20,25,30,35,40,45,50,55,60,65,70,75,80,85}, 1), "20-24", "25-29", "30-34", "35-39", "40-44", "45-49", "50-54", "55-59", "60-64", "65-69", "70-74", "75-79", "80-84", "85+")</f>
        <v>30-34</v>
      </c>
      <c r="D9501" t="s">
        <v>8</v>
      </c>
    </row>
    <row r="9502" spans="1:4">
      <c r="A9502" t="s">
        <v>6</v>
      </c>
      <c r="B9502">
        <v>50</v>
      </c>
      <c r="C9502" t="str">
        <f>CHOOSE(MATCH(B9502, {20,25,30,35,40,45,50,55,60,65,70,75,80,85}, 1), "20-24", "25-29", "30-34", "35-39", "40-44", "45-49", "50-54", "55-59", "60-64", "65-69", "70-74", "75-79", "80-84", "85+")</f>
        <v>50-54</v>
      </c>
      <c r="D9502" t="s">
        <v>7</v>
      </c>
    </row>
    <row r="9503" spans="1:4">
      <c r="A9503" t="s">
        <v>6</v>
      </c>
      <c r="B9503">
        <v>31</v>
      </c>
      <c r="C9503" t="str">
        <f>CHOOSE(MATCH(B9503, {20,25,30,35,40,45,50,55,60,65,70,75,80,85}, 1), "20-24", "25-29", "30-34", "35-39", "40-44", "45-49", "50-54", "55-59", "60-64", "65-69", "70-74", "75-79", "80-84", "85+")</f>
        <v>30-34</v>
      </c>
      <c r="D9503" t="s">
        <v>7</v>
      </c>
    </row>
    <row r="9504" spans="1:4">
      <c r="A9504" t="s">
        <v>6</v>
      </c>
      <c r="B9504">
        <v>29</v>
      </c>
      <c r="C9504" t="str">
        <f>CHOOSE(MATCH(B9504, {20,25,30,35,40,45,50,55,60,65,70,75,80,85}, 1), "20-24", "25-29", "30-34", "35-39", "40-44", "45-49", "50-54", "55-59", "60-64", "65-69", "70-74", "75-79", "80-84", "85+")</f>
        <v>25-29</v>
      </c>
      <c r="D9504" t="s">
        <v>7</v>
      </c>
    </row>
    <row r="9505" spans="1:4">
      <c r="A9505" t="s">
        <v>6</v>
      </c>
      <c r="B9505">
        <v>48</v>
      </c>
      <c r="C9505" t="str">
        <f>CHOOSE(MATCH(B9505, {20,25,30,35,40,45,50,55,60,65,70,75,80,85}, 1), "20-24", "25-29", "30-34", "35-39", "40-44", "45-49", "50-54", "55-59", "60-64", "65-69", "70-74", "75-79", "80-84", "85+")</f>
        <v>45-49</v>
      </c>
      <c r="D9505" t="s">
        <v>8</v>
      </c>
    </row>
    <row r="9506" spans="1:4">
      <c r="A9506" t="s">
        <v>6</v>
      </c>
      <c r="B9506">
        <v>42</v>
      </c>
      <c r="C9506" t="str">
        <f>CHOOSE(MATCH(B9506, {20,25,30,35,40,45,50,55,60,65,70,75,80,85}, 1), "20-24", "25-29", "30-34", "35-39", "40-44", "45-49", "50-54", "55-59", "60-64", "65-69", "70-74", "75-79", "80-84", "85+")</f>
        <v>40-44</v>
      </c>
      <c r="D9506" t="s">
        <v>8</v>
      </c>
    </row>
    <row r="9507" spans="1:4">
      <c r="A9507" t="s">
        <v>6</v>
      </c>
      <c r="B9507">
        <v>53</v>
      </c>
      <c r="C9507" t="str">
        <f>CHOOSE(MATCH(B9507, {20,25,30,35,40,45,50,55,60,65,70,75,80,85}, 1), "20-24", "25-29", "30-34", "35-39", "40-44", "45-49", "50-54", "55-59", "60-64", "65-69", "70-74", "75-79", "80-84", "85+")</f>
        <v>50-54</v>
      </c>
      <c r="D9507" t="s">
        <v>7</v>
      </c>
    </row>
    <row r="9508" spans="1:4">
      <c r="A9508" t="s">
        <v>6</v>
      </c>
      <c r="B9508">
        <v>50</v>
      </c>
      <c r="C9508" t="str">
        <f>CHOOSE(MATCH(B9508, {20,25,30,35,40,45,50,55,60,65,70,75,80,85}, 1), "20-24", "25-29", "30-34", "35-39", "40-44", "45-49", "50-54", "55-59", "60-64", "65-69", "70-74", "75-79", "80-84", "85+")</f>
        <v>50-54</v>
      </c>
      <c r="D9508" t="s">
        <v>8</v>
      </c>
    </row>
    <row r="9509" spans="1:4">
      <c r="A9509" t="s">
        <v>6</v>
      </c>
      <c r="B9509">
        <v>49</v>
      </c>
      <c r="C9509" t="str">
        <f>CHOOSE(MATCH(B9509, {20,25,30,35,40,45,50,55,60,65,70,75,80,85}, 1), "20-24", "25-29", "30-34", "35-39", "40-44", "45-49", "50-54", "55-59", "60-64", "65-69", "70-74", "75-79", "80-84", "85+")</f>
        <v>45-49</v>
      </c>
      <c r="D9509" t="s">
        <v>8</v>
      </c>
    </row>
    <row r="9510" spans="1:4">
      <c r="A9510" t="s">
        <v>6</v>
      </c>
      <c r="B9510">
        <v>35</v>
      </c>
      <c r="C9510" t="str">
        <f>CHOOSE(MATCH(B9510, {20,25,30,35,40,45,50,55,60,65,70,75,80,85}, 1), "20-24", "25-29", "30-34", "35-39", "40-44", "45-49", "50-54", "55-59", "60-64", "65-69", "70-74", "75-79", "80-84", "85+")</f>
        <v>35-39</v>
      </c>
      <c r="D9510" t="s">
        <v>7</v>
      </c>
    </row>
    <row r="9511" spans="1:4">
      <c r="A9511" t="s">
        <v>6</v>
      </c>
      <c r="B9511">
        <v>78</v>
      </c>
      <c r="C9511" t="str">
        <f>CHOOSE(MATCH(B9511, {20,25,30,35,40,45,50,55,60,65,70,75,80,85}, 1), "20-24", "25-29", "30-34", "35-39", "40-44", "45-49", "50-54", "55-59", "60-64", "65-69", "70-74", "75-79", "80-84", "85+")</f>
        <v>75-79</v>
      </c>
      <c r="D9511" t="s">
        <v>7</v>
      </c>
    </row>
    <row r="9512" spans="1:4">
      <c r="A9512" t="s">
        <v>6</v>
      </c>
      <c r="B9512">
        <v>33</v>
      </c>
      <c r="C9512" t="str">
        <f>CHOOSE(MATCH(B9512, {20,25,30,35,40,45,50,55,60,65,70,75,80,85}, 1), "20-24", "25-29", "30-34", "35-39", "40-44", "45-49", "50-54", "55-59", "60-64", "65-69", "70-74", "75-79", "80-84", "85+")</f>
        <v>30-34</v>
      </c>
      <c r="D9512" t="s">
        <v>8</v>
      </c>
    </row>
    <row r="9513" spans="1:4">
      <c r="A9513" t="s">
        <v>6</v>
      </c>
      <c r="B9513">
        <v>45</v>
      </c>
      <c r="C9513" t="str">
        <f>CHOOSE(MATCH(B9513, {20,25,30,35,40,45,50,55,60,65,70,75,80,85}, 1), "20-24", "25-29", "30-34", "35-39", "40-44", "45-49", "50-54", "55-59", "60-64", "65-69", "70-74", "75-79", "80-84", "85+")</f>
        <v>45-49</v>
      </c>
      <c r="D9513" t="s">
        <v>7</v>
      </c>
    </row>
    <row r="9514" spans="1:4">
      <c r="A9514" t="s">
        <v>6</v>
      </c>
      <c r="B9514">
        <v>46</v>
      </c>
      <c r="C9514" t="str">
        <f>CHOOSE(MATCH(B9514, {20,25,30,35,40,45,50,55,60,65,70,75,80,85}, 1), "20-24", "25-29", "30-34", "35-39", "40-44", "45-49", "50-54", "55-59", "60-64", "65-69", "70-74", "75-79", "80-84", "85+")</f>
        <v>45-49</v>
      </c>
      <c r="D9514" t="s">
        <v>7</v>
      </c>
    </row>
    <row r="9515" spans="1:4">
      <c r="A9515" t="s">
        <v>6</v>
      </c>
      <c r="B9515">
        <v>74</v>
      </c>
      <c r="C9515" t="str">
        <f>CHOOSE(MATCH(B9515, {20,25,30,35,40,45,50,55,60,65,70,75,80,85}, 1), "20-24", "25-29", "30-34", "35-39", "40-44", "45-49", "50-54", "55-59", "60-64", "65-69", "70-74", "75-79", "80-84", "85+")</f>
        <v>70-74</v>
      </c>
      <c r="D9515" t="s">
        <v>7</v>
      </c>
    </row>
    <row r="9516" spans="1:4">
      <c r="A9516" t="s">
        <v>6</v>
      </c>
      <c r="B9516">
        <v>60</v>
      </c>
      <c r="C9516" t="str">
        <f>CHOOSE(MATCH(B9516, {20,25,30,35,40,45,50,55,60,65,70,75,80,85}, 1), "20-24", "25-29", "30-34", "35-39", "40-44", "45-49", "50-54", "55-59", "60-64", "65-69", "70-74", "75-79", "80-84", "85+")</f>
        <v>60-64</v>
      </c>
      <c r="D9516" t="s">
        <v>8</v>
      </c>
    </row>
    <row r="9517" spans="1:4">
      <c r="A9517" t="s">
        <v>6</v>
      </c>
      <c r="B9517">
        <v>23</v>
      </c>
      <c r="C9517" t="str">
        <f>CHOOSE(MATCH(B9517, {20,25,30,35,40,45,50,55,60,65,70,75,80,85}, 1), "20-24", "25-29", "30-34", "35-39", "40-44", "45-49", "50-54", "55-59", "60-64", "65-69", "70-74", "75-79", "80-84", "85+")</f>
        <v>20-24</v>
      </c>
      <c r="D9517" t="s">
        <v>7</v>
      </c>
    </row>
    <row r="9518" spans="1:4">
      <c r="A9518" t="s">
        <v>6</v>
      </c>
      <c r="B9518">
        <v>62</v>
      </c>
      <c r="C9518" t="str">
        <f>CHOOSE(MATCH(B9518, {20,25,30,35,40,45,50,55,60,65,70,75,80,85}, 1), "20-24", "25-29", "30-34", "35-39", "40-44", "45-49", "50-54", "55-59", "60-64", "65-69", "70-74", "75-79", "80-84", "85+")</f>
        <v>60-64</v>
      </c>
      <c r="D9518" t="s">
        <v>7</v>
      </c>
    </row>
    <row r="9519" spans="1:4">
      <c r="A9519" t="s">
        <v>6</v>
      </c>
      <c r="B9519">
        <v>45</v>
      </c>
      <c r="C9519" t="str">
        <f>CHOOSE(MATCH(B9519, {20,25,30,35,40,45,50,55,60,65,70,75,80,85}, 1), "20-24", "25-29", "30-34", "35-39", "40-44", "45-49", "50-54", "55-59", "60-64", "65-69", "70-74", "75-79", "80-84", "85+")</f>
        <v>45-49</v>
      </c>
      <c r="D9519" t="s">
        <v>7</v>
      </c>
    </row>
    <row r="9520" spans="1:4">
      <c r="A9520" t="s">
        <v>6</v>
      </c>
      <c r="B9520">
        <v>27</v>
      </c>
      <c r="C9520" t="str">
        <f>CHOOSE(MATCH(B9520, {20,25,30,35,40,45,50,55,60,65,70,75,80,85}, 1), "20-24", "25-29", "30-34", "35-39", "40-44", "45-49", "50-54", "55-59", "60-64", "65-69", "70-74", "75-79", "80-84", "85+")</f>
        <v>25-29</v>
      </c>
      <c r="D9520" t="s">
        <v>7</v>
      </c>
    </row>
    <row r="9521" spans="1:4">
      <c r="A9521" t="s">
        <v>6</v>
      </c>
      <c r="B9521">
        <v>42</v>
      </c>
      <c r="C9521" t="str">
        <f>CHOOSE(MATCH(B9521, {20,25,30,35,40,45,50,55,60,65,70,75,80,85}, 1), "20-24", "25-29", "30-34", "35-39", "40-44", "45-49", "50-54", "55-59", "60-64", "65-69", "70-74", "75-79", "80-84", "85+")</f>
        <v>40-44</v>
      </c>
      <c r="D9521" t="s">
        <v>7</v>
      </c>
    </row>
    <row r="9522" spans="1:4">
      <c r="A9522" t="s">
        <v>6</v>
      </c>
      <c r="B9522">
        <v>44</v>
      </c>
      <c r="C9522" t="str">
        <f>CHOOSE(MATCH(B9522, {20,25,30,35,40,45,50,55,60,65,70,75,80,85}, 1), "20-24", "25-29", "30-34", "35-39", "40-44", "45-49", "50-54", "55-59", "60-64", "65-69", "70-74", "75-79", "80-84", "85+")</f>
        <v>40-44</v>
      </c>
      <c r="D9522" t="s">
        <v>7</v>
      </c>
    </row>
    <row r="9523" spans="1:4">
      <c r="A9523" t="s">
        <v>6</v>
      </c>
      <c r="B9523">
        <v>43</v>
      </c>
      <c r="C9523" t="str">
        <f>CHOOSE(MATCH(B9523, {20,25,30,35,40,45,50,55,60,65,70,75,80,85}, 1), "20-24", "25-29", "30-34", "35-39", "40-44", "45-49", "50-54", "55-59", "60-64", "65-69", "70-74", "75-79", "80-84", "85+")</f>
        <v>40-44</v>
      </c>
      <c r="D9523" t="s">
        <v>8</v>
      </c>
    </row>
    <row r="9524" spans="1:4">
      <c r="A9524" t="s">
        <v>6</v>
      </c>
      <c r="B9524">
        <v>49</v>
      </c>
      <c r="C9524" t="str">
        <f>CHOOSE(MATCH(B9524, {20,25,30,35,40,45,50,55,60,65,70,75,80,85}, 1), "20-24", "25-29", "30-34", "35-39", "40-44", "45-49", "50-54", "55-59", "60-64", "65-69", "70-74", "75-79", "80-84", "85+")</f>
        <v>45-49</v>
      </c>
      <c r="D9524" t="s">
        <v>8</v>
      </c>
    </row>
    <row r="9525" spans="1:4">
      <c r="A9525" t="s">
        <v>6</v>
      </c>
      <c r="B9525">
        <v>27</v>
      </c>
      <c r="C9525" t="str">
        <f>CHOOSE(MATCH(B9525, {20,25,30,35,40,45,50,55,60,65,70,75,80,85}, 1), "20-24", "25-29", "30-34", "35-39", "40-44", "45-49", "50-54", "55-59", "60-64", "65-69", "70-74", "75-79", "80-84", "85+")</f>
        <v>25-29</v>
      </c>
      <c r="D9525" t="s">
        <v>7</v>
      </c>
    </row>
    <row r="9526" spans="1:4">
      <c r="A9526" t="s">
        <v>6</v>
      </c>
      <c r="B9526">
        <v>32</v>
      </c>
      <c r="C9526" t="str">
        <f>CHOOSE(MATCH(B9526, {20,25,30,35,40,45,50,55,60,65,70,75,80,85}, 1), "20-24", "25-29", "30-34", "35-39", "40-44", "45-49", "50-54", "55-59", "60-64", "65-69", "70-74", "75-79", "80-84", "85+")</f>
        <v>30-34</v>
      </c>
      <c r="D9526" t="s">
        <v>8</v>
      </c>
    </row>
    <row r="9527" spans="1:4">
      <c r="A9527" t="s">
        <v>6</v>
      </c>
      <c r="B9527">
        <v>71</v>
      </c>
      <c r="C9527" t="str">
        <f>CHOOSE(MATCH(B9527, {20,25,30,35,40,45,50,55,60,65,70,75,80,85}, 1), "20-24", "25-29", "30-34", "35-39", "40-44", "45-49", "50-54", "55-59", "60-64", "65-69", "70-74", "75-79", "80-84", "85+")</f>
        <v>70-74</v>
      </c>
      <c r="D9527" t="s">
        <v>7</v>
      </c>
    </row>
    <row r="9528" spans="1:4">
      <c r="A9528" t="s">
        <v>6</v>
      </c>
      <c r="B9528">
        <v>25</v>
      </c>
      <c r="C9528" t="str">
        <f>CHOOSE(MATCH(B9528, {20,25,30,35,40,45,50,55,60,65,70,75,80,85}, 1), "20-24", "25-29", "30-34", "35-39", "40-44", "45-49", "50-54", "55-59", "60-64", "65-69", "70-74", "75-79", "80-84", "85+")</f>
        <v>25-29</v>
      </c>
      <c r="D9528" t="s">
        <v>7</v>
      </c>
    </row>
    <row r="9529" spans="1:4">
      <c r="A9529" t="s">
        <v>6</v>
      </c>
      <c r="B9529">
        <v>76</v>
      </c>
      <c r="C9529" t="str">
        <f>CHOOSE(MATCH(B9529, {20,25,30,35,40,45,50,55,60,65,70,75,80,85}, 1), "20-24", "25-29", "30-34", "35-39", "40-44", "45-49", "50-54", "55-59", "60-64", "65-69", "70-74", "75-79", "80-84", "85+")</f>
        <v>75-79</v>
      </c>
      <c r="D9529" t="s">
        <v>7</v>
      </c>
    </row>
    <row r="9530" spans="1:4">
      <c r="A9530" t="s">
        <v>6</v>
      </c>
      <c r="B9530">
        <v>57</v>
      </c>
      <c r="C9530" t="str">
        <f>CHOOSE(MATCH(B9530, {20,25,30,35,40,45,50,55,60,65,70,75,80,85}, 1), "20-24", "25-29", "30-34", "35-39", "40-44", "45-49", "50-54", "55-59", "60-64", "65-69", "70-74", "75-79", "80-84", "85+")</f>
        <v>55-59</v>
      </c>
      <c r="D9530" t="s">
        <v>7</v>
      </c>
    </row>
    <row r="9531" spans="1:4">
      <c r="A9531" t="s">
        <v>6</v>
      </c>
      <c r="B9531">
        <v>42</v>
      </c>
      <c r="C9531" t="str">
        <f>CHOOSE(MATCH(B9531, {20,25,30,35,40,45,50,55,60,65,70,75,80,85}, 1), "20-24", "25-29", "30-34", "35-39", "40-44", "45-49", "50-54", "55-59", "60-64", "65-69", "70-74", "75-79", "80-84", "85+")</f>
        <v>40-44</v>
      </c>
      <c r="D9531" t="s">
        <v>8</v>
      </c>
    </row>
    <row r="9532" spans="1:4">
      <c r="A9532" t="s">
        <v>6</v>
      </c>
      <c r="B9532">
        <v>38</v>
      </c>
      <c r="C9532" t="str">
        <f>CHOOSE(MATCH(B9532, {20,25,30,35,40,45,50,55,60,65,70,75,80,85}, 1), "20-24", "25-29", "30-34", "35-39", "40-44", "45-49", "50-54", "55-59", "60-64", "65-69", "70-74", "75-79", "80-84", "85+")</f>
        <v>35-39</v>
      </c>
      <c r="D9532" t="s">
        <v>8</v>
      </c>
    </row>
    <row r="9533" spans="1:4">
      <c r="A9533" t="s">
        <v>6</v>
      </c>
      <c r="B9533">
        <v>44</v>
      </c>
      <c r="C9533" t="str">
        <f>CHOOSE(MATCH(B9533, {20,25,30,35,40,45,50,55,60,65,70,75,80,85}, 1), "20-24", "25-29", "30-34", "35-39", "40-44", "45-49", "50-54", "55-59", "60-64", "65-69", "70-74", "75-79", "80-84", "85+")</f>
        <v>40-44</v>
      </c>
      <c r="D9533" t="s">
        <v>7</v>
      </c>
    </row>
    <row r="9534" spans="1:4">
      <c r="A9534" t="s">
        <v>6</v>
      </c>
      <c r="B9534">
        <v>70</v>
      </c>
      <c r="C9534" t="str">
        <f>CHOOSE(MATCH(B9534, {20,25,30,35,40,45,50,55,60,65,70,75,80,85}, 1), "20-24", "25-29", "30-34", "35-39", "40-44", "45-49", "50-54", "55-59", "60-64", "65-69", "70-74", "75-79", "80-84", "85+")</f>
        <v>70-74</v>
      </c>
      <c r="D9534" t="s">
        <v>8</v>
      </c>
    </row>
    <row r="9535" spans="1:4">
      <c r="A9535" t="s">
        <v>6</v>
      </c>
      <c r="B9535">
        <v>59</v>
      </c>
      <c r="C9535" t="str">
        <f>CHOOSE(MATCH(B9535, {20,25,30,35,40,45,50,55,60,65,70,75,80,85}, 1), "20-24", "25-29", "30-34", "35-39", "40-44", "45-49", "50-54", "55-59", "60-64", "65-69", "70-74", "75-79", "80-84", "85+")</f>
        <v>55-59</v>
      </c>
      <c r="D9535" t="s">
        <v>7</v>
      </c>
    </row>
    <row r="9536" spans="1:4">
      <c r="A9536" t="s">
        <v>6</v>
      </c>
      <c r="B9536">
        <v>25</v>
      </c>
      <c r="C9536" t="str">
        <f>CHOOSE(MATCH(B9536, {20,25,30,35,40,45,50,55,60,65,70,75,80,85}, 1), "20-24", "25-29", "30-34", "35-39", "40-44", "45-49", "50-54", "55-59", "60-64", "65-69", "70-74", "75-79", "80-84", "85+")</f>
        <v>25-29</v>
      </c>
      <c r="D9536" t="s">
        <v>7</v>
      </c>
    </row>
    <row r="9537" spans="1:4">
      <c r="A9537" t="s">
        <v>6</v>
      </c>
      <c r="B9537">
        <v>33</v>
      </c>
      <c r="C9537" t="str">
        <f>CHOOSE(MATCH(B9537, {20,25,30,35,40,45,50,55,60,65,70,75,80,85}, 1), "20-24", "25-29", "30-34", "35-39", "40-44", "45-49", "50-54", "55-59", "60-64", "65-69", "70-74", "75-79", "80-84", "85+")</f>
        <v>30-34</v>
      </c>
      <c r="D9537" t="s">
        <v>8</v>
      </c>
    </row>
    <row r="9538" spans="1:4">
      <c r="A9538" t="s">
        <v>6</v>
      </c>
      <c r="B9538">
        <v>42</v>
      </c>
      <c r="C9538" t="str">
        <f>CHOOSE(MATCH(B9538, {20,25,30,35,40,45,50,55,60,65,70,75,80,85}, 1), "20-24", "25-29", "30-34", "35-39", "40-44", "45-49", "50-54", "55-59", "60-64", "65-69", "70-74", "75-79", "80-84", "85+")</f>
        <v>40-44</v>
      </c>
      <c r="D9538" t="s">
        <v>7</v>
      </c>
    </row>
    <row r="9539" spans="1:4">
      <c r="A9539" t="s">
        <v>6</v>
      </c>
      <c r="B9539">
        <v>64</v>
      </c>
      <c r="C9539" t="str">
        <f>CHOOSE(MATCH(B9539, {20,25,30,35,40,45,50,55,60,65,70,75,80,85}, 1), "20-24", "25-29", "30-34", "35-39", "40-44", "45-49", "50-54", "55-59", "60-64", "65-69", "70-74", "75-79", "80-84", "85+")</f>
        <v>60-64</v>
      </c>
      <c r="D9539" t="s">
        <v>7</v>
      </c>
    </row>
    <row r="9540" spans="1:4">
      <c r="A9540" t="s">
        <v>6</v>
      </c>
      <c r="B9540">
        <v>28</v>
      </c>
      <c r="C9540" t="str">
        <f>CHOOSE(MATCH(B9540, {20,25,30,35,40,45,50,55,60,65,70,75,80,85}, 1), "20-24", "25-29", "30-34", "35-39", "40-44", "45-49", "50-54", "55-59", "60-64", "65-69", "70-74", "75-79", "80-84", "85+")</f>
        <v>25-29</v>
      </c>
      <c r="D9540" t="s">
        <v>8</v>
      </c>
    </row>
    <row r="9541" spans="1:4">
      <c r="A9541" t="s">
        <v>6</v>
      </c>
      <c r="B9541">
        <v>42</v>
      </c>
      <c r="C9541" t="str">
        <f>CHOOSE(MATCH(B9541, {20,25,30,35,40,45,50,55,60,65,70,75,80,85}, 1), "20-24", "25-29", "30-34", "35-39", "40-44", "45-49", "50-54", "55-59", "60-64", "65-69", "70-74", "75-79", "80-84", "85+")</f>
        <v>40-44</v>
      </c>
      <c r="D9541" t="s">
        <v>7</v>
      </c>
    </row>
    <row r="9542" spans="1:4">
      <c r="A9542" t="s">
        <v>6</v>
      </c>
      <c r="B9542">
        <v>36</v>
      </c>
      <c r="C9542" t="str">
        <f>CHOOSE(MATCH(B9542, {20,25,30,35,40,45,50,55,60,65,70,75,80,85}, 1), "20-24", "25-29", "30-34", "35-39", "40-44", "45-49", "50-54", "55-59", "60-64", "65-69", "70-74", "75-79", "80-84", "85+")</f>
        <v>35-39</v>
      </c>
      <c r="D9542" t="s">
        <v>7</v>
      </c>
    </row>
    <row r="9543" spans="1:4">
      <c r="A9543" t="s">
        <v>6</v>
      </c>
      <c r="B9543">
        <v>33</v>
      </c>
      <c r="C9543" t="str">
        <f>CHOOSE(MATCH(B9543, {20,25,30,35,40,45,50,55,60,65,70,75,80,85}, 1), "20-24", "25-29", "30-34", "35-39", "40-44", "45-49", "50-54", "55-59", "60-64", "65-69", "70-74", "75-79", "80-84", "85+")</f>
        <v>30-34</v>
      </c>
      <c r="D9543" t="s">
        <v>8</v>
      </c>
    </row>
    <row r="9544" spans="1:4">
      <c r="A9544" t="s">
        <v>6</v>
      </c>
      <c r="B9544">
        <v>26</v>
      </c>
      <c r="C9544" t="str">
        <f>CHOOSE(MATCH(B9544, {20,25,30,35,40,45,50,55,60,65,70,75,80,85}, 1), "20-24", "25-29", "30-34", "35-39", "40-44", "45-49", "50-54", "55-59", "60-64", "65-69", "70-74", "75-79", "80-84", "85+")</f>
        <v>25-29</v>
      </c>
      <c r="D9544" t="s">
        <v>7</v>
      </c>
    </row>
    <row r="9545" spans="1:4">
      <c r="A9545" t="s">
        <v>6</v>
      </c>
      <c r="B9545">
        <v>42</v>
      </c>
      <c r="C9545" t="str">
        <f>CHOOSE(MATCH(B9545, {20,25,30,35,40,45,50,55,60,65,70,75,80,85}, 1), "20-24", "25-29", "30-34", "35-39", "40-44", "45-49", "50-54", "55-59", "60-64", "65-69", "70-74", "75-79", "80-84", "85+")</f>
        <v>40-44</v>
      </c>
      <c r="D9545" t="s">
        <v>7</v>
      </c>
    </row>
    <row r="9546" spans="1:4">
      <c r="A9546" t="s">
        <v>6</v>
      </c>
      <c r="B9546">
        <v>53</v>
      </c>
      <c r="C9546" t="str">
        <f>CHOOSE(MATCH(B9546, {20,25,30,35,40,45,50,55,60,65,70,75,80,85}, 1), "20-24", "25-29", "30-34", "35-39", "40-44", "45-49", "50-54", "55-59", "60-64", "65-69", "70-74", "75-79", "80-84", "85+")</f>
        <v>50-54</v>
      </c>
      <c r="D9546" t="s">
        <v>7</v>
      </c>
    </row>
    <row r="9547" spans="1:4">
      <c r="A9547" t="s">
        <v>6</v>
      </c>
      <c r="B9547">
        <v>52</v>
      </c>
      <c r="C9547" t="str">
        <f>CHOOSE(MATCH(B9547, {20,25,30,35,40,45,50,55,60,65,70,75,80,85}, 1), "20-24", "25-29", "30-34", "35-39", "40-44", "45-49", "50-54", "55-59", "60-64", "65-69", "70-74", "75-79", "80-84", "85+")</f>
        <v>50-54</v>
      </c>
      <c r="D9547" t="s">
        <v>7</v>
      </c>
    </row>
    <row r="9548" spans="1:4">
      <c r="A9548" t="s">
        <v>6</v>
      </c>
      <c r="B9548">
        <v>21</v>
      </c>
      <c r="C9548" t="str">
        <f>CHOOSE(MATCH(B9548, {20,25,30,35,40,45,50,55,60,65,70,75,80,85}, 1), "20-24", "25-29", "30-34", "35-39", "40-44", "45-49", "50-54", "55-59", "60-64", "65-69", "70-74", "75-79", "80-84", "85+")</f>
        <v>20-24</v>
      </c>
      <c r="D9548" t="s">
        <v>7</v>
      </c>
    </row>
    <row r="9549" spans="1:4">
      <c r="A9549" t="s">
        <v>6</v>
      </c>
      <c r="B9549">
        <v>33</v>
      </c>
      <c r="C9549" t="str">
        <f>CHOOSE(MATCH(B9549, {20,25,30,35,40,45,50,55,60,65,70,75,80,85}, 1), "20-24", "25-29", "30-34", "35-39", "40-44", "45-49", "50-54", "55-59", "60-64", "65-69", "70-74", "75-79", "80-84", "85+")</f>
        <v>30-34</v>
      </c>
      <c r="D9549" t="s">
        <v>8</v>
      </c>
    </row>
    <row r="9550" spans="1:4">
      <c r="A9550" t="s">
        <v>6</v>
      </c>
      <c r="B9550">
        <v>58</v>
      </c>
      <c r="C9550" t="str">
        <f>CHOOSE(MATCH(B9550, {20,25,30,35,40,45,50,55,60,65,70,75,80,85}, 1), "20-24", "25-29", "30-34", "35-39", "40-44", "45-49", "50-54", "55-59", "60-64", "65-69", "70-74", "75-79", "80-84", "85+")</f>
        <v>55-59</v>
      </c>
      <c r="D9550" t="s">
        <v>7</v>
      </c>
    </row>
    <row r="9551" spans="1:4">
      <c r="A9551" t="s">
        <v>6</v>
      </c>
      <c r="B9551">
        <v>30</v>
      </c>
      <c r="C9551" t="str">
        <f>CHOOSE(MATCH(B9551, {20,25,30,35,40,45,50,55,60,65,70,75,80,85}, 1), "20-24", "25-29", "30-34", "35-39", "40-44", "45-49", "50-54", "55-59", "60-64", "65-69", "70-74", "75-79", "80-84", "85+")</f>
        <v>30-34</v>
      </c>
      <c r="D9551" t="s">
        <v>7</v>
      </c>
    </row>
    <row r="9552" spans="1:4">
      <c r="A9552" t="s">
        <v>6</v>
      </c>
      <c r="B9552">
        <v>29</v>
      </c>
      <c r="C9552" t="str">
        <f>CHOOSE(MATCH(B9552, {20,25,30,35,40,45,50,55,60,65,70,75,80,85}, 1), "20-24", "25-29", "30-34", "35-39", "40-44", "45-49", "50-54", "55-59", "60-64", "65-69", "70-74", "75-79", "80-84", "85+")</f>
        <v>25-29</v>
      </c>
      <c r="D9552" t="s">
        <v>8</v>
      </c>
    </row>
    <row r="9553" spans="1:4">
      <c r="A9553" t="s">
        <v>6</v>
      </c>
      <c r="B9553">
        <v>55</v>
      </c>
      <c r="C9553" t="str">
        <f>CHOOSE(MATCH(B9553, {20,25,30,35,40,45,50,55,60,65,70,75,80,85}, 1), "20-24", "25-29", "30-34", "35-39", "40-44", "45-49", "50-54", "55-59", "60-64", "65-69", "70-74", "75-79", "80-84", "85+")</f>
        <v>55-59</v>
      </c>
      <c r="D9553" t="s">
        <v>7</v>
      </c>
    </row>
    <row r="9554" spans="1:4">
      <c r="A9554" t="s">
        <v>6</v>
      </c>
      <c r="B9554">
        <v>39</v>
      </c>
      <c r="C9554" t="str">
        <f>CHOOSE(MATCH(B9554, {20,25,30,35,40,45,50,55,60,65,70,75,80,85}, 1), "20-24", "25-29", "30-34", "35-39", "40-44", "45-49", "50-54", "55-59", "60-64", "65-69", "70-74", "75-79", "80-84", "85+")</f>
        <v>35-39</v>
      </c>
      <c r="D9554" t="s">
        <v>7</v>
      </c>
    </row>
    <row r="9555" spans="1:4">
      <c r="A9555" t="s">
        <v>6</v>
      </c>
      <c r="B9555">
        <v>31</v>
      </c>
      <c r="C9555" t="str">
        <f>CHOOSE(MATCH(B9555, {20,25,30,35,40,45,50,55,60,65,70,75,80,85}, 1), "20-24", "25-29", "30-34", "35-39", "40-44", "45-49", "50-54", "55-59", "60-64", "65-69", "70-74", "75-79", "80-84", "85+")</f>
        <v>30-34</v>
      </c>
      <c r="D9555" t="s">
        <v>7</v>
      </c>
    </row>
    <row r="9556" spans="1:4">
      <c r="A9556" t="s">
        <v>6</v>
      </c>
      <c r="B9556">
        <v>60</v>
      </c>
      <c r="C9556" t="str">
        <f>CHOOSE(MATCH(B9556, {20,25,30,35,40,45,50,55,60,65,70,75,80,85}, 1), "20-24", "25-29", "30-34", "35-39", "40-44", "45-49", "50-54", "55-59", "60-64", "65-69", "70-74", "75-79", "80-84", "85+")</f>
        <v>60-64</v>
      </c>
      <c r="D9556" t="s">
        <v>8</v>
      </c>
    </row>
    <row r="9557" spans="1:4">
      <c r="A9557" t="s">
        <v>6</v>
      </c>
      <c r="B9557">
        <v>24</v>
      </c>
      <c r="C9557" t="str">
        <f>CHOOSE(MATCH(B9557, {20,25,30,35,40,45,50,55,60,65,70,75,80,85}, 1), "20-24", "25-29", "30-34", "35-39", "40-44", "45-49", "50-54", "55-59", "60-64", "65-69", "70-74", "75-79", "80-84", "85+")</f>
        <v>20-24</v>
      </c>
      <c r="D9557" t="s">
        <v>7</v>
      </c>
    </row>
    <row r="9558" spans="1:4">
      <c r="A9558" t="s">
        <v>6</v>
      </c>
      <c r="B9558">
        <v>39</v>
      </c>
      <c r="C9558" t="str">
        <f>CHOOSE(MATCH(B9558, {20,25,30,35,40,45,50,55,60,65,70,75,80,85}, 1), "20-24", "25-29", "30-34", "35-39", "40-44", "45-49", "50-54", "55-59", "60-64", "65-69", "70-74", "75-79", "80-84", "85+")</f>
        <v>35-39</v>
      </c>
      <c r="D9558" t="s">
        <v>8</v>
      </c>
    </row>
    <row r="9559" spans="1:4">
      <c r="A9559" t="s">
        <v>6</v>
      </c>
      <c r="B9559">
        <v>34</v>
      </c>
      <c r="C9559" t="str">
        <f>CHOOSE(MATCH(B9559, {20,25,30,35,40,45,50,55,60,65,70,75,80,85}, 1), "20-24", "25-29", "30-34", "35-39", "40-44", "45-49", "50-54", "55-59", "60-64", "65-69", "70-74", "75-79", "80-84", "85+")</f>
        <v>30-34</v>
      </c>
      <c r="D9559" t="s">
        <v>7</v>
      </c>
    </row>
    <row r="9560" spans="1:4">
      <c r="A9560" t="s">
        <v>6</v>
      </c>
      <c r="B9560">
        <v>61</v>
      </c>
      <c r="C9560" t="str">
        <f>CHOOSE(MATCH(B9560, {20,25,30,35,40,45,50,55,60,65,70,75,80,85}, 1), "20-24", "25-29", "30-34", "35-39", "40-44", "45-49", "50-54", "55-59", "60-64", "65-69", "70-74", "75-79", "80-84", "85+")</f>
        <v>60-64</v>
      </c>
      <c r="D9560" t="s">
        <v>8</v>
      </c>
    </row>
    <row r="9561" spans="1:4">
      <c r="A9561" t="s">
        <v>6</v>
      </c>
      <c r="B9561">
        <v>26</v>
      </c>
      <c r="C9561" t="str">
        <f>CHOOSE(MATCH(B9561, {20,25,30,35,40,45,50,55,60,65,70,75,80,85}, 1), "20-24", "25-29", "30-34", "35-39", "40-44", "45-49", "50-54", "55-59", "60-64", "65-69", "70-74", "75-79", "80-84", "85+")</f>
        <v>25-29</v>
      </c>
      <c r="D9561" t="s">
        <v>8</v>
      </c>
    </row>
    <row r="9562" spans="1:4">
      <c r="A9562" t="s">
        <v>6</v>
      </c>
      <c r="B9562">
        <v>77</v>
      </c>
      <c r="C9562" t="str">
        <f>CHOOSE(MATCH(B9562, {20,25,30,35,40,45,50,55,60,65,70,75,80,85}, 1), "20-24", "25-29", "30-34", "35-39", "40-44", "45-49", "50-54", "55-59", "60-64", "65-69", "70-74", "75-79", "80-84", "85+")</f>
        <v>75-79</v>
      </c>
      <c r="D9562" t="s">
        <v>7</v>
      </c>
    </row>
    <row r="9563" spans="1:4">
      <c r="A9563" t="s">
        <v>6</v>
      </c>
      <c r="B9563">
        <v>40</v>
      </c>
      <c r="C9563" t="str">
        <f>CHOOSE(MATCH(B9563, {20,25,30,35,40,45,50,55,60,65,70,75,80,85}, 1), "20-24", "25-29", "30-34", "35-39", "40-44", "45-49", "50-54", "55-59", "60-64", "65-69", "70-74", "75-79", "80-84", "85+")</f>
        <v>40-44</v>
      </c>
      <c r="D9563" t="s">
        <v>8</v>
      </c>
    </row>
    <row r="9564" spans="1:4">
      <c r="A9564" t="s">
        <v>6</v>
      </c>
      <c r="B9564">
        <v>33</v>
      </c>
      <c r="C9564" t="str">
        <f>CHOOSE(MATCH(B9564, {20,25,30,35,40,45,50,55,60,65,70,75,80,85}, 1), "20-24", "25-29", "30-34", "35-39", "40-44", "45-49", "50-54", "55-59", "60-64", "65-69", "70-74", "75-79", "80-84", "85+")</f>
        <v>30-34</v>
      </c>
      <c r="D9564" t="s">
        <v>7</v>
      </c>
    </row>
    <row r="9565" spans="1:4">
      <c r="A9565" t="s">
        <v>6</v>
      </c>
      <c r="B9565">
        <v>35</v>
      </c>
      <c r="C9565" t="str">
        <f>CHOOSE(MATCH(B9565, {20,25,30,35,40,45,50,55,60,65,70,75,80,85}, 1), "20-24", "25-29", "30-34", "35-39", "40-44", "45-49", "50-54", "55-59", "60-64", "65-69", "70-74", "75-79", "80-84", "85+")</f>
        <v>35-39</v>
      </c>
      <c r="D9565" t="s">
        <v>7</v>
      </c>
    </row>
    <row r="9566" spans="1:4">
      <c r="A9566" t="s">
        <v>6</v>
      </c>
      <c r="B9566">
        <v>90</v>
      </c>
      <c r="C9566" t="str">
        <f>CHOOSE(MATCH(B9566, {20,25,30,35,40,45,50,55,60,65,70,75,80,85}, 1), "20-24", "25-29", "30-34", "35-39", "40-44", "45-49", "50-54", "55-59", "60-64", "65-69", "70-74", "75-79", "80-84", "85+")</f>
        <v>85+</v>
      </c>
      <c r="D9566" t="s">
        <v>7</v>
      </c>
    </row>
    <row r="9567" spans="1:4">
      <c r="A9567" t="s">
        <v>6</v>
      </c>
      <c r="B9567">
        <v>62</v>
      </c>
      <c r="C9567" t="str">
        <f>CHOOSE(MATCH(B9567, {20,25,30,35,40,45,50,55,60,65,70,75,80,85}, 1), "20-24", "25-29", "30-34", "35-39", "40-44", "45-49", "50-54", "55-59", "60-64", "65-69", "70-74", "75-79", "80-84", "85+")</f>
        <v>60-64</v>
      </c>
      <c r="D9567" t="s">
        <v>7</v>
      </c>
    </row>
    <row r="9568" spans="1:4">
      <c r="A9568" t="s">
        <v>6</v>
      </c>
      <c r="B9568">
        <v>29</v>
      </c>
      <c r="C9568" t="str">
        <f>CHOOSE(MATCH(B9568, {20,25,30,35,40,45,50,55,60,65,70,75,80,85}, 1), "20-24", "25-29", "30-34", "35-39", "40-44", "45-49", "50-54", "55-59", "60-64", "65-69", "70-74", "75-79", "80-84", "85+")</f>
        <v>25-29</v>
      </c>
      <c r="D9568" t="s">
        <v>8</v>
      </c>
    </row>
    <row r="9569" spans="1:4">
      <c r="A9569" t="s">
        <v>6</v>
      </c>
      <c r="B9569">
        <v>32</v>
      </c>
      <c r="C9569" t="str">
        <f>CHOOSE(MATCH(B9569, {20,25,30,35,40,45,50,55,60,65,70,75,80,85}, 1), "20-24", "25-29", "30-34", "35-39", "40-44", "45-49", "50-54", "55-59", "60-64", "65-69", "70-74", "75-79", "80-84", "85+")</f>
        <v>30-34</v>
      </c>
      <c r="D9569" t="s">
        <v>8</v>
      </c>
    </row>
    <row r="9570" spans="1:4">
      <c r="A9570" t="s">
        <v>6</v>
      </c>
      <c r="B9570">
        <v>38</v>
      </c>
      <c r="C9570" t="str">
        <f>CHOOSE(MATCH(B9570, {20,25,30,35,40,45,50,55,60,65,70,75,80,85}, 1), "20-24", "25-29", "30-34", "35-39", "40-44", "45-49", "50-54", "55-59", "60-64", "65-69", "70-74", "75-79", "80-84", "85+")</f>
        <v>35-39</v>
      </c>
      <c r="D9570" t="s">
        <v>7</v>
      </c>
    </row>
    <row r="9571" spans="1:4">
      <c r="A9571" t="s">
        <v>6</v>
      </c>
      <c r="B9571">
        <v>25</v>
      </c>
      <c r="C9571" t="str">
        <f>CHOOSE(MATCH(B9571, {20,25,30,35,40,45,50,55,60,65,70,75,80,85}, 1), "20-24", "25-29", "30-34", "35-39", "40-44", "45-49", "50-54", "55-59", "60-64", "65-69", "70-74", "75-79", "80-84", "85+")</f>
        <v>25-29</v>
      </c>
      <c r="D9571" t="s">
        <v>7</v>
      </c>
    </row>
    <row r="9572" spans="1:4">
      <c r="A9572" t="s">
        <v>6</v>
      </c>
      <c r="B9572">
        <v>78</v>
      </c>
      <c r="C9572" t="str">
        <f>CHOOSE(MATCH(B9572, {20,25,30,35,40,45,50,55,60,65,70,75,80,85}, 1), "20-24", "25-29", "30-34", "35-39", "40-44", "45-49", "50-54", "55-59", "60-64", "65-69", "70-74", "75-79", "80-84", "85+")</f>
        <v>75-79</v>
      </c>
      <c r="D9572" t="s">
        <v>8</v>
      </c>
    </row>
    <row r="9573" spans="1:4">
      <c r="A9573" t="s">
        <v>6</v>
      </c>
      <c r="B9573">
        <v>66</v>
      </c>
      <c r="C9573" t="str">
        <f>CHOOSE(MATCH(B9573, {20,25,30,35,40,45,50,55,60,65,70,75,80,85}, 1), "20-24", "25-29", "30-34", "35-39", "40-44", "45-49", "50-54", "55-59", "60-64", "65-69", "70-74", "75-79", "80-84", "85+")</f>
        <v>65-69</v>
      </c>
      <c r="D9573" t="s">
        <v>8</v>
      </c>
    </row>
    <row r="9574" spans="1:4">
      <c r="A9574" t="s">
        <v>6</v>
      </c>
      <c r="B9574">
        <v>48</v>
      </c>
      <c r="C9574" t="str">
        <f>CHOOSE(MATCH(B9574, {20,25,30,35,40,45,50,55,60,65,70,75,80,85}, 1), "20-24", "25-29", "30-34", "35-39", "40-44", "45-49", "50-54", "55-59", "60-64", "65-69", "70-74", "75-79", "80-84", "85+")</f>
        <v>45-49</v>
      </c>
      <c r="D9574" t="s">
        <v>7</v>
      </c>
    </row>
    <row r="9575" spans="1:4">
      <c r="A9575" t="s">
        <v>6</v>
      </c>
      <c r="B9575">
        <v>46</v>
      </c>
      <c r="C9575" t="str">
        <f>CHOOSE(MATCH(B9575, {20,25,30,35,40,45,50,55,60,65,70,75,80,85}, 1), "20-24", "25-29", "30-34", "35-39", "40-44", "45-49", "50-54", "55-59", "60-64", "65-69", "70-74", "75-79", "80-84", "85+")</f>
        <v>45-49</v>
      </c>
      <c r="D9575" t="s">
        <v>8</v>
      </c>
    </row>
    <row r="9576" spans="1:4">
      <c r="A9576" t="s">
        <v>6</v>
      </c>
      <c r="B9576">
        <v>85</v>
      </c>
      <c r="C9576" t="str">
        <f>CHOOSE(MATCH(B9576, {20,25,30,35,40,45,50,55,60,65,70,75,80,85}, 1), "20-24", "25-29", "30-34", "35-39", "40-44", "45-49", "50-54", "55-59", "60-64", "65-69", "70-74", "75-79", "80-84", "85+")</f>
        <v>85+</v>
      </c>
      <c r="D9576" t="s">
        <v>7</v>
      </c>
    </row>
    <row r="9577" spans="1:4">
      <c r="A9577" t="s">
        <v>6</v>
      </c>
      <c r="B9577">
        <v>25</v>
      </c>
      <c r="C9577" t="str">
        <f>CHOOSE(MATCH(B9577, {20,25,30,35,40,45,50,55,60,65,70,75,80,85}, 1), "20-24", "25-29", "30-34", "35-39", "40-44", "45-49", "50-54", "55-59", "60-64", "65-69", "70-74", "75-79", "80-84", "85+")</f>
        <v>25-29</v>
      </c>
      <c r="D9577" t="s">
        <v>7</v>
      </c>
    </row>
    <row r="9578" spans="1:4">
      <c r="A9578" t="s">
        <v>6</v>
      </c>
      <c r="B9578">
        <v>38</v>
      </c>
      <c r="C9578" t="str">
        <f>CHOOSE(MATCH(B9578, {20,25,30,35,40,45,50,55,60,65,70,75,80,85}, 1), "20-24", "25-29", "30-34", "35-39", "40-44", "45-49", "50-54", "55-59", "60-64", "65-69", "70-74", "75-79", "80-84", "85+")</f>
        <v>35-39</v>
      </c>
      <c r="D9578" t="s">
        <v>7</v>
      </c>
    </row>
    <row r="9579" spans="1:4">
      <c r="A9579" t="s">
        <v>6</v>
      </c>
      <c r="B9579">
        <v>47</v>
      </c>
      <c r="C9579" t="str">
        <f>CHOOSE(MATCH(B9579, {20,25,30,35,40,45,50,55,60,65,70,75,80,85}, 1), "20-24", "25-29", "30-34", "35-39", "40-44", "45-49", "50-54", "55-59", "60-64", "65-69", "70-74", "75-79", "80-84", "85+")</f>
        <v>45-49</v>
      </c>
      <c r="D9579" t="s">
        <v>7</v>
      </c>
    </row>
    <row r="9580" spans="1:4">
      <c r="A9580" t="s">
        <v>6</v>
      </c>
      <c r="B9580">
        <v>24</v>
      </c>
      <c r="C9580" t="str">
        <f>CHOOSE(MATCH(B9580, {20,25,30,35,40,45,50,55,60,65,70,75,80,85}, 1), "20-24", "25-29", "30-34", "35-39", "40-44", "45-49", "50-54", "55-59", "60-64", "65-69", "70-74", "75-79", "80-84", "85+")</f>
        <v>20-24</v>
      </c>
      <c r="D9580" t="s">
        <v>7</v>
      </c>
    </row>
    <row r="9581" spans="1:4">
      <c r="A9581" t="s">
        <v>6</v>
      </c>
      <c r="B9581">
        <v>34</v>
      </c>
      <c r="C9581" t="str">
        <f>CHOOSE(MATCH(B9581, {20,25,30,35,40,45,50,55,60,65,70,75,80,85}, 1), "20-24", "25-29", "30-34", "35-39", "40-44", "45-49", "50-54", "55-59", "60-64", "65-69", "70-74", "75-79", "80-84", "85+")</f>
        <v>30-34</v>
      </c>
      <c r="D9581" t="s">
        <v>7</v>
      </c>
    </row>
    <row r="9582" spans="1:4">
      <c r="A9582" t="s">
        <v>6</v>
      </c>
      <c r="B9582">
        <v>74</v>
      </c>
      <c r="C9582" t="str">
        <f>CHOOSE(MATCH(B9582, {20,25,30,35,40,45,50,55,60,65,70,75,80,85}, 1), "20-24", "25-29", "30-34", "35-39", "40-44", "45-49", "50-54", "55-59", "60-64", "65-69", "70-74", "75-79", "80-84", "85+")</f>
        <v>70-74</v>
      </c>
      <c r="D9582" t="s">
        <v>8</v>
      </c>
    </row>
    <row r="9583" spans="1:4">
      <c r="A9583" t="s">
        <v>6</v>
      </c>
      <c r="B9583">
        <v>48</v>
      </c>
      <c r="C9583" t="str">
        <f>CHOOSE(MATCH(B9583, {20,25,30,35,40,45,50,55,60,65,70,75,80,85}, 1), "20-24", "25-29", "30-34", "35-39", "40-44", "45-49", "50-54", "55-59", "60-64", "65-69", "70-74", "75-79", "80-84", "85+")</f>
        <v>45-49</v>
      </c>
      <c r="D9583" t="s">
        <v>7</v>
      </c>
    </row>
    <row r="9584" spans="1:4">
      <c r="A9584" t="s">
        <v>6</v>
      </c>
      <c r="B9584">
        <v>51</v>
      </c>
      <c r="C9584" t="str">
        <f>CHOOSE(MATCH(B9584, {20,25,30,35,40,45,50,55,60,65,70,75,80,85}, 1), "20-24", "25-29", "30-34", "35-39", "40-44", "45-49", "50-54", "55-59", "60-64", "65-69", "70-74", "75-79", "80-84", "85+")</f>
        <v>50-54</v>
      </c>
      <c r="D9584" t="s">
        <v>7</v>
      </c>
    </row>
    <row r="9585" spans="1:4">
      <c r="A9585" t="s">
        <v>6</v>
      </c>
      <c r="B9585">
        <v>31</v>
      </c>
      <c r="C9585" t="str">
        <f>CHOOSE(MATCH(B9585, {20,25,30,35,40,45,50,55,60,65,70,75,80,85}, 1), "20-24", "25-29", "30-34", "35-39", "40-44", "45-49", "50-54", "55-59", "60-64", "65-69", "70-74", "75-79", "80-84", "85+")</f>
        <v>30-34</v>
      </c>
      <c r="D9585" t="s">
        <v>7</v>
      </c>
    </row>
    <row r="9586" spans="1:4">
      <c r="A9586" t="s">
        <v>6</v>
      </c>
      <c r="B9586">
        <v>53</v>
      </c>
      <c r="C9586" t="str">
        <f>CHOOSE(MATCH(B9586, {20,25,30,35,40,45,50,55,60,65,70,75,80,85}, 1), "20-24", "25-29", "30-34", "35-39", "40-44", "45-49", "50-54", "55-59", "60-64", "65-69", "70-74", "75-79", "80-84", "85+")</f>
        <v>50-54</v>
      </c>
      <c r="D9586" t="s">
        <v>7</v>
      </c>
    </row>
    <row r="9587" spans="1:4">
      <c r="A9587" t="s">
        <v>6</v>
      </c>
      <c r="B9587">
        <v>34</v>
      </c>
      <c r="C9587" t="str">
        <f>CHOOSE(MATCH(B9587, {20,25,30,35,40,45,50,55,60,65,70,75,80,85}, 1), "20-24", "25-29", "30-34", "35-39", "40-44", "45-49", "50-54", "55-59", "60-64", "65-69", "70-74", "75-79", "80-84", "85+")</f>
        <v>30-34</v>
      </c>
      <c r="D9587" t="s">
        <v>7</v>
      </c>
    </row>
    <row r="9588" spans="1:4">
      <c r="A9588" t="s">
        <v>6</v>
      </c>
      <c r="B9588">
        <v>55</v>
      </c>
      <c r="C9588" t="str">
        <f>CHOOSE(MATCH(B9588, {20,25,30,35,40,45,50,55,60,65,70,75,80,85}, 1), "20-24", "25-29", "30-34", "35-39", "40-44", "45-49", "50-54", "55-59", "60-64", "65-69", "70-74", "75-79", "80-84", "85+")</f>
        <v>55-59</v>
      </c>
      <c r="D9588" t="s">
        <v>7</v>
      </c>
    </row>
    <row r="9589" spans="1:4">
      <c r="A9589" t="s">
        <v>6</v>
      </c>
      <c r="B9589">
        <v>33</v>
      </c>
      <c r="C9589" t="str">
        <f>CHOOSE(MATCH(B9589, {20,25,30,35,40,45,50,55,60,65,70,75,80,85}, 1), "20-24", "25-29", "30-34", "35-39", "40-44", "45-49", "50-54", "55-59", "60-64", "65-69", "70-74", "75-79", "80-84", "85+")</f>
        <v>30-34</v>
      </c>
      <c r="D9589" t="s">
        <v>7</v>
      </c>
    </row>
    <row r="9590" spans="1:4">
      <c r="A9590" t="s">
        <v>6</v>
      </c>
      <c r="B9590">
        <v>54</v>
      </c>
      <c r="C9590" t="str">
        <f>CHOOSE(MATCH(B9590, {20,25,30,35,40,45,50,55,60,65,70,75,80,85}, 1), "20-24", "25-29", "30-34", "35-39", "40-44", "45-49", "50-54", "55-59", "60-64", "65-69", "70-74", "75-79", "80-84", "85+")</f>
        <v>50-54</v>
      </c>
      <c r="D9590" t="s">
        <v>7</v>
      </c>
    </row>
    <row r="9591" spans="1:4">
      <c r="A9591" t="s">
        <v>6</v>
      </c>
      <c r="B9591">
        <v>44</v>
      </c>
      <c r="C9591" t="str">
        <f>CHOOSE(MATCH(B9591, {20,25,30,35,40,45,50,55,60,65,70,75,80,85}, 1), "20-24", "25-29", "30-34", "35-39", "40-44", "45-49", "50-54", "55-59", "60-64", "65-69", "70-74", "75-79", "80-84", "85+")</f>
        <v>40-44</v>
      </c>
      <c r="D9591" t="s">
        <v>8</v>
      </c>
    </row>
    <row r="9592" spans="1:4">
      <c r="A9592" t="s">
        <v>6</v>
      </c>
      <c r="B9592">
        <v>54</v>
      </c>
      <c r="C9592" t="str">
        <f>CHOOSE(MATCH(B9592, {20,25,30,35,40,45,50,55,60,65,70,75,80,85}, 1), "20-24", "25-29", "30-34", "35-39", "40-44", "45-49", "50-54", "55-59", "60-64", "65-69", "70-74", "75-79", "80-84", "85+")</f>
        <v>50-54</v>
      </c>
      <c r="D9592" t="s">
        <v>7</v>
      </c>
    </row>
    <row r="9593" spans="1:4">
      <c r="A9593" t="s">
        <v>6</v>
      </c>
      <c r="B9593">
        <v>30</v>
      </c>
      <c r="C9593" t="str">
        <f>CHOOSE(MATCH(B9593, {20,25,30,35,40,45,50,55,60,65,70,75,80,85}, 1), "20-24", "25-29", "30-34", "35-39", "40-44", "45-49", "50-54", "55-59", "60-64", "65-69", "70-74", "75-79", "80-84", "85+")</f>
        <v>30-34</v>
      </c>
      <c r="D9593" t="s">
        <v>7</v>
      </c>
    </row>
    <row r="9594" spans="1:4">
      <c r="A9594" t="s">
        <v>6</v>
      </c>
      <c r="B9594">
        <v>34</v>
      </c>
      <c r="C9594" t="str">
        <f>CHOOSE(MATCH(B9594, {20,25,30,35,40,45,50,55,60,65,70,75,80,85}, 1), "20-24", "25-29", "30-34", "35-39", "40-44", "45-49", "50-54", "55-59", "60-64", "65-69", "70-74", "75-79", "80-84", "85+")</f>
        <v>30-34</v>
      </c>
      <c r="D9594" t="s">
        <v>7</v>
      </c>
    </row>
    <row r="9595" spans="1:4">
      <c r="A9595" t="s">
        <v>6</v>
      </c>
      <c r="B9595">
        <v>33</v>
      </c>
      <c r="C9595" t="str">
        <f>CHOOSE(MATCH(B9595, {20,25,30,35,40,45,50,55,60,65,70,75,80,85}, 1), "20-24", "25-29", "30-34", "35-39", "40-44", "45-49", "50-54", "55-59", "60-64", "65-69", "70-74", "75-79", "80-84", "85+")</f>
        <v>30-34</v>
      </c>
      <c r="D9595" t="s">
        <v>8</v>
      </c>
    </row>
    <row r="9596" spans="1:4">
      <c r="A9596" t="s">
        <v>6</v>
      </c>
      <c r="B9596">
        <v>24</v>
      </c>
      <c r="C9596" t="str">
        <f>CHOOSE(MATCH(B9596, {20,25,30,35,40,45,50,55,60,65,70,75,80,85}, 1), "20-24", "25-29", "30-34", "35-39", "40-44", "45-49", "50-54", "55-59", "60-64", "65-69", "70-74", "75-79", "80-84", "85+")</f>
        <v>20-24</v>
      </c>
      <c r="D9596" t="s">
        <v>7</v>
      </c>
    </row>
    <row r="9597" spans="1:4">
      <c r="A9597" t="s">
        <v>6</v>
      </c>
      <c r="B9597">
        <v>30</v>
      </c>
      <c r="C9597" t="str">
        <f>CHOOSE(MATCH(B9597, {20,25,30,35,40,45,50,55,60,65,70,75,80,85}, 1), "20-24", "25-29", "30-34", "35-39", "40-44", "45-49", "50-54", "55-59", "60-64", "65-69", "70-74", "75-79", "80-84", "85+")</f>
        <v>30-34</v>
      </c>
      <c r="D9597" t="s">
        <v>7</v>
      </c>
    </row>
    <row r="9598" spans="1:4">
      <c r="A9598" t="s">
        <v>6</v>
      </c>
      <c r="B9598">
        <v>29</v>
      </c>
      <c r="C9598" t="str">
        <f>CHOOSE(MATCH(B9598, {20,25,30,35,40,45,50,55,60,65,70,75,80,85}, 1), "20-24", "25-29", "30-34", "35-39", "40-44", "45-49", "50-54", "55-59", "60-64", "65-69", "70-74", "75-79", "80-84", "85+")</f>
        <v>25-29</v>
      </c>
      <c r="D9598" t="s">
        <v>8</v>
      </c>
    </row>
    <row r="9599" spans="1:4">
      <c r="A9599" t="s">
        <v>6</v>
      </c>
      <c r="B9599">
        <v>58</v>
      </c>
      <c r="C9599" t="str">
        <f>CHOOSE(MATCH(B9599, {20,25,30,35,40,45,50,55,60,65,70,75,80,85}, 1), "20-24", "25-29", "30-34", "35-39", "40-44", "45-49", "50-54", "55-59", "60-64", "65-69", "70-74", "75-79", "80-84", "85+")</f>
        <v>55-59</v>
      </c>
      <c r="D9599" t="s">
        <v>7</v>
      </c>
    </row>
    <row r="9600" spans="1:4">
      <c r="A9600" t="s">
        <v>6</v>
      </c>
      <c r="B9600">
        <v>32</v>
      </c>
      <c r="C9600" t="str">
        <f>CHOOSE(MATCH(B9600, {20,25,30,35,40,45,50,55,60,65,70,75,80,85}, 1), "20-24", "25-29", "30-34", "35-39", "40-44", "45-49", "50-54", "55-59", "60-64", "65-69", "70-74", "75-79", "80-84", "85+")</f>
        <v>30-34</v>
      </c>
      <c r="D9600" t="s">
        <v>7</v>
      </c>
    </row>
    <row r="9601" spans="1:4">
      <c r="A9601" t="s">
        <v>6</v>
      </c>
      <c r="B9601">
        <v>64</v>
      </c>
      <c r="C9601" t="str">
        <f>CHOOSE(MATCH(B9601, {20,25,30,35,40,45,50,55,60,65,70,75,80,85}, 1), "20-24", "25-29", "30-34", "35-39", "40-44", "45-49", "50-54", "55-59", "60-64", "65-69", "70-74", "75-79", "80-84", "85+")</f>
        <v>60-64</v>
      </c>
      <c r="D9601" t="s">
        <v>8</v>
      </c>
    </row>
    <row r="9602" spans="1:4">
      <c r="A9602" t="s">
        <v>6</v>
      </c>
      <c r="B9602">
        <v>25</v>
      </c>
      <c r="C9602" t="str">
        <f>CHOOSE(MATCH(B9602, {20,25,30,35,40,45,50,55,60,65,70,75,80,85}, 1), "20-24", "25-29", "30-34", "35-39", "40-44", "45-49", "50-54", "55-59", "60-64", "65-69", "70-74", "75-79", "80-84", "85+")</f>
        <v>25-29</v>
      </c>
      <c r="D9602" t="s">
        <v>7</v>
      </c>
    </row>
    <row r="9603" spans="1:4">
      <c r="A9603" t="s">
        <v>6</v>
      </c>
      <c r="B9603">
        <v>39</v>
      </c>
      <c r="C9603" t="str">
        <f>CHOOSE(MATCH(B9603, {20,25,30,35,40,45,50,55,60,65,70,75,80,85}, 1), "20-24", "25-29", "30-34", "35-39", "40-44", "45-49", "50-54", "55-59", "60-64", "65-69", "70-74", "75-79", "80-84", "85+")</f>
        <v>35-39</v>
      </c>
      <c r="D9603" t="s">
        <v>8</v>
      </c>
    </row>
    <row r="9604" spans="1:4">
      <c r="A9604" t="s">
        <v>6</v>
      </c>
      <c r="B9604">
        <v>30</v>
      </c>
      <c r="C9604" t="str">
        <f>CHOOSE(MATCH(B9604, {20,25,30,35,40,45,50,55,60,65,70,75,80,85}, 1), "20-24", "25-29", "30-34", "35-39", "40-44", "45-49", "50-54", "55-59", "60-64", "65-69", "70-74", "75-79", "80-84", "85+")</f>
        <v>30-34</v>
      </c>
      <c r="D9604" t="s">
        <v>7</v>
      </c>
    </row>
    <row r="9605" spans="1:4">
      <c r="A9605" t="s">
        <v>6</v>
      </c>
      <c r="B9605">
        <v>39</v>
      </c>
      <c r="C9605" t="str">
        <f>CHOOSE(MATCH(B9605, {20,25,30,35,40,45,50,55,60,65,70,75,80,85}, 1), "20-24", "25-29", "30-34", "35-39", "40-44", "45-49", "50-54", "55-59", "60-64", "65-69", "70-74", "75-79", "80-84", "85+")</f>
        <v>35-39</v>
      </c>
      <c r="D9605" t="s">
        <v>8</v>
      </c>
    </row>
    <row r="9606" spans="1:4">
      <c r="A9606" t="s">
        <v>6</v>
      </c>
      <c r="B9606">
        <v>28</v>
      </c>
      <c r="C9606" t="str">
        <f>CHOOSE(MATCH(B9606, {20,25,30,35,40,45,50,55,60,65,70,75,80,85}, 1), "20-24", "25-29", "30-34", "35-39", "40-44", "45-49", "50-54", "55-59", "60-64", "65-69", "70-74", "75-79", "80-84", "85+")</f>
        <v>25-29</v>
      </c>
      <c r="D9606" t="s">
        <v>7</v>
      </c>
    </row>
    <row r="9607" spans="1:4">
      <c r="A9607" t="s">
        <v>6</v>
      </c>
      <c r="B9607">
        <v>25</v>
      </c>
      <c r="C9607" t="str">
        <f>CHOOSE(MATCH(B9607, {20,25,30,35,40,45,50,55,60,65,70,75,80,85}, 1), "20-24", "25-29", "30-34", "35-39", "40-44", "45-49", "50-54", "55-59", "60-64", "65-69", "70-74", "75-79", "80-84", "85+")</f>
        <v>25-29</v>
      </c>
      <c r="D9607" t="s">
        <v>8</v>
      </c>
    </row>
    <row r="9608" spans="1:4">
      <c r="A9608" t="s">
        <v>6</v>
      </c>
      <c r="B9608">
        <v>60</v>
      </c>
      <c r="C9608" t="str">
        <f>CHOOSE(MATCH(B9608, {20,25,30,35,40,45,50,55,60,65,70,75,80,85}, 1), "20-24", "25-29", "30-34", "35-39", "40-44", "45-49", "50-54", "55-59", "60-64", "65-69", "70-74", "75-79", "80-84", "85+")</f>
        <v>60-64</v>
      </c>
      <c r="D9608" t="s">
        <v>8</v>
      </c>
    </row>
    <row r="9609" spans="1:4">
      <c r="A9609" t="s">
        <v>6</v>
      </c>
      <c r="B9609">
        <v>43</v>
      </c>
      <c r="C9609" t="str">
        <f>CHOOSE(MATCH(B9609, {20,25,30,35,40,45,50,55,60,65,70,75,80,85}, 1), "20-24", "25-29", "30-34", "35-39", "40-44", "45-49", "50-54", "55-59", "60-64", "65-69", "70-74", "75-79", "80-84", "85+")</f>
        <v>40-44</v>
      </c>
      <c r="D9609" t="s">
        <v>8</v>
      </c>
    </row>
    <row r="9610" spans="1:4">
      <c r="A9610" t="s">
        <v>6</v>
      </c>
      <c r="B9610">
        <v>33</v>
      </c>
      <c r="C9610" t="str">
        <f>CHOOSE(MATCH(B9610, {20,25,30,35,40,45,50,55,60,65,70,75,80,85}, 1), "20-24", "25-29", "30-34", "35-39", "40-44", "45-49", "50-54", "55-59", "60-64", "65-69", "70-74", "75-79", "80-84", "85+")</f>
        <v>30-34</v>
      </c>
      <c r="D9610" t="s">
        <v>7</v>
      </c>
    </row>
    <row r="9611" spans="1:4">
      <c r="A9611" t="s">
        <v>6</v>
      </c>
      <c r="B9611">
        <v>32</v>
      </c>
      <c r="C9611" t="str">
        <f>CHOOSE(MATCH(B9611, {20,25,30,35,40,45,50,55,60,65,70,75,80,85}, 1), "20-24", "25-29", "30-34", "35-39", "40-44", "45-49", "50-54", "55-59", "60-64", "65-69", "70-74", "75-79", "80-84", "85+")</f>
        <v>30-34</v>
      </c>
      <c r="D9611" t="s">
        <v>8</v>
      </c>
    </row>
    <row r="9612" spans="1:4">
      <c r="A9612" t="s">
        <v>6</v>
      </c>
      <c r="B9612">
        <v>37</v>
      </c>
      <c r="C9612" t="str">
        <f>CHOOSE(MATCH(B9612, {20,25,30,35,40,45,50,55,60,65,70,75,80,85}, 1), "20-24", "25-29", "30-34", "35-39", "40-44", "45-49", "50-54", "55-59", "60-64", "65-69", "70-74", "75-79", "80-84", "85+")</f>
        <v>35-39</v>
      </c>
      <c r="D9612" t="s">
        <v>8</v>
      </c>
    </row>
    <row r="9613" spans="1:4">
      <c r="A9613" t="s">
        <v>6</v>
      </c>
      <c r="B9613">
        <v>62</v>
      </c>
      <c r="C9613" t="str">
        <f>CHOOSE(MATCH(B9613, {20,25,30,35,40,45,50,55,60,65,70,75,80,85}, 1), "20-24", "25-29", "30-34", "35-39", "40-44", "45-49", "50-54", "55-59", "60-64", "65-69", "70-74", "75-79", "80-84", "85+")</f>
        <v>60-64</v>
      </c>
      <c r="D9613" t="s">
        <v>8</v>
      </c>
    </row>
    <row r="9614" spans="1:4">
      <c r="A9614" t="s">
        <v>6</v>
      </c>
      <c r="B9614">
        <v>27</v>
      </c>
      <c r="C9614" t="str">
        <f>CHOOSE(MATCH(B9614, {20,25,30,35,40,45,50,55,60,65,70,75,80,85}, 1), "20-24", "25-29", "30-34", "35-39", "40-44", "45-49", "50-54", "55-59", "60-64", "65-69", "70-74", "75-79", "80-84", "85+")</f>
        <v>25-29</v>
      </c>
      <c r="D9614" t="s">
        <v>7</v>
      </c>
    </row>
    <row r="9615" spans="1:4">
      <c r="A9615" t="s">
        <v>6</v>
      </c>
      <c r="B9615">
        <v>39</v>
      </c>
      <c r="C9615" t="str">
        <f>CHOOSE(MATCH(B9615, {20,25,30,35,40,45,50,55,60,65,70,75,80,85}, 1), "20-24", "25-29", "30-34", "35-39", "40-44", "45-49", "50-54", "55-59", "60-64", "65-69", "70-74", "75-79", "80-84", "85+")</f>
        <v>35-39</v>
      </c>
      <c r="D9615" t="s">
        <v>7</v>
      </c>
    </row>
    <row r="9616" spans="1:4">
      <c r="A9616" t="s">
        <v>6</v>
      </c>
      <c r="B9616">
        <v>25</v>
      </c>
      <c r="C9616" t="str">
        <f>CHOOSE(MATCH(B9616, {20,25,30,35,40,45,50,55,60,65,70,75,80,85}, 1), "20-24", "25-29", "30-34", "35-39", "40-44", "45-49", "50-54", "55-59", "60-64", "65-69", "70-74", "75-79", "80-84", "85+")</f>
        <v>25-29</v>
      </c>
      <c r="D9616" t="s">
        <v>8</v>
      </c>
    </row>
    <row r="9617" spans="1:4">
      <c r="A9617" t="s">
        <v>6</v>
      </c>
      <c r="B9617">
        <v>37</v>
      </c>
      <c r="C9617" t="str">
        <f>CHOOSE(MATCH(B9617, {20,25,30,35,40,45,50,55,60,65,70,75,80,85}, 1), "20-24", "25-29", "30-34", "35-39", "40-44", "45-49", "50-54", "55-59", "60-64", "65-69", "70-74", "75-79", "80-84", "85+")</f>
        <v>35-39</v>
      </c>
      <c r="D9617" t="s">
        <v>7</v>
      </c>
    </row>
    <row r="9618" spans="1:4">
      <c r="A9618" t="s">
        <v>6</v>
      </c>
      <c r="B9618">
        <v>37</v>
      </c>
      <c r="C9618" t="str">
        <f>CHOOSE(MATCH(B9618, {20,25,30,35,40,45,50,55,60,65,70,75,80,85}, 1), "20-24", "25-29", "30-34", "35-39", "40-44", "45-49", "50-54", "55-59", "60-64", "65-69", "70-74", "75-79", "80-84", "85+")</f>
        <v>35-39</v>
      </c>
      <c r="D9618" t="s">
        <v>7</v>
      </c>
    </row>
    <row r="9619" spans="1:4">
      <c r="A9619" t="s">
        <v>6</v>
      </c>
      <c r="B9619">
        <v>56</v>
      </c>
      <c r="C9619" t="str">
        <f>CHOOSE(MATCH(B9619, {20,25,30,35,40,45,50,55,60,65,70,75,80,85}, 1), "20-24", "25-29", "30-34", "35-39", "40-44", "45-49", "50-54", "55-59", "60-64", "65-69", "70-74", "75-79", "80-84", "85+")</f>
        <v>55-59</v>
      </c>
      <c r="D9619" t="s">
        <v>7</v>
      </c>
    </row>
    <row r="9620" spans="1:4">
      <c r="A9620" t="s">
        <v>6</v>
      </c>
      <c r="B9620">
        <v>41</v>
      </c>
      <c r="C9620" t="str">
        <f>CHOOSE(MATCH(B9620, {20,25,30,35,40,45,50,55,60,65,70,75,80,85}, 1), "20-24", "25-29", "30-34", "35-39", "40-44", "45-49", "50-54", "55-59", "60-64", "65-69", "70-74", "75-79", "80-84", "85+")</f>
        <v>40-44</v>
      </c>
      <c r="D9620" t="s">
        <v>7</v>
      </c>
    </row>
    <row r="9621" spans="1:4">
      <c r="A9621" t="s">
        <v>6</v>
      </c>
      <c r="B9621">
        <v>36</v>
      </c>
      <c r="C9621" t="str">
        <f>CHOOSE(MATCH(B9621, {20,25,30,35,40,45,50,55,60,65,70,75,80,85}, 1), "20-24", "25-29", "30-34", "35-39", "40-44", "45-49", "50-54", "55-59", "60-64", "65-69", "70-74", "75-79", "80-84", "85+")</f>
        <v>35-39</v>
      </c>
      <c r="D9621" t="s">
        <v>7</v>
      </c>
    </row>
    <row r="9622" spans="1:4">
      <c r="A9622" t="s">
        <v>6</v>
      </c>
      <c r="B9622">
        <v>32</v>
      </c>
      <c r="C9622" t="str">
        <f>CHOOSE(MATCH(B9622, {20,25,30,35,40,45,50,55,60,65,70,75,80,85}, 1), "20-24", "25-29", "30-34", "35-39", "40-44", "45-49", "50-54", "55-59", "60-64", "65-69", "70-74", "75-79", "80-84", "85+")</f>
        <v>30-34</v>
      </c>
      <c r="D9622" t="s">
        <v>7</v>
      </c>
    </row>
    <row r="9623" spans="1:4">
      <c r="A9623" t="s">
        <v>6</v>
      </c>
      <c r="B9623">
        <v>52</v>
      </c>
      <c r="C9623" t="str">
        <f>CHOOSE(MATCH(B9623, {20,25,30,35,40,45,50,55,60,65,70,75,80,85}, 1), "20-24", "25-29", "30-34", "35-39", "40-44", "45-49", "50-54", "55-59", "60-64", "65-69", "70-74", "75-79", "80-84", "85+")</f>
        <v>50-54</v>
      </c>
      <c r="D9623" t="s">
        <v>8</v>
      </c>
    </row>
    <row r="9624" spans="1:4">
      <c r="A9624" t="s">
        <v>6</v>
      </c>
      <c r="B9624">
        <v>24</v>
      </c>
      <c r="C9624" t="str">
        <f>CHOOSE(MATCH(B9624, {20,25,30,35,40,45,50,55,60,65,70,75,80,85}, 1), "20-24", "25-29", "30-34", "35-39", "40-44", "45-49", "50-54", "55-59", "60-64", "65-69", "70-74", "75-79", "80-84", "85+")</f>
        <v>20-24</v>
      </c>
      <c r="D9624" t="s">
        <v>8</v>
      </c>
    </row>
    <row r="9625" spans="1:4">
      <c r="A9625" t="s">
        <v>6</v>
      </c>
      <c r="B9625">
        <v>78</v>
      </c>
      <c r="C9625" t="str">
        <f>CHOOSE(MATCH(B9625, {20,25,30,35,40,45,50,55,60,65,70,75,80,85}, 1), "20-24", "25-29", "30-34", "35-39", "40-44", "45-49", "50-54", "55-59", "60-64", "65-69", "70-74", "75-79", "80-84", "85+")</f>
        <v>75-79</v>
      </c>
      <c r="D9625" t="s">
        <v>7</v>
      </c>
    </row>
    <row r="9626" spans="1:4">
      <c r="A9626" t="s">
        <v>6</v>
      </c>
      <c r="B9626">
        <v>38</v>
      </c>
      <c r="C9626" t="str">
        <f>CHOOSE(MATCH(B9626, {20,25,30,35,40,45,50,55,60,65,70,75,80,85}, 1), "20-24", "25-29", "30-34", "35-39", "40-44", "45-49", "50-54", "55-59", "60-64", "65-69", "70-74", "75-79", "80-84", "85+")</f>
        <v>35-39</v>
      </c>
      <c r="D9626" t="s">
        <v>7</v>
      </c>
    </row>
    <row r="9627" spans="1:4">
      <c r="A9627" t="s">
        <v>6</v>
      </c>
      <c r="B9627">
        <v>25</v>
      </c>
      <c r="C9627" t="str">
        <f>CHOOSE(MATCH(B9627, {20,25,30,35,40,45,50,55,60,65,70,75,80,85}, 1), "20-24", "25-29", "30-34", "35-39", "40-44", "45-49", "50-54", "55-59", "60-64", "65-69", "70-74", "75-79", "80-84", "85+")</f>
        <v>25-29</v>
      </c>
      <c r="D9627" t="s">
        <v>7</v>
      </c>
    </row>
    <row r="9628" spans="1:4">
      <c r="A9628" t="s">
        <v>6</v>
      </c>
      <c r="B9628">
        <v>32</v>
      </c>
      <c r="C9628" t="str">
        <f>CHOOSE(MATCH(B9628, {20,25,30,35,40,45,50,55,60,65,70,75,80,85}, 1), "20-24", "25-29", "30-34", "35-39", "40-44", "45-49", "50-54", "55-59", "60-64", "65-69", "70-74", "75-79", "80-84", "85+")</f>
        <v>30-34</v>
      </c>
      <c r="D9628" t="s">
        <v>7</v>
      </c>
    </row>
    <row r="9629" spans="1:4">
      <c r="A9629" t="s">
        <v>6</v>
      </c>
      <c r="B9629">
        <v>56</v>
      </c>
      <c r="C9629" t="str">
        <f>CHOOSE(MATCH(B9629, {20,25,30,35,40,45,50,55,60,65,70,75,80,85}, 1), "20-24", "25-29", "30-34", "35-39", "40-44", "45-49", "50-54", "55-59", "60-64", "65-69", "70-74", "75-79", "80-84", "85+")</f>
        <v>55-59</v>
      </c>
      <c r="D9629" t="s">
        <v>7</v>
      </c>
    </row>
    <row r="9630" spans="1:4">
      <c r="A9630" t="s">
        <v>6</v>
      </c>
      <c r="B9630">
        <v>63</v>
      </c>
      <c r="C9630" t="str">
        <f>CHOOSE(MATCH(B9630, {20,25,30,35,40,45,50,55,60,65,70,75,80,85}, 1), "20-24", "25-29", "30-34", "35-39", "40-44", "45-49", "50-54", "55-59", "60-64", "65-69", "70-74", "75-79", "80-84", "85+")</f>
        <v>60-64</v>
      </c>
      <c r="D9630" t="s">
        <v>7</v>
      </c>
    </row>
    <row r="9631" spans="1:4">
      <c r="A9631" t="s">
        <v>6</v>
      </c>
      <c r="B9631">
        <v>61</v>
      </c>
      <c r="C9631" t="str">
        <f>CHOOSE(MATCH(B9631, {20,25,30,35,40,45,50,55,60,65,70,75,80,85}, 1), "20-24", "25-29", "30-34", "35-39", "40-44", "45-49", "50-54", "55-59", "60-64", "65-69", "70-74", "75-79", "80-84", "85+")</f>
        <v>60-64</v>
      </c>
      <c r="D9631" t="s">
        <v>8</v>
      </c>
    </row>
    <row r="9632" spans="1:4">
      <c r="A9632" t="s">
        <v>6</v>
      </c>
      <c r="B9632">
        <v>48</v>
      </c>
      <c r="C9632" t="str">
        <f>CHOOSE(MATCH(B9632, {20,25,30,35,40,45,50,55,60,65,70,75,80,85}, 1), "20-24", "25-29", "30-34", "35-39", "40-44", "45-49", "50-54", "55-59", "60-64", "65-69", "70-74", "75-79", "80-84", "85+")</f>
        <v>45-49</v>
      </c>
      <c r="D9632" t="s">
        <v>7</v>
      </c>
    </row>
    <row r="9633" spans="1:4">
      <c r="A9633" t="s">
        <v>6</v>
      </c>
      <c r="B9633">
        <v>78</v>
      </c>
      <c r="C9633" t="str">
        <f>CHOOSE(MATCH(B9633, {20,25,30,35,40,45,50,55,60,65,70,75,80,85}, 1), "20-24", "25-29", "30-34", "35-39", "40-44", "45-49", "50-54", "55-59", "60-64", "65-69", "70-74", "75-79", "80-84", "85+")</f>
        <v>75-79</v>
      </c>
      <c r="D9633" t="s">
        <v>8</v>
      </c>
    </row>
    <row r="9634" spans="1:4">
      <c r="A9634" t="s">
        <v>6</v>
      </c>
      <c r="B9634">
        <v>41</v>
      </c>
      <c r="C9634" t="str">
        <f>CHOOSE(MATCH(B9634, {20,25,30,35,40,45,50,55,60,65,70,75,80,85}, 1), "20-24", "25-29", "30-34", "35-39", "40-44", "45-49", "50-54", "55-59", "60-64", "65-69", "70-74", "75-79", "80-84", "85+")</f>
        <v>40-44</v>
      </c>
      <c r="D9634" t="s">
        <v>7</v>
      </c>
    </row>
    <row r="9635" spans="1:4">
      <c r="A9635" t="s">
        <v>6</v>
      </c>
      <c r="B9635">
        <v>29</v>
      </c>
      <c r="C9635" t="str">
        <f>CHOOSE(MATCH(B9635, {20,25,30,35,40,45,50,55,60,65,70,75,80,85}, 1), "20-24", "25-29", "30-34", "35-39", "40-44", "45-49", "50-54", "55-59", "60-64", "65-69", "70-74", "75-79", "80-84", "85+")</f>
        <v>25-29</v>
      </c>
      <c r="D9635" t="s">
        <v>7</v>
      </c>
    </row>
    <row r="9636" spans="1:4">
      <c r="A9636" t="s">
        <v>6</v>
      </c>
      <c r="B9636">
        <v>32</v>
      </c>
      <c r="C9636" t="str">
        <f>CHOOSE(MATCH(B9636, {20,25,30,35,40,45,50,55,60,65,70,75,80,85}, 1), "20-24", "25-29", "30-34", "35-39", "40-44", "45-49", "50-54", "55-59", "60-64", "65-69", "70-74", "75-79", "80-84", "85+")</f>
        <v>30-34</v>
      </c>
      <c r="D9636" t="s">
        <v>8</v>
      </c>
    </row>
    <row r="9637" spans="1:4">
      <c r="A9637" t="s">
        <v>6</v>
      </c>
      <c r="B9637">
        <v>57</v>
      </c>
      <c r="C9637" t="str">
        <f>CHOOSE(MATCH(B9637, {20,25,30,35,40,45,50,55,60,65,70,75,80,85}, 1), "20-24", "25-29", "30-34", "35-39", "40-44", "45-49", "50-54", "55-59", "60-64", "65-69", "70-74", "75-79", "80-84", "85+")</f>
        <v>55-59</v>
      </c>
      <c r="D9637" t="s">
        <v>7</v>
      </c>
    </row>
    <row r="9638" spans="1:4">
      <c r="A9638" t="s">
        <v>6</v>
      </c>
      <c r="B9638">
        <v>29</v>
      </c>
      <c r="C9638" t="str">
        <f>CHOOSE(MATCH(B9638, {20,25,30,35,40,45,50,55,60,65,70,75,80,85}, 1), "20-24", "25-29", "30-34", "35-39", "40-44", "45-49", "50-54", "55-59", "60-64", "65-69", "70-74", "75-79", "80-84", "85+")</f>
        <v>25-29</v>
      </c>
      <c r="D9638" t="s">
        <v>8</v>
      </c>
    </row>
    <row r="9639" spans="1:4">
      <c r="A9639" t="s">
        <v>6</v>
      </c>
      <c r="B9639">
        <v>41</v>
      </c>
      <c r="C9639" t="str">
        <f>CHOOSE(MATCH(B9639, {20,25,30,35,40,45,50,55,60,65,70,75,80,85}, 1), "20-24", "25-29", "30-34", "35-39", "40-44", "45-49", "50-54", "55-59", "60-64", "65-69", "70-74", "75-79", "80-84", "85+")</f>
        <v>40-44</v>
      </c>
      <c r="D9639" t="s">
        <v>7</v>
      </c>
    </row>
    <row r="9640" spans="1:4">
      <c r="A9640" t="s">
        <v>6</v>
      </c>
      <c r="B9640">
        <v>45</v>
      </c>
      <c r="C9640" t="str">
        <f>CHOOSE(MATCH(B9640, {20,25,30,35,40,45,50,55,60,65,70,75,80,85}, 1), "20-24", "25-29", "30-34", "35-39", "40-44", "45-49", "50-54", "55-59", "60-64", "65-69", "70-74", "75-79", "80-84", "85+")</f>
        <v>45-49</v>
      </c>
      <c r="D9640" t="s">
        <v>8</v>
      </c>
    </row>
    <row r="9641" spans="1:4">
      <c r="A9641" t="s">
        <v>6</v>
      </c>
      <c r="B9641">
        <v>63</v>
      </c>
      <c r="C9641" t="str">
        <f>CHOOSE(MATCH(B9641, {20,25,30,35,40,45,50,55,60,65,70,75,80,85}, 1), "20-24", "25-29", "30-34", "35-39", "40-44", "45-49", "50-54", "55-59", "60-64", "65-69", "70-74", "75-79", "80-84", "85+")</f>
        <v>60-64</v>
      </c>
      <c r="D9641" t="s">
        <v>8</v>
      </c>
    </row>
    <row r="9642" spans="1:4">
      <c r="A9642" t="s">
        <v>6</v>
      </c>
      <c r="B9642">
        <v>23</v>
      </c>
      <c r="C9642" t="str">
        <f>CHOOSE(MATCH(B9642, {20,25,30,35,40,45,50,55,60,65,70,75,80,85}, 1), "20-24", "25-29", "30-34", "35-39", "40-44", "45-49", "50-54", "55-59", "60-64", "65-69", "70-74", "75-79", "80-84", "85+")</f>
        <v>20-24</v>
      </c>
      <c r="D9642" t="s">
        <v>7</v>
      </c>
    </row>
    <row r="9643" spans="1:4">
      <c r="A9643" t="s">
        <v>6</v>
      </c>
      <c r="B9643">
        <v>78</v>
      </c>
      <c r="C9643" t="str">
        <f>CHOOSE(MATCH(B9643, {20,25,30,35,40,45,50,55,60,65,70,75,80,85}, 1), "20-24", "25-29", "30-34", "35-39", "40-44", "45-49", "50-54", "55-59", "60-64", "65-69", "70-74", "75-79", "80-84", "85+")</f>
        <v>75-79</v>
      </c>
      <c r="D9643" t="s">
        <v>7</v>
      </c>
    </row>
    <row r="9644" spans="1:4">
      <c r="A9644" t="s">
        <v>6</v>
      </c>
      <c r="B9644">
        <v>36</v>
      </c>
      <c r="C9644" t="str">
        <f>CHOOSE(MATCH(B9644, {20,25,30,35,40,45,50,55,60,65,70,75,80,85}, 1), "20-24", "25-29", "30-34", "35-39", "40-44", "45-49", "50-54", "55-59", "60-64", "65-69", "70-74", "75-79", "80-84", "85+")</f>
        <v>35-39</v>
      </c>
      <c r="D9644" t="s">
        <v>7</v>
      </c>
    </row>
    <row r="9645" spans="1:4">
      <c r="A9645" t="s">
        <v>6</v>
      </c>
      <c r="B9645">
        <v>56</v>
      </c>
      <c r="C9645" t="str">
        <f>CHOOSE(MATCH(B9645, {20,25,30,35,40,45,50,55,60,65,70,75,80,85}, 1), "20-24", "25-29", "30-34", "35-39", "40-44", "45-49", "50-54", "55-59", "60-64", "65-69", "70-74", "75-79", "80-84", "85+")</f>
        <v>55-59</v>
      </c>
      <c r="D9645" t="s">
        <v>7</v>
      </c>
    </row>
    <row r="9646" spans="1:4">
      <c r="A9646" t="s">
        <v>6</v>
      </c>
      <c r="B9646">
        <v>28</v>
      </c>
      <c r="C9646" t="str">
        <f>CHOOSE(MATCH(B9646, {20,25,30,35,40,45,50,55,60,65,70,75,80,85}, 1), "20-24", "25-29", "30-34", "35-39", "40-44", "45-49", "50-54", "55-59", "60-64", "65-69", "70-74", "75-79", "80-84", "85+")</f>
        <v>25-29</v>
      </c>
      <c r="D9646" t="s">
        <v>7</v>
      </c>
    </row>
    <row r="9647" spans="1:4">
      <c r="A9647" t="s">
        <v>6</v>
      </c>
      <c r="B9647">
        <v>29</v>
      </c>
      <c r="C9647" t="str">
        <f>CHOOSE(MATCH(B9647, {20,25,30,35,40,45,50,55,60,65,70,75,80,85}, 1), "20-24", "25-29", "30-34", "35-39", "40-44", "45-49", "50-54", "55-59", "60-64", "65-69", "70-74", "75-79", "80-84", "85+")</f>
        <v>25-29</v>
      </c>
      <c r="D9647" t="s">
        <v>7</v>
      </c>
    </row>
    <row r="9648" spans="1:4">
      <c r="A9648" t="s">
        <v>6</v>
      </c>
      <c r="B9648">
        <v>59</v>
      </c>
      <c r="C9648" t="str">
        <f>CHOOSE(MATCH(B9648, {20,25,30,35,40,45,50,55,60,65,70,75,80,85}, 1), "20-24", "25-29", "30-34", "35-39", "40-44", "45-49", "50-54", "55-59", "60-64", "65-69", "70-74", "75-79", "80-84", "85+")</f>
        <v>55-59</v>
      </c>
      <c r="D9648" t="s">
        <v>8</v>
      </c>
    </row>
    <row r="9649" spans="1:4">
      <c r="A9649" t="s">
        <v>6</v>
      </c>
      <c r="B9649">
        <v>32</v>
      </c>
      <c r="C9649" t="str">
        <f>CHOOSE(MATCH(B9649, {20,25,30,35,40,45,50,55,60,65,70,75,80,85}, 1), "20-24", "25-29", "30-34", "35-39", "40-44", "45-49", "50-54", "55-59", "60-64", "65-69", "70-74", "75-79", "80-84", "85+")</f>
        <v>30-34</v>
      </c>
      <c r="D9649" t="s">
        <v>7</v>
      </c>
    </row>
    <row r="9650" spans="1:4">
      <c r="A9650" t="s">
        <v>6</v>
      </c>
      <c r="B9650">
        <v>57</v>
      </c>
      <c r="C9650" t="str">
        <f>CHOOSE(MATCH(B9650, {20,25,30,35,40,45,50,55,60,65,70,75,80,85}, 1), "20-24", "25-29", "30-34", "35-39", "40-44", "45-49", "50-54", "55-59", "60-64", "65-69", "70-74", "75-79", "80-84", "85+")</f>
        <v>55-59</v>
      </c>
      <c r="D9650" t="s">
        <v>8</v>
      </c>
    </row>
    <row r="9651" spans="1:4">
      <c r="A9651" t="s">
        <v>6</v>
      </c>
      <c r="B9651">
        <v>32</v>
      </c>
      <c r="C9651" t="str">
        <f>CHOOSE(MATCH(B9651, {20,25,30,35,40,45,50,55,60,65,70,75,80,85}, 1), "20-24", "25-29", "30-34", "35-39", "40-44", "45-49", "50-54", "55-59", "60-64", "65-69", "70-74", "75-79", "80-84", "85+")</f>
        <v>30-34</v>
      </c>
      <c r="D9651" t="s">
        <v>7</v>
      </c>
    </row>
    <row r="9652" spans="1:4">
      <c r="A9652" t="s">
        <v>6</v>
      </c>
      <c r="B9652">
        <v>31</v>
      </c>
      <c r="C9652" t="str">
        <f>CHOOSE(MATCH(B9652, {20,25,30,35,40,45,50,55,60,65,70,75,80,85}, 1), "20-24", "25-29", "30-34", "35-39", "40-44", "45-49", "50-54", "55-59", "60-64", "65-69", "70-74", "75-79", "80-84", "85+")</f>
        <v>30-34</v>
      </c>
      <c r="D9652" t="s">
        <v>8</v>
      </c>
    </row>
    <row r="9653" spans="1:4">
      <c r="A9653" t="s">
        <v>6</v>
      </c>
      <c r="B9653">
        <v>27</v>
      </c>
      <c r="C9653" t="str">
        <f>CHOOSE(MATCH(B9653, {20,25,30,35,40,45,50,55,60,65,70,75,80,85}, 1), "20-24", "25-29", "30-34", "35-39", "40-44", "45-49", "50-54", "55-59", "60-64", "65-69", "70-74", "75-79", "80-84", "85+")</f>
        <v>25-29</v>
      </c>
      <c r="D9653" t="s">
        <v>7</v>
      </c>
    </row>
    <row r="9654" spans="1:4">
      <c r="A9654" t="s">
        <v>6</v>
      </c>
      <c r="B9654">
        <v>26</v>
      </c>
      <c r="C9654" t="str">
        <f>CHOOSE(MATCH(B9654, {20,25,30,35,40,45,50,55,60,65,70,75,80,85}, 1), "20-24", "25-29", "30-34", "35-39", "40-44", "45-49", "50-54", "55-59", "60-64", "65-69", "70-74", "75-79", "80-84", "85+")</f>
        <v>25-29</v>
      </c>
      <c r="D9654" t="s">
        <v>7</v>
      </c>
    </row>
    <row r="9655" spans="1:4">
      <c r="A9655" t="s">
        <v>6</v>
      </c>
      <c r="B9655">
        <v>73</v>
      </c>
      <c r="C9655" t="str">
        <f>CHOOSE(MATCH(B9655, {20,25,30,35,40,45,50,55,60,65,70,75,80,85}, 1), "20-24", "25-29", "30-34", "35-39", "40-44", "45-49", "50-54", "55-59", "60-64", "65-69", "70-74", "75-79", "80-84", "85+")</f>
        <v>70-74</v>
      </c>
      <c r="D9655" t="s">
        <v>8</v>
      </c>
    </row>
    <row r="9656" spans="1:4">
      <c r="A9656" t="s">
        <v>6</v>
      </c>
      <c r="B9656">
        <v>33</v>
      </c>
      <c r="C9656" t="str">
        <f>CHOOSE(MATCH(B9656, {20,25,30,35,40,45,50,55,60,65,70,75,80,85}, 1), "20-24", "25-29", "30-34", "35-39", "40-44", "45-49", "50-54", "55-59", "60-64", "65-69", "70-74", "75-79", "80-84", "85+")</f>
        <v>30-34</v>
      </c>
      <c r="D9656" t="s">
        <v>8</v>
      </c>
    </row>
    <row r="9657" spans="1:4">
      <c r="A9657" t="s">
        <v>6</v>
      </c>
      <c r="B9657">
        <v>37</v>
      </c>
      <c r="C9657" t="str">
        <f>CHOOSE(MATCH(B9657, {20,25,30,35,40,45,50,55,60,65,70,75,80,85}, 1), "20-24", "25-29", "30-34", "35-39", "40-44", "45-49", "50-54", "55-59", "60-64", "65-69", "70-74", "75-79", "80-84", "85+")</f>
        <v>35-39</v>
      </c>
      <c r="D9657" t="s">
        <v>7</v>
      </c>
    </row>
    <row r="9658" spans="1:4">
      <c r="A9658" t="s">
        <v>6</v>
      </c>
      <c r="B9658">
        <v>31</v>
      </c>
      <c r="C9658" t="str">
        <f>CHOOSE(MATCH(B9658, {20,25,30,35,40,45,50,55,60,65,70,75,80,85}, 1), "20-24", "25-29", "30-34", "35-39", "40-44", "45-49", "50-54", "55-59", "60-64", "65-69", "70-74", "75-79", "80-84", "85+")</f>
        <v>30-34</v>
      </c>
      <c r="D9658" t="s">
        <v>7</v>
      </c>
    </row>
    <row r="9659" spans="1:4">
      <c r="A9659" t="s">
        <v>6</v>
      </c>
      <c r="B9659">
        <v>36</v>
      </c>
      <c r="C9659" t="str">
        <f>CHOOSE(MATCH(B9659, {20,25,30,35,40,45,50,55,60,65,70,75,80,85}, 1), "20-24", "25-29", "30-34", "35-39", "40-44", "45-49", "50-54", "55-59", "60-64", "65-69", "70-74", "75-79", "80-84", "85+")</f>
        <v>35-39</v>
      </c>
      <c r="D9659" t="s">
        <v>7</v>
      </c>
    </row>
    <row r="9660" spans="1:4">
      <c r="A9660" t="s">
        <v>6</v>
      </c>
      <c r="B9660">
        <v>33</v>
      </c>
      <c r="C9660" t="str">
        <f>CHOOSE(MATCH(B9660, {20,25,30,35,40,45,50,55,60,65,70,75,80,85}, 1), "20-24", "25-29", "30-34", "35-39", "40-44", "45-49", "50-54", "55-59", "60-64", "65-69", "70-74", "75-79", "80-84", "85+")</f>
        <v>30-34</v>
      </c>
      <c r="D9660" t="s">
        <v>7</v>
      </c>
    </row>
    <row r="9661" spans="1:4">
      <c r="A9661" t="s">
        <v>6</v>
      </c>
      <c r="B9661">
        <v>46</v>
      </c>
      <c r="C9661" t="str">
        <f>CHOOSE(MATCH(B9661, {20,25,30,35,40,45,50,55,60,65,70,75,80,85}, 1), "20-24", "25-29", "30-34", "35-39", "40-44", "45-49", "50-54", "55-59", "60-64", "65-69", "70-74", "75-79", "80-84", "85+")</f>
        <v>45-49</v>
      </c>
      <c r="D9661" t="s">
        <v>8</v>
      </c>
    </row>
    <row r="9662" spans="1:4">
      <c r="A9662" t="s">
        <v>6</v>
      </c>
      <c r="B9662">
        <v>74</v>
      </c>
      <c r="C9662" t="str">
        <f>CHOOSE(MATCH(B9662, {20,25,30,35,40,45,50,55,60,65,70,75,80,85}, 1), "20-24", "25-29", "30-34", "35-39", "40-44", "45-49", "50-54", "55-59", "60-64", "65-69", "70-74", "75-79", "80-84", "85+")</f>
        <v>70-74</v>
      </c>
      <c r="D9662" t="s">
        <v>8</v>
      </c>
    </row>
    <row r="9663" spans="1:4">
      <c r="A9663" t="s">
        <v>6</v>
      </c>
      <c r="B9663">
        <v>46</v>
      </c>
      <c r="C9663" t="str">
        <f>CHOOSE(MATCH(B9663, {20,25,30,35,40,45,50,55,60,65,70,75,80,85}, 1), "20-24", "25-29", "30-34", "35-39", "40-44", "45-49", "50-54", "55-59", "60-64", "65-69", "70-74", "75-79", "80-84", "85+")</f>
        <v>45-49</v>
      </c>
      <c r="D9663" t="s">
        <v>7</v>
      </c>
    </row>
    <row r="9664" spans="1:4">
      <c r="A9664" t="s">
        <v>6</v>
      </c>
      <c r="B9664">
        <v>27</v>
      </c>
      <c r="C9664" t="str">
        <f>CHOOSE(MATCH(B9664, {20,25,30,35,40,45,50,55,60,65,70,75,80,85}, 1), "20-24", "25-29", "30-34", "35-39", "40-44", "45-49", "50-54", "55-59", "60-64", "65-69", "70-74", "75-79", "80-84", "85+")</f>
        <v>25-29</v>
      </c>
      <c r="D9664" t="s">
        <v>7</v>
      </c>
    </row>
    <row r="9665" spans="1:4">
      <c r="A9665" t="s">
        <v>6</v>
      </c>
      <c r="B9665">
        <v>41</v>
      </c>
      <c r="C9665" t="str">
        <f>CHOOSE(MATCH(B9665, {20,25,30,35,40,45,50,55,60,65,70,75,80,85}, 1), "20-24", "25-29", "30-34", "35-39", "40-44", "45-49", "50-54", "55-59", "60-64", "65-69", "70-74", "75-79", "80-84", "85+")</f>
        <v>40-44</v>
      </c>
      <c r="D9665" t="s">
        <v>8</v>
      </c>
    </row>
    <row r="9666" spans="1:4">
      <c r="A9666" t="s">
        <v>6</v>
      </c>
      <c r="B9666">
        <v>43</v>
      </c>
      <c r="C9666" t="str">
        <f>CHOOSE(MATCH(B9666, {20,25,30,35,40,45,50,55,60,65,70,75,80,85}, 1), "20-24", "25-29", "30-34", "35-39", "40-44", "45-49", "50-54", "55-59", "60-64", "65-69", "70-74", "75-79", "80-84", "85+")</f>
        <v>40-44</v>
      </c>
      <c r="D9666" t="s">
        <v>7</v>
      </c>
    </row>
    <row r="9667" spans="1:4">
      <c r="A9667" t="s">
        <v>6</v>
      </c>
      <c r="B9667">
        <v>39</v>
      </c>
      <c r="C9667" t="str">
        <f>CHOOSE(MATCH(B9667, {20,25,30,35,40,45,50,55,60,65,70,75,80,85}, 1), "20-24", "25-29", "30-34", "35-39", "40-44", "45-49", "50-54", "55-59", "60-64", "65-69", "70-74", "75-79", "80-84", "85+")</f>
        <v>35-39</v>
      </c>
      <c r="D9667" t="s">
        <v>7</v>
      </c>
    </row>
    <row r="9668" spans="1:4">
      <c r="A9668" t="s">
        <v>6</v>
      </c>
      <c r="B9668">
        <v>53</v>
      </c>
      <c r="C9668" t="str">
        <f>CHOOSE(MATCH(B9668, {20,25,30,35,40,45,50,55,60,65,70,75,80,85}, 1), "20-24", "25-29", "30-34", "35-39", "40-44", "45-49", "50-54", "55-59", "60-64", "65-69", "70-74", "75-79", "80-84", "85+")</f>
        <v>50-54</v>
      </c>
      <c r="D9668" t="s">
        <v>7</v>
      </c>
    </row>
    <row r="9669" spans="1:4">
      <c r="A9669" t="s">
        <v>6</v>
      </c>
      <c r="B9669">
        <v>30</v>
      </c>
      <c r="C9669" t="str">
        <f>CHOOSE(MATCH(B9669, {20,25,30,35,40,45,50,55,60,65,70,75,80,85}, 1), "20-24", "25-29", "30-34", "35-39", "40-44", "45-49", "50-54", "55-59", "60-64", "65-69", "70-74", "75-79", "80-84", "85+")</f>
        <v>30-34</v>
      </c>
      <c r="D9669" t="s">
        <v>7</v>
      </c>
    </row>
    <row r="9670" spans="1:4">
      <c r="A9670" t="s">
        <v>6</v>
      </c>
      <c r="B9670">
        <v>28</v>
      </c>
      <c r="C9670" t="str">
        <f>CHOOSE(MATCH(B9670, {20,25,30,35,40,45,50,55,60,65,70,75,80,85}, 1), "20-24", "25-29", "30-34", "35-39", "40-44", "45-49", "50-54", "55-59", "60-64", "65-69", "70-74", "75-79", "80-84", "85+")</f>
        <v>25-29</v>
      </c>
      <c r="D9670" t="s">
        <v>7</v>
      </c>
    </row>
    <row r="9671" spans="1:4">
      <c r="A9671" t="s">
        <v>6</v>
      </c>
      <c r="B9671">
        <v>61</v>
      </c>
      <c r="C9671" t="str">
        <f>CHOOSE(MATCH(B9671, {20,25,30,35,40,45,50,55,60,65,70,75,80,85}, 1), "20-24", "25-29", "30-34", "35-39", "40-44", "45-49", "50-54", "55-59", "60-64", "65-69", "70-74", "75-79", "80-84", "85+")</f>
        <v>60-64</v>
      </c>
      <c r="D9671" t="s">
        <v>8</v>
      </c>
    </row>
    <row r="9672" spans="1:4">
      <c r="A9672" t="s">
        <v>6</v>
      </c>
      <c r="B9672">
        <v>37</v>
      </c>
      <c r="C9672" t="str">
        <f>CHOOSE(MATCH(B9672, {20,25,30,35,40,45,50,55,60,65,70,75,80,85}, 1), "20-24", "25-29", "30-34", "35-39", "40-44", "45-49", "50-54", "55-59", "60-64", "65-69", "70-74", "75-79", "80-84", "85+")</f>
        <v>35-39</v>
      </c>
      <c r="D9672" t="s">
        <v>7</v>
      </c>
    </row>
    <row r="9673" spans="1:4">
      <c r="A9673" t="s">
        <v>6</v>
      </c>
      <c r="B9673">
        <v>35</v>
      </c>
      <c r="C9673" t="str">
        <f>CHOOSE(MATCH(B9673, {20,25,30,35,40,45,50,55,60,65,70,75,80,85}, 1), "20-24", "25-29", "30-34", "35-39", "40-44", "45-49", "50-54", "55-59", "60-64", "65-69", "70-74", "75-79", "80-84", "85+")</f>
        <v>35-39</v>
      </c>
      <c r="D9673" t="s">
        <v>7</v>
      </c>
    </row>
    <row r="9674" spans="1:4">
      <c r="A9674" t="s">
        <v>6</v>
      </c>
      <c r="B9674">
        <v>49</v>
      </c>
      <c r="C9674" t="str">
        <f>CHOOSE(MATCH(B9674, {20,25,30,35,40,45,50,55,60,65,70,75,80,85}, 1), "20-24", "25-29", "30-34", "35-39", "40-44", "45-49", "50-54", "55-59", "60-64", "65-69", "70-74", "75-79", "80-84", "85+")</f>
        <v>45-49</v>
      </c>
      <c r="D9674" t="s">
        <v>7</v>
      </c>
    </row>
    <row r="9675" spans="1:4">
      <c r="A9675" t="s">
        <v>6</v>
      </c>
      <c r="B9675">
        <v>34</v>
      </c>
      <c r="C9675" t="str">
        <f>CHOOSE(MATCH(B9675, {20,25,30,35,40,45,50,55,60,65,70,75,80,85}, 1), "20-24", "25-29", "30-34", "35-39", "40-44", "45-49", "50-54", "55-59", "60-64", "65-69", "70-74", "75-79", "80-84", "85+")</f>
        <v>30-34</v>
      </c>
      <c r="D9675" t="s">
        <v>7</v>
      </c>
    </row>
    <row r="9676" spans="1:4">
      <c r="A9676" t="s">
        <v>6</v>
      </c>
      <c r="B9676">
        <v>34</v>
      </c>
      <c r="C9676" t="str">
        <f>CHOOSE(MATCH(B9676, {20,25,30,35,40,45,50,55,60,65,70,75,80,85}, 1), "20-24", "25-29", "30-34", "35-39", "40-44", "45-49", "50-54", "55-59", "60-64", "65-69", "70-74", "75-79", "80-84", "85+")</f>
        <v>30-34</v>
      </c>
      <c r="D9676" t="s">
        <v>7</v>
      </c>
    </row>
    <row r="9677" spans="1:4">
      <c r="A9677" t="s">
        <v>6</v>
      </c>
      <c r="B9677">
        <v>37</v>
      </c>
      <c r="C9677" t="str">
        <f>CHOOSE(MATCH(B9677, {20,25,30,35,40,45,50,55,60,65,70,75,80,85}, 1), "20-24", "25-29", "30-34", "35-39", "40-44", "45-49", "50-54", "55-59", "60-64", "65-69", "70-74", "75-79", "80-84", "85+")</f>
        <v>35-39</v>
      </c>
      <c r="D9677" t="s">
        <v>8</v>
      </c>
    </row>
    <row r="9678" spans="1:4">
      <c r="A9678" t="s">
        <v>6</v>
      </c>
      <c r="B9678">
        <v>46</v>
      </c>
      <c r="C9678" t="str">
        <f>CHOOSE(MATCH(B9678, {20,25,30,35,40,45,50,55,60,65,70,75,80,85}, 1), "20-24", "25-29", "30-34", "35-39", "40-44", "45-49", "50-54", "55-59", "60-64", "65-69", "70-74", "75-79", "80-84", "85+")</f>
        <v>45-49</v>
      </c>
      <c r="D9678" t="s">
        <v>8</v>
      </c>
    </row>
    <row r="9679" spans="1:4">
      <c r="A9679" t="s">
        <v>6</v>
      </c>
      <c r="B9679">
        <v>37</v>
      </c>
      <c r="C9679" t="str">
        <f>CHOOSE(MATCH(B9679, {20,25,30,35,40,45,50,55,60,65,70,75,80,85}, 1), "20-24", "25-29", "30-34", "35-39", "40-44", "45-49", "50-54", "55-59", "60-64", "65-69", "70-74", "75-79", "80-84", "85+")</f>
        <v>35-39</v>
      </c>
      <c r="D9679" t="s">
        <v>8</v>
      </c>
    </row>
    <row r="9680" spans="1:4">
      <c r="A9680" t="s">
        <v>6</v>
      </c>
      <c r="B9680">
        <v>32</v>
      </c>
      <c r="C9680" t="str">
        <f>CHOOSE(MATCH(B9680, {20,25,30,35,40,45,50,55,60,65,70,75,80,85}, 1), "20-24", "25-29", "30-34", "35-39", "40-44", "45-49", "50-54", "55-59", "60-64", "65-69", "70-74", "75-79", "80-84", "85+")</f>
        <v>30-34</v>
      </c>
      <c r="D9680" t="s">
        <v>7</v>
      </c>
    </row>
    <row r="9681" spans="1:4">
      <c r="A9681" t="s">
        <v>6</v>
      </c>
      <c r="B9681">
        <v>30</v>
      </c>
      <c r="C9681" t="str">
        <f>CHOOSE(MATCH(B9681, {20,25,30,35,40,45,50,55,60,65,70,75,80,85}, 1), "20-24", "25-29", "30-34", "35-39", "40-44", "45-49", "50-54", "55-59", "60-64", "65-69", "70-74", "75-79", "80-84", "85+")</f>
        <v>30-34</v>
      </c>
      <c r="D9681" t="s">
        <v>8</v>
      </c>
    </row>
    <row r="9682" spans="1:4">
      <c r="A9682" t="s">
        <v>6</v>
      </c>
      <c r="B9682">
        <v>33</v>
      </c>
      <c r="C9682" t="str">
        <f>CHOOSE(MATCH(B9682, {20,25,30,35,40,45,50,55,60,65,70,75,80,85}, 1), "20-24", "25-29", "30-34", "35-39", "40-44", "45-49", "50-54", "55-59", "60-64", "65-69", "70-74", "75-79", "80-84", "85+")</f>
        <v>30-34</v>
      </c>
      <c r="D9682" t="s">
        <v>8</v>
      </c>
    </row>
    <row r="9683" spans="1:4">
      <c r="A9683" t="s">
        <v>6</v>
      </c>
      <c r="B9683">
        <v>36</v>
      </c>
      <c r="C9683" t="str">
        <f>CHOOSE(MATCH(B9683, {20,25,30,35,40,45,50,55,60,65,70,75,80,85}, 1), "20-24", "25-29", "30-34", "35-39", "40-44", "45-49", "50-54", "55-59", "60-64", "65-69", "70-74", "75-79", "80-84", "85+")</f>
        <v>35-39</v>
      </c>
      <c r="D9683" t="s">
        <v>7</v>
      </c>
    </row>
    <row r="9684" spans="1:4">
      <c r="A9684" t="s">
        <v>6</v>
      </c>
      <c r="B9684">
        <v>44</v>
      </c>
      <c r="C9684" t="str">
        <f>CHOOSE(MATCH(B9684, {20,25,30,35,40,45,50,55,60,65,70,75,80,85}, 1), "20-24", "25-29", "30-34", "35-39", "40-44", "45-49", "50-54", "55-59", "60-64", "65-69", "70-74", "75-79", "80-84", "85+")</f>
        <v>40-44</v>
      </c>
      <c r="D9684" t="s">
        <v>7</v>
      </c>
    </row>
    <row r="9685" spans="1:4">
      <c r="A9685" t="s">
        <v>6</v>
      </c>
      <c r="B9685">
        <v>34</v>
      </c>
      <c r="C9685" t="str">
        <f>CHOOSE(MATCH(B9685, {20,25,30,35,40,45,50,55,60,65,70,75,80,85}, 1), "20-24", "25-29", "30-34", "35-39", "40-44", "45-49", "50-54", "55-59", "60-64", "65-69", "70-74", "75-79", "80-84", "85+")</f>
        <v>30-34</v>
      </c>
      <c r="D9685" t="s">
        <v>7</v>
      </c>
    </row>
    <row r="9686" spans="1:4">
      <c r="A9686" t="s">
        <v>6</v>
      </c>
      <c r="B9686">
        <v>30</v>
      </c>
      <c r="C9686" t="str">
        <f>CHOOSE(MATCH(B9686, {20,25,30,35,40,45,50,55,60,65,70,75,80,85}, 1), "20-24", "25-29", "30-34", "35-39", "40-44", "45-49", "50-54", "55-59", "60-64", "65-69", "70-74", "75-79", "80-84", "85+")</f>
        <v>30-34</v>
      </c>
      <c r="D9686" t="s">
        <v>7</v>
      </c>
    </row>
    <row r="9687" spans="1:4">
      <c r="A9687" t="s">
        <v>6</v>
      </c>
      <c r="B9687">
        <v>40</v>
      </c>
      <c r="C9687" t="str">
        <f>CHOOSE(MATCH(B9687, {20,25,30,35,40,45,50,55,60,65,70,75,80,85}, 1), "20-24", "25-29", "30-34", "35-39", "40-44", "45-49", "50-54", "55-59", "60-64", "65-69", "70-74", "75-79", "80-84", "85+")</f>
        <v>40-44</v>
      </c>
      <c r="D9687" t="s">
        <v>7</v>
      </c>
    </row>
    <row r="9688" spans="1:4">
      <c r="A9688" t="s">
        <v>6</v>
      </c>
      <c r="B9688">
        <v>25</v>
      </c>
      <c r="C9688" t="str">
        <f>CHOOSE(MATCH(B9688, {20,25,30,35,40,45,50,55,60,65,70,75,80,85}, 1), "20-24", "25-29", "30-34", "35-39", "40-44", "45-49", "50-54", "55-59", "60-64", "65-69", "70-74", "75-79", "80-84", "85+")</f>
        <v>25-29</v>
      </c>
      <c r="D9688" t="s">
        <v>7</v>
      </c>
    </row>
    <row r="9689" spans="1:4">
      <c r="A9689" t="s">
        <v>6</v>
      </c>
      <c r="B9689">
        <v>35</v>
      </c>
      <c r="C9689" t="str">
        <f>CHOOSE(MATCH(B9689, {20,25,30,35,40,45,50,55,60,65,70,75,80,85}, 1), "20-24", "25-29", "30-34", "35-39", "40-44", "45-49", "50-54", "55-59", "60-64", "65-69", "70-74", "75-79", "80-84", "85+")</f>
        <v>35-39</v>
      </c>
      <c r="D9689" t="s">
        <v>8</v>
      </c>
    </row>
    <row r="9690" spans="1:4">
      <c r="A9690" t="s">
        <v>6</v>
      </c>
      <c r="B9690">
        <v>53</v>
      </c>
      <c r="C9690" t="str">
        <f>CHOOSE(MATCH(B9690, {20,25,30,35,40,45,50,55,60,65,70,75,80,85}, 1), "20-24", "25-29", "30-34", "35-39", "40-44", "45-49", "50-54", "55-59", "60-64", "65-69", "70-74", "75-79", "80-84", "85+")</f>
        <v>50-54</v>
      </c>
      <c r="D9690" t="s">
        <v>8</v>
      </c>
    </row>
    <row r="9691" spans="1:4">
      <c r="A9691" t="s">
        <v>6</v>
      </c>
      <c r="B9691">
        <v>41</v>
      </c>
      <c r="C9691" t="str">
        <f>CHOOSE(MATCH(B9691, {20,25,30,35,40,45,50,55,60,65,70,75,80,85}, 1), "20-24", "25-29", "30-34", "35-39", "40-44", "45-49", "50-54", "55-59", "60-64", "65-69", "70-74", "75-79", "80-84", "85+")</f>
        <v>40-44</v>
      </c>
      <c r="D9691" t="s">
        <v>7</v>
      </c>
    </row>
    <row r="9692" spans="1:4">
      <c r="A9692" t="s">
        <v>6</v>
      </c>
      <c r="B9692">
        <v>75</v>
      </c>
      <c r="C9692" t="str">
        <f>CHOOSE(MATCH(B9692, {20,25,30,35,40,45,50,55,60,65,70,75,80,85}, 1), "20-24", "25-29", "30-34", "35-39", "40-44", "45-49", "50-54", "55-59", "60-64", "65-69", "70-74", "75-79", "80-84", "85+")</f>
        <v>75-79</v>
      </c>
      <c r="D9692" t="s">
        <v>7</v>
      </c>
    </row>
    <row r="9693" spans="1:4">
      <c r="A9693" t="s">
        <v>6</v>
      </c>
      <c r="B9693">
        <v>44</v>
      </c>
      <c r="C9693" t="str">
        <f>CHOOSE(MATCH(B9693, {20,25,30,35,40,45,50,55,60,65,70,75,80,85}, 1), "20-24", "25-29", "30-34", "35-39", "40-44", "45-49", "50-54", "55-59", "60-64", "65-69", "70-74", "75-79", "80-84", "85+")</f>
        <v>40-44</v>
      </c>
      <c r="D9693" t="s">
        <v>7</v>
      </c>
    </row>
    <row r="9694" spans="1:4">
      <c r="A9694" t="s">
        <v>6</v>
      </c>
      <c r="B9694">
        <v>59</v>
      </c>
      <c r="C9694" t="str">
        <f>CHOOSE(MATCH(B9694, {20,25,30,35,40,45,50,55,60,65,70,75,80,85}, 1), "20-24", "25-29", "30-34", "35-39", "40-44", "45-49", "50-54", "55-59", "60-64", "65-69", "70-74", "75-79", "80-84", "85+")</f>
        <v>55-59</v>
      </c>
      <c r="D9694" t="s">
        <v>7</v>
      </c>
    </row>
    <row r="9695" spans="1:4">
      <c r="A9695" t="s">
        <v>6</v>
      </c>
      <c r="B9695">
        <v>65</v>
      </c>
      <c r="C9695" t="str">
        <f>CHOOSE(MATCH(B9695, {20,25,30,35,40,45,50,55,60,65,70,75,80,85}, 1), "20-24", "25-29", "30-34", "35-39", "40-44", "45-49", "50-54", "55-59", "60-64", "65-69", "70-74", "75-79", "80-84", "85+")</f>
        <v>65-69</v>
      </c>
      <c r="D9695" t="s">
        <v>8</v>
      </c>
    </row>
    <row r="9696" spans="1:4">
      <c r="A9696" t="s">
        <v>6</v>
      </c>
      <c r="B9696">
        <v>65</v>
      </c>
      <c r="C9696" t="str">
        <f>CHOOSE(MATCH(B9696, {20,25,30,35,40,45,50,55,60,65,70,75,80,85}, 1), "20-24", "25-29", "30-34", "35-39", "40-44", "45-49", "50-54", "55-59", "60-64", "65-69", "70-74", "75-79", "80-84", "85+")</f>
        <v>65-69</v>
      </c>
      <c r="D9696" t="s">
        <v>7</v>
      </c>
    </row>
    <row r="9697" spans="1:4">
      <c r="A9697" t="s">
        <v>6</v>
      </c>
      <c r="B9697">
        <v>26</v>
      </c>
      <c r="C9697" t="str">
        <f>CHOOSE(MATCH(B9697, {20,25,30,35,40,45,50,55,60,65,70,75,80,85}, 1), "20-24", "25-29", "30-34", "35-39", "40-44", "45-49", "50-54", "55-59", "60-64", "65-69", "70-74", "75-79", "80-84", "85+")</f>
        <v>25-29</v>
      </c>
      <c r="D9697" t="s">
        <v>7</v>
      </c>
    </row>
    <row r="9698" spans="1:4">
      <c r="A9698" t="s">
        <v>6</v>
      </c>
      <c r="B9698">
        <v>38</v>
      </c>
      <c r="C9698" t="str">
        <f>CHOOSE(MATCH(B9698, {20,25,30,35,40,45,50,55,60,65,70,75,80,85}, 1), "20-24", "25-29", "30-34", "35-39", "40-44", "45-49", "50-54", "55-59", "60-64", "65-69", "70-74", "75-79", "80-84", "85+")</f>
        <v>35-39</v>
      </c>
      <c r="D9698" t="s">
        <v>7</v>
      </c>
    </row>
    <row r="9699" spans="1:4">
      <c r="A9699" t="s">
        <v>6</v>
      </c>
      <c r="B9699">
        <v>26</v>
      </c>
      <c r="C9699" t="str">
        <f>CHOOSE(MATCH(B9699, {20,25,30,35,40,45,50,55,60,65,70,75,80,85}, 1), "20-24", "25-29", "30-34", "35-39", "40-44", "45-49", "50-54", "55-59", "60-64", "65-69", "70-74", "75-79", "80-84", "85+")</f>
        <v>25-29</v>
      </c>
      <c r="D9699" t="s">
        <v>8</v>
      </c>
    </row>
    <row r="9700" spans="1:4">
      <c r="A9700" t="s">
        <v>6</v>
      </c>
      <c r="B9700">
        <v>56</v>
      </c>
      <c r="C9700" t="str">
        <f>CHOOSE(MATCH(B9700, {20,25,30,35,40,45,50,55,60,65,70,75,80,85}, 1), "20-24", "25-29", "30-34", "35-39", "40-44", "45-49", "50-54", "55-59", "60-64", "65-69", "70-74", "75-79", "80-84", "85+")</f>
        <v>55-59</v>
      </c>
      <c r="D9700" t="s">
        <v>8</v>
      </c>
    </row>
    <row r="9701" spans="1:4">
      <c r="A9701" t="s">
        <v>6</v>
      </c>
      <c r="B9701">
        <v>40</v>
      </c>
      <c r="C9701" t="str">
        <f>CHOOSE(MATCH(B9701, {20,25,30,35,40,45,50,55,60,65,70,75,80,85}, 1), "20-24", "25-29", "30-34", "35-39", "40-44", "45-49", "50-54", "55-59", "60-64", "65-69", "70-74", "75-79", "80-84", "85+")</f>
        <v>40-44</v>
      </c>
      <c r="D9701" t="s">
        <v>7</v>
      </c>
    </row>
    <row r="9702" spans="1:4">
      <c r="A9702" t="s">
        <v>6</v>
      </c>
      <c r="B9702">
        <v>38</v>
      </c>
      <c r="C9702" t="str">
        <f>CHOOSE(MATCH(B9702, {20,25,30,35,40,45,50,55,60,65,70,75,80,85}, 1), "20-24", "25-29", "30-34", "35-39", "40-44", "45-49", "50-54", "55-59", "60-64", "65-69", "70-74", "75-79", "80-84", "85+")</f>
        <v>35-39</v>
      </c>
      <c r="D9702" t="s">
        <v>7</v>
      </c>
    </row>
    <row r="9703" spans="1:4">
      <c r="A9703" t="s">
        <v>6</v>
      </c>
      <c r="B9703">
        <v>33</v>
      </c>
      <c r="C9703" t="str">
        <f>CHOOSE(MATCH(B9703, {20,25,30,35,40,45,50,55,60,65,70,75,80,85}, 1), "20-24", "25-29", "30-34", "35-39", "40-44", "45-49", "50-54", "55-59", "60-64", "65-69", "70-74", "75-79", "80-84", "85+")</f>
        <v>30-34</v>
      </c>
      <c r="D9703" t="s">
        <v>7</v>
      </c>
    </row>
    <row r="9704" spans="1:4">
      <c r="A9704" t="s">
        <v>6</v>
      </c>
      <c r="B9704">
        <v>67</v>
      </c>
      <c r="C9704" t="str">
        <f>CHOOSE(MATCH(B9704, {20,25,30,35,40,45,50,55,60,65,70,75,80,85}, 1), "20-24", "25-29", "30-34", "35-39", "40-44", "45-49", "50-54", "55-59", "60-64", "65-69", "70-74", "75-79", "80-84", "85+")</f>
        <v>65-69</v>
      </c>
      <c r="D9704" t="s">
        <v>7</v>
      </c>
    </row>
    <row r="9705" spans="1:4">
      <c r="A9705" t="s">
        <v>6</v>
      </c>
      <c r="B9705">
        <v>27</v>
      </c>
      <c r="C9705" t="str">
        <f>CHOOSE(MATCH(B9705, {20,25,30,35,40,45,50,55,60,65,70,75,80,85}, 1), "20-24", "25-29", "30-34", "35-39", "40-44", "45-49", "50-54", "55-59", "60-64", "65-69", "70-74", "75-79", "80-84", "85+")</f>
        <v>25-29</v>
      </c>
      <c r="D9705" t="s">
        <v>7</v>
      </c>
    </row>
    <row r="9706" spans="1:4">
      <c r="A9706" t="s">
        <v>6</v>
      </c>
      <c r="B9706">
        <v>46</v>
      </c>
      <c r="C9706" t="str">
        <f>CHOOSE(MATCH(B9706, {20,25,30,35,40,45,50,55,60,65,70,75,80,85}, 1), "20-24", "25-29", "30-34", "35-39", "40-44", "45-49", "50-54", "55-59", "60-64", "65-69", "70-74", "75-79", "80-84", "85+")</f>
        <v>45-49</v>
      </c>
      <c r="D9706" t="s">
        <v>8</v>
      </c>
    </row>
    <row r="9707" spans="1:4">
      <c r="A9707" t="s">
        <v>6</v>
      </c>
      <c r="B9707">
        <v>28</v>
      </c>
      <c r="C9707" t="str">
        <f>CHOOSE(MATCH(B9707, {20,25,30,35,40,45,50,55,60,65,70,75,80,85}, 1), "20-24", "25-29", "30-34", "35-39", "40-44", "45-49", "50-54", "55-59", "60-64", "65-69", "70-74", "75-79", "80-84", "85+")</f>
        <v>25-29</v>
      </c>
      <c r="D9707" t="s">
        <v>7</v>
      </c>
    </row>
    <row r="9708" spans="1:4">
      <c r="A9708" t="s">
        <v>6</v>
      </c>
      <c r="B9708">
        <v>36</v>
      </c>
      <c r="C9708" t="str">
        <f>CHOOSE(MATCH(B9708, {20,25,30,35,40,45,50,55,60,65,70,75,80,85}, 1), "20-24", "25-29", "30-34", "35-39", "40-44", "45-49", "50-54", "55-59", "60-64", "65-69", "70-74", "75-79", "80-84", "85+")</f>
        <v>35-39</v>
      </c>
      <c r="D9708" t="s">
        <v>8</v>
      </c>
    </row>
    <row r="9709" spans="1:4">
      <c r="A9709" t="s">
        <v>6</v>
      </c>
      <c r="B9709">
        <v>39</v>
      </c>
      <c r="C9709" t="str">
        <f>CHOOSE(MATCH(B9709, {20,25,30,35,40,45,50,55,60,65,70,75,80,85}, 1), "20-24", "25-29", "30-34", "35-39", "40-44", "45-49", "50-54", "55-59", "60-64", "65-69", "70-74", "75-79", "80-84", "85+")</f>
        <v>35-39</v>
      </c>
      <c r="D9709" t="s">
        <v>7</v>
      </c>
    </row>
    <row r="9710" spans="1:4">
      <c r="A9710" t="s">
        <v>6</v>
      </c>
      <c r="B9710">
        <v>28</v>
      </c>
      <c r="C9710" t="str">
        <f>CHOOSE(MATCH(B9710, {20,25,30,35,40,45,50,55,60,65,70,75,80,85}, 1), "20-24", "25-29", "30-34", "35-39", "40-44", "45-49", "50-54", "55-59", "60-64", "65-69", "70-74", "75-79", "80-84", "85+")</f>
        <v>25-29</v>
      </c>
      <c r="D9710" t="s">
        <v>7</v>
      </c>
    </row>
    <row r="9711" spans="1:4">
      <c r="A9711" t="s">
        <v>6</v>
      </c>
      <c r="B9711">
        <v>72</v>
      </c>
      <c r="C9711" t="str">
        <f>CHOOSE(MATCH(B9711, {20,25,30,35,40,45,50,55,60,65,70,75,80,85}, 1), "20-24", "25-29", "30-34", "35-39", "40-44", "45-49", "50-54", "55-59", "60-64", "65-69", "70-74", "75-79", "80-84", "85+")</f>
        <v>70-74</v>
      </c>
      <c r="D9711" t="s">
        <v>7</v>
      </c>
    </row>
    <row r="9712" spans="1:4">
      <c r="A9712" t="s">
        <v>6</v>
      </c>
      <c r="B9712">
        <v>50</v>
      </c>
      <c r="C9712" t="str">
        <f>CHOOSE(MATCH(B9712, {20,25,30,35,40,45,50,55,60,65,70,75,80,85}, 1), "20-24", "25-29", "30-34", "35-39", "40-44", "45-49", "50-54", "55-59", "60-64", "65-69", "70-74", "75-79", "80-84", "85+")</f>
        <v>50-54</v>
      </c>
      <c r="D9712" t="s">
        <v>8</v>
      </c>
    </row>
    <row r="9713" spans="1:4">
      <c r="A9713" t="s">
        <v>6</v>
      </c>
      <c r="B9713">
        <v>50</v>
      </c>
      <c r="C9713" t="str">
        <f>CHOOSE(MATCH(B9713, {20,25,30,35,40,45,50,55,60,65,70,75,80,85}, 1), "20-24", "25-29", "30-34", "35-39", "40-44", "45-49", "50-54", "55-59", "60-64", "65-69", "70-74", "75-79", "80-84", "85+")</f>
        <v>50-54</v>
      </c>
      <c r="D9713" t="s">
        <v>7</v>
      </c>
    </row>
    <row r="9714" spans="1:4">
      <c r="A9714" t="s">
        <v>6</v>
      </c>
      <c r="B9714">
        <v>75</v>
      </c>
      <c r="C9714" t="str">
        <f>CHOOSE(MATCH(B9714, {20,25,30,35,40,45,50,55,60,65,70,75,80,85}, 1), "20-24", "25-29", "30-34", "35-39", "40-44", "45-49", "50-54", "55-59", "60-64", "65-69", "70-74", "75-79", "80-84", "85+")</f>
        <v>75-79</v>
      </c>
      <c r="D9714" t="s">
        <v>7</v>
      </c>
    </row>
    <row r="9715" spans="1:4">
      <c r="A9715" t="s">
        <v>6</v>
      </c>
      <c r="B9715">
        <v>36</v>
      </c>
      <c r="C9715" t="str">
        <f>CHOOSE(MATCH(B9715, {20,25,30,35,40,45,50,55,60,65,70,75,80,85}, 1), "20-24", "25-29", "30-34", "35-39", "40-44", "45-49", "50-54", "55-59", "60-64", "65-69", "70-74", "75-79", "80-84", "85+")</f>
        <v>35-39</v>
      </c>
      <c r="D9715" t="s">
        <v>7</v>
      </c>
    </row>
    <row r="9716" spans="1:4">
      <c r="A9716" t="s">
        <v>6</v>
      </c>
      <c r="B9716">
        <v>25</v>
      </c>
      <c r="C9716" t="str">
        <f>CHOOSE(MATCH(B9716, {20,25,30,35,40,45,50,55,60,65,70,75,80,85}, 1), "20-24", "25-29", "30-34", "35-39", "40-44", "45-49", "50-54", "55-59", "60-64", "65-69", "70-74", "75-79", "80-84", "85+")</f>
        <v>25-29</v>
      </c>
      <c r="D9716" t="s">
        <v>7</v>
      </c>
    </row>
    <row r="9717" spans="1:4">
      <c r="A9717" t="s">
        <v>6</v>
      </c>
      <c r="B9717">
        <v>30</v>
      </c>
      <c r="C9717" t="str">
        <f>CHOOSE(MATCH(B9717, {20,25,30,35,40,45,50,55,60,65,70,75,80,85}, 1), "20-24", "25-29", "30-34", "35-39", "40-44", "45-49", "50-54", "55-59", "60-64", "65-69", "70-74", "75-79", "80-84", "85+")</f>
        <v>30-34</v>
      </c>
      <c r="D9717" t="s">
        <v>7</v>
      </c>
    </row>
    <row r="9718" spans="1:4">
      <c r="A9718" t="s">
        <v>6</v>
      </c>
      <c r="B9718">
        <v>28</v>
      </c>
      <c r="C9718" t="str">
        <f>CHOOSE(MATCH(B9718, {20,25,30,35,40,45,50,55,60,65,70,75,80,85}, 1), "20-24", "25-29", "30-34", "35-39", "40-44", "45-49", "50-54", "55-59", "60-64", "65-69", "70-74", "75-79", "80-84", "85+")</f>
        <v>25-29</v>
      </c>
      <c r="D9718" t="s">
        <v>8</v>
      </c>
    </row>
    <row r="9719" spans="1:4">
      <c r="A9719" t="s">
        <v>6</v>
      </c>
      <c r="B9719">
        <v>41</v>
      </c>
      <c r="C9719" t="str">
        <f>CHOOSE(MATCH(B9719, {20,25,30,35,40,45,50,55,60,65,70,75,80,85}, 1), "20-24", "25-29", "30-34", "35-39", "40-44", "45-49", "50-54", "55-59", "60-64", "65-69", "70-74", "75-79", "80-84", "85+")</f>
        <v>40-44</v>
      </c>
      <c r="D9719" t="s">
        <v>8</v>
      </c>
    </row>
    <row r="9720" spans="1:4">
      <c r="A9720" t="s">
        <v>6</v>
      </c>
      <c r="B9720">
        <v>54</v>
      </c>
      <c r="C9720" t="str">
        <f>CHOOSE(MATCH(B9720, {20,25,30,35,40,45,50,55,60,65,70,75,80,85}, 1), "20-24", "25-29", "30-34", "35-39", "40-44", "45-49", "50-54", "55-59", "60-64", "65-69", "70-74", "75-79", "80-84", "85+")</f>
        <v>50-54</v>
      </c>
      <c r="D9720" t="s">
        <v>8</v>
      </c>
    </row>
    <row r="9721" spans="1:4">
      <c r="A9721" t="s">
        <v>6</v>
      </c>
      <c r="B9721">
        <v>39</v>
      </c>
      <c r="C9721" t="str">
        <f>CHOOSE(MATCH(B9721, {20,25,30,35,40,45,50,55,60,65,70,75,80,85}, 1), "20-24", "25-29", "30-34", "35-39", "40-44", "45-49", "50-54", "55-59", "60-64", "65-69", "70-74", "75-79", "80-84", "85+")</f>
        <v>35-39</v>
      </c>
      <c r="D9721" t="s">
        <v>7</v>
      </c>
    </row>
    <row r="9722" spans="1:4">
      <c r="A9722" t="s">
        <v>6</v>
      </c>
      <c r="B9722">
        <v>32</v>
      </c>
      <c r="C9722" t="str">
        <f>CHOOSE(MATCH(B9722, {20,25,30,35,40,45,50,55,60,65,70,75,80,85}, 1), "20-24", "25-29", "30-34", "35-39", "40-44", "45-49", "50-54", "55-59", "60-64", "65-69", "70-74", "75-79", "80-84", "85+")</f>
        <v>30-34</v>
      </c>
      <c r="D9722" t="s">
        <v>7</v>
      </c>
    </row>
    <row r="9723" spans="1:4">
      <c r="A9723" t="s">
        <v>6</v>
      </c>
      <c r="B9723">
        <v>37</v>
      </c>
      <c r="C9723" t="str">
        <f>CHOOSE(MATCH(B9723, {20,25,30,35,40,45,50,55,60,65,70,75,80,85}, 1), "20-24", "25-29", "30-34", "35-39", "40-44", "45-49", "50-54", "55-59", "60-64", "65-69", "70-74", "75-79", "80-84", "85+")</f>
        <v>35-39</v>
      </c>
      <c r="D9723" t="s">
        <v>7</v>
      </c>
    </row>
    <row r="9724" spans="1:4">
      <c r="A9724" t="s">
        <v>6</v>
      </c>
      <c r="B9724">
        <v>51</v>
      </c>
      <c r="C9724" t="str">
        <f>CHOOSE(MATCH(B9724, {20,25,30,35,40,45,50,55,60,65,70,75,80,85}, 1), "20-24", "25-29", "30-34", "35-39", "40-44", "45-49", "50-54", "55-59", "60-64", "65-69", "70-74", "75-79", "80-84", "85+")</f>
        <v>50-54</v>
      </c>
      <c r="D9724" t="s">
        <v>7</v>
      </c>
    </row>
    <row r="9725" spans="1:4">
      <c r="A9725" t="s">
        <v>6</v>
      </c>
      <c r="B9725">
        <v>34</v>
      </c>
      <c r="C9725" t="str">
        <f>CHOOSE(MATCH(B9725, {20,25,30,35,40,45,50,55,60,65,70,75,80,85}, 1), "20-24", "25-29", "30-34", "35-39", "40-44", "45-49", "50-54", "55-59", "60-64", "65-69", "70-74", "75-79", "80-84", "85+")</f>
        <v>30-34</v>
      </c>
      <c r="D9725" t="s">
        <v>7</v>
      </c>
    </row>
    <row r="9726" spans="1:4">
      <c r="A9726" t="s">
        <v>6</v>
      </c>
      <c r="B9726">
        <v>39</v>
      </c>
      <c r="C9726" t="str">
        <f>CHOOSE(MATCH(B9726, {20,25,30,35,40,45,50,55,60,65,70,75,80,85}, 1), "20-24", "25-29", "30-34", "35-39", "40-44", "45-49", "50-54", "55-59", "60-64", "65-69", "70-74", "75-79", "80-84", "85+")</f>
        <v>35-39</v>
      </c>
      <c r="D9726" t="s">
        <v>8</v>
      </c>
    </row>
    <row r="9727" spans="1:4">
      <c r="A9727" t="s">
        <v>6</v>
      </c>
      <c r="B9727">
        <v>33</v>
      </c>
      <c r="C9727" t="str">
        <f>CHOOSE(MATCH(B9727, {20,25,30,35,40,45,50,55,60,65,70,75,80,85}, 1), "20-24", "25-29", "30-34", "35-39", "40-44", "45-49", "50-54", "55-59", "60-64", "65-69", "70-74", "75-79", "80-84", "85+")</f>
        <v>30-34</v>
      </c>
      <c r="D9727" t="s">
        <v>7</v>
      </c>
    </row>
    <row r="9728" spans="1:4">
      <c r="A9728" t="s">
        <v>6</v>
      </c>
      <c r="B9728">
        <v>36</v>
      </c>
      <c r="C9728" t="str">
        <f>CHOOSE(MATCH(B9728, {20,25,30,35,40,45,50,55,60,65,70,75,80,85}, 1), "20-24", "25-29", "30-34", "35-39", "40-44", "45-49", "50-54", "55-59", "60-64", "65-69", "70-74", "75-79", "80-84", "85+")</f>
        <v>35-39</v>
      </c>
      <c r="D9728" t="s">
        <v>7</v>
      </c>
    </row>
    <row r="9729" spans="1:4">
      <c r="A9729" t="s">
        <v>6</v>
      </c>
      <c r="B9729">
        <v>31</v>
      </c>
      <c r="C9729" t="str">
        <f>CHOOSE(MATCH(B9729, {20,25,30,35,40,45,50,55,60,65,70,75,80,85}, 1), "20-24", "25-29", "30-34", "35-39", "40-44", "45-49", "50-54", "55-59", "60-64", "65-69", "70-74", "75-79", "80-84", "85+")</f>
        <v>30-34</v>
      </c>
      <c r="D9729" t="s">
        <v>7</v>
      </c>
    </row>
    <row r="9730" spans="1:4">
      <c r="A9730" t="s">
        <v>6</v>
      </c>
      <c r="B9730">
        <v>58</v>
      </c>
      <c r="C9730" t="str">
        <f>CHOOSE(MATCH(B9730, {20,25,30,35,40,45,50,55,60,65,70,75,80,85}, 1), "20-24", "25-29", "30-34", "35-39", "40-44", "45-49", "50-54", "55-59", "60-64", "65-69", "70-74", "75-79", "80-84", "85+")</f>
        <v>55-59</v>
      </c>
      <c r="D9730" t="s">
        <v>8</v>
      </c>
    </row>
    <row r="9731" spans="1:4">
      <c r="A9731" t="s">
        <v>6</v>
      </c>
      <c r="B9731">
        <v>29</v>
      </c>
      <c r="C9731" t="str">
        <f>CHOOSE(MATCH(B9731, {20,25,30,35,40,45,50,55,60,65,70,75,80,85}, 1), "20-24", "25-29", "30-34", "35-39", "40-44", "45-49", "50-54", "55-59", "60-64", "65-69", "70-74", "75-79", "80-84", "85+")</f>
        <v>25-29</v>
      </c>
      <c r="D9731" t="s">
        <v>8</v>
      </c>
    </row>
    <row r="9732" spans="1:4">
      <c r="A9732" t="s">
        <v>6</v>
      </c>
      <c r="B9732">
        <v>32</v>
      </c>
      <c r="C9732" t="str">
        <f>CHOOSE(MATCH(B9732, {20,25,30,35,40,45,50,55,60,65,70,75,80,85}, 1), "20-24", "25-29", "30-34", "35-39", "40-44", "45-49", "50-54", "55-59", "60-64", "65-69", "70-74", "75-79", "80-84", "85+")</f>
        <v>30-34</v>
      </c>
      <c r="D9732" t="s">
        <v>7</v>
      </c>
    </row>
    <row r="9733" spans="1:4">
      <c r="A9733" t="s">
        <v>6</v>
      </c>
      <c r="B9733">
        <v>31</v>
      </c>
      <c r="C9733" t="str">
        <f>CHOOSE(MATCH(B9733, {20,25,30,35,40,45,50,55,60,65,70,75,80,85}, 1), "20-24", "25-29", "30-34", "35-39", "40-44", "45-49", "50-54", "55-59", "60-64", "65-69", "70-74", "75-79", "80-84", "85+")</f>
        <v>30-34</v>
      </c>
      <c r="D9733" t="s">
        <v>7</v>
      </c>
    </row>
    <row r="9734" spans="1:4">
      <c r="A9734" t="s">
        <v>6</v>
      </c>
      <c r="B9734">
        <v>24</v>
      </c>
      <c r="C9734" t="str">
        <f>CHOOSE(MATCH(B9734, {20,25,30,35,40,45,50,55,60,65,70,75,80,85}, 1), "20-24", "25-29", "30-34", "35-39", "40-44", "45-49", "50-54", "55-59", "60-64", "65-69", "70-74", "75-79", "80-84", "85+")</f>
        <v>20-24</v>
      </c>
      <c r="D9734" t="s">
        <v>8</v>
      </c>
    </row>
    <row r="9735" spans="1:4">
      <c r="A9735" t="s">
        <v>6</v>
      </c>
      <c r="B9735">
        <v>33</v>
      </c>
      <c r="C9735" t="str">
        <f>CHOOSE(MATCH(B9735, {20,25,30,35,40,45,50,55,60,65,70,75,80,85}, 1), "20-24", "25-29", "30-34", "35-39", "40-44", "45-49", "50-54", "55-59", "60-64", "65-69", "70-74", "75-79", "80-84", "85+")</f>
        <v>30-34</v>
      </c>
      <c r="D9735" t="s">
        <v>8</v>
      </c>
    </row>
    <row r="9736" spans="1:4">
      <c r="A9736" t="s">
        <v>6</v>
      </c>
      <c r="B9736">
        <v>26</v>
      </c>
      <c r="C9736" t="str">
        <f>CHOOSE(MATCH(B9736, {20,25,30,35,40,45,50,55,60,65,70,75,80,85}, 1), "20-24", "25-29", "30-34", "35-39", "40-44", "45-49", "50-54", "55-59", "60-64", "65-69", "70-74", "75-79", "80-84", "85+")</f>
        <v>25-29</v>
      </c>
      <c r="D9736" t="s">
        <v>7</v>
      </c>
    </row>
    <row r="9737" spans="1:4">
      <c r="A9737" t="s">
        <v>6</v>
      </c>
      <c r="B9737">
        <v>30</v>
      </c>
      <c r="C9737" t="str">
        <f>CHOOSE(MATCH(B9737, {20,25,30,35,40,45,50,55,60,65,70,75,80,85}, 1), "20-24", "25-29", "30-34", "35-39", "40-44", "45-49", "50-54", "55-59", "60-64", "65-69", "70-74", "75-79", "80-84", "85+")</f>
        <v>30-34</v>
      </c>
      <c r="D9737" t="s">
        <v>8</v>
      </c>
    </row>
    <row r="9738" spans="1:4">
      <c r="A9738" t="s">
        <v>6</v>
      </c>
      <c r="B9738">
        <v>35</v>
      </c>
      <c r="C9738" t="str">
        <f>CHOOSE(MATCH(B9738, {20,25,30,35,40,45,50,55,60,65,70,75,80,85}, 1), "20-24", "25-29", "30-34", "35-39", "40-44", "45-49", "50-54", "55-59", "60-64", "65-69", "70-74", "75-79", "80-84", "85+")</f>
        <v>35-39</v>
      </c>
      <c r="D9738" t="s">
        <v>7</v>
      </c>
    </row>
    <row r="9739" spans="1:4">
      <c r="A9739" t="s">
        <v>6</v>
      </c>
      <c r="B9739">
        <v>33</v>
      </c>
      <c r="C9739" t="str">
        <f>CHOOSE(MATCH(B9739, {20,25,30,35,40,45,50,55,60,65,70,75,80,85}, 1), "20-24", "25-29", "30-34", "35-39", "40-44", "45-49", "50-54", "55-59", "60-64", "65-69", "70-74", "75-79", "80-84", "85+")</f>
        <v>30-34</v>
      </c>
      <c r="D9739" t="s">
        <v>8</v>
      </c>
    </row>
    <row r="9740" spans="1:4">
      <c r="A9740" t="s">
        <v>6</v>
      </c>
      <c r="B9740">
        <v>27</v>
      </c>
      <c r="C9740" t="str">
        <f>CHOOSE(MATCH(B9740, {20,25,30,35,40,45,50,55,60,65,70,75,80,85}, 1), "20-24", "25-29", "30-34", "35-39", "40-44", "45-49", "50-54", "55-59", "60-64", "65-69", "70-74", "75-79", "80-84", "85+")</f>
        <v>25-29</v>
      </c>
      <c r="D9740" t="s">
        <v>7</v>
      </c>
    </row>
    <row r="9741" spans="1:4">
      <c r="A9741" t="s">
        <v>6</v>
      </c>
      <c r="B9741">
        <v>80</v>
      </c>
      <c r="C9741" t="str">
        <f>CHOOSE(MATCH(B9741, {20,25,30,35,40,45,50,55,60,65,70,75,80,85}, 1), "20-24", "25-29", "30-34", "35-39", "40-44", "45-49", "50-54", "55-59", "60-64", "65-69", "70-74", "75-79", "80-84", "85+")</f>
        <v>80-84</v>
      </c>
      <c r="D9741" t="s">
        <v>7</v>
      </c>
    </row>
    <row r="9742" spans="1:4">
      <c r="A9742" t="s">
        <v>6</v>
      </c>
      <c r="B9742">
        <v>24</v>
      </c>
      <c r="C9742" t="str">
        <f>CHOOSE(MATCH(B9742, {20,25,30,35,40,45,50,55,60,65,70,75,80,85}, 1), "20-24", "25-29", "30-34", "35-39", "40-44", "45-49", "50-54", "55-59", "60-64", "65-69", "70-74", "75-79", "80-84", "85+")</f>
        <v>20-24</v>
      </c>
      <c r="D9742" t="s">
        <v>8</v>
      </c>
    </row>
    <row r="9743" spans="1:4">
      <c r="A9743" t="s">
        <v>6</v>
      </c>
      <c r="B9743">
        <v>47</v>
      </c>
      <c r="C9743" t="str">
        <f>CHOOSE(MATCH(B9743, {20,25,30,35,40,45,50,55,60,65,70,75,80,85}, 1), "20-24", "25-29", "30-34", "35-39", "40-44", "45-49", "50-54", "55-59", "60-64", "65-69", "70-74", "75-79", "80-84", "85+")</f>
        <v>45-49</v>
      </c>
      <c r="D9743" t="s">
        <v>7</v>
      </c>
    </row>
    <row r="9744" spans="1:4">
      <c r="A9744" t="s">
        <v>6</v>
      </c>
      <c r="B9744">
        <v>44</v>
      </c>
      <c r="C9744" t="str">
        <f>CHOOSE(MATCH(B9744, {20,25,30,35,40,45,50,55,60,65,70,75,80,85}, 1), "20-24", "25-29", "30-34", "35-39", "40-44", "45-49", "50-54", "55-59", "60-64", "65-69", "70-74", "75-79", "80-84", "85+")</f>
        <v>40-44</v>
      </c>
      <c r="D9744" t="s">
        <v>8</v>
      </c>
    </row>
    <row r="9745" spans="1:4">
      <c r="A9745" t="s">
        <v>6</v>
      </c>
      <c r="B9745">
        <v>48</v>
      </c>
      <c r="C9745" t="str">
        <f>CHOOSE(MATCH(B9745, {20,25,30,35,40,45,50,55,60,65,70,75,80,85}, 1), "20-24", "25-29", "30-34", "35-39", "40-44", "45-49", "50-54", "55-59", "60-64", "65-69", "70-74", "75-79", "80-84", "85+")</f>
        <v>45-49</v>
      </c>
      <c r="D9745" t="s">
        <v>7</v>
      </c>
    </row>
    <row r="9746" spans="1:4">
      <c r="A9746" t="s">
        <v>6</v>
      </c>
      <c r="B9746">
        <v>37</v>
      </c>
      <c r="C9746" t="str">
        <f>CHOOSE(MATCH(B9746, {20,25,30,35,40,45,50,55,60,65,70,75,80,85}, 1), "20-24", "25-29", "30-34", "35-39", "40-44", "45-49", "50-54", "55-59", "60-64", "65-69", "70-74", "75-79", "80-84", "85+")</f>
        <v>35-39</v>
      </c>
      <c r="D9746" t="s">
        <v>7</v>
      </c>
    </row>
    <row r="9747" spans="1:4">
      <c r="A9747" t="s">
        <v>6</v>
      </c>
      <c r="B9747">
        <v>34</v>
      </c>
      <c r="C9747" t="str">
        <f>CHOOSE(MATCH(B9747, {20,25,30,35,40,45,50,55,60,65,70,75,80,85}, 1), "20-24", "25-29", "30-34", "35-39", "40-44", "45-49", "50-54", "55-59", "60-64", "65-69", "70-74", "75-79", "80-84", "85+")</f>
        <v>30-34</v>
      </c>
      <c r="D9747" t="s">
        <v>8</v>
      </c>
    </row>
    <row r="9748" spans="1:4">
      <c r="A9748" t="s">
        <v>6</v>
      </c>
      <c r="B9748">
        <v>23</v>
      </c>
      <c r="C9748" t="str">
        <f>CHOOSE(MATCH(B9748, {20,25,30,35,40,45,50,55,60,65,70,75,80,85}, 1), "20-24", "25-29", "30-34", "35-39", "40-44", "45-49", "50-54", "55-59", "60-64", "65-69", "70-74", "75-79", "80-84", "85+")</f>
        <v>20-24</v>
      </c>
      <c r="D9748" t="s">
        <v>8</v>
      </c>
    </row>
    <row r="9749" spans="1:4">
      <c r="A9749" t="s">
        <v>6</v>
      </c>
      <c r="B9749">
        <v>55</v>
      </c>
      <c r="C9749" t="str">
        <f>CHOOSE(MATCH(B9749, {20,25,30,35,40,45,50,55,60,65,70,75,80,85}, 1), "20-24", "25-29", "30-34", "35-39", "40-44", "45-49", "50-54", "55-59", "60-64", "65-69", "70-74", "75-79", "80-84", "85+")</f>
        <v>55-59</v>
      </c>
      <c r="D9749" t="s">
        <v>8</v>
      </c>
    </row>
    <row r="9750" spans="1:4">
      <c r="A9750" t="s">
        <v>6</v>
      </c>
      <c r="B9750">
        <v>68</v>
      </c>
      <c r="C9750" t="str">
        <f>CHOOSE(MATCH(B9750, {20,25,30,35,40,45,50,55,60,65,70,75,80,85}, 1), "20-24", "25-29", "30-34", "35-39", "40-44", "45-49", "50-54", "55-59", "60-64", "65-69", "70-74", "75-79", "80-84", "85+")</f>
        <v>65-69</v>
      </c>
      <c r="D9750" t="s">
        <v>7</v>
      </c>
    </row>
    <row r="9751" spans="1:4">
      <c r="A9751" t="s">
        <v>6</v>
      </c>
      <c r="B9751">
        <v>24</v>
      </c>
      <c r="C9751" t="str">
        <f>CHOOSE(MATCH(B9751, {20,25,30,35,40,45,50,55,60,65,70,75,80,85}, 1), "20-24", "25-29", "30-34", "35-39", "40-44", "45-49", "50-54", "55-59", "60-64", "65-69", "70-74", "75-79", "80-84", "85+")</f>
        <v>20-24</v>
      </c>
      <c r="D9751" t="s">
        <v>8</v>
      </c>
    </row>
    <row r="9752" spans="1:4">
      <c r="A9752" t="s">
        <v>6</v>
      </c>
      <c r="B9752">
        <v>59</v>
      </c>
      <c r="C9752" t="str">
        <f>CHOOSE(MATCH(B9752, {20,25,30,35,40,45,50,55,60,65,70,75,80,85}, 1), "20-24", "25-29", "30-34", "35-39", "40-44", "45-49", "50-54", "55-59", "60-64", "65-69", "70-74", "75-79", "80-84", "85+")</f>
        <v>55-59</v>
      </c>
      <c r="D9752" t="s">
        <v>8</v>
      </c>
    </row>
    <row r="9753" spans="1:4">
      <c r="A9753" t="s">
        <v>6</v>
      </c>
      <c r="B9753">
        <v>34</v>
      </c>
      <c r="C9753" t="str">
        <f>CHOOSE(MATCH(B9753, {20,25,30,35,40,45,50,55,60,65,70,75,80,85}, 1), "20-24", "25-29", "30-34", "35-39", "40-44", "45-49", "50-54", "55-59", "60-64", "65-69", "70-74", "75-79", "80-84", "85+")</f>
        <v>30-34</v>
      </c>
      <c r="D9753" t="s">
        <v>7</v>
      </c>
    </row>
    <row r="9754" spans="1:4">
      <c r="A9754" t="s">
        <v>6</v>
      </c>
      <c r="B9754">
        <v>46</v>
      </c>
      <c r="C9754" t="str">
        <f>CHOOSE(MATCH(B9754, {20,25,30,35,40,45,50,55,60,65,70,75,80,85}, 1), "20-24", "25-29", "30-34", "35-39", "40-44", "45-49", "50-54", "55-59", "60-64", "65-69", "70-74", "75-79", "80-84", "85+")</f>
        <v>45-49</v>
      </c>
      <c r="D9754" t="s">
        <v>7</v>
      </c>
    </row>
    <row r="9755" spans="1:4">
      <c r="A9755" t="s">
        <v>6</v>
      </c>
      <c r="B9755">
        <v>46</v>
      </c>
      <c r="C9755" t="str">
        <f>CHOOSE(MATCH(B9755, {20,25,30,35,40,45,50,55,60,65,70,75,80,85}, 1), "20-24", "25-29", "30-34", "35-39", "40-44", "45-49", "50-54", "55-59", "60-64", "65-69", "70-74", "75-79", "80-84", "85+")</f>
        <v>45-49</v>
      </c>
      <c r="D9755" t="s">
        <v>8</v>
      </c>
    </row>
    <row r="9756" spans="1:4">
      <c r="A9756" t="s">
        <v>6</v>
      </c>
      <c r="B9756">
        <v>25</v>
      </c>
      <c r="C9756" t="str">
        <f>CHOOSE(MATCH(B9756, {20,25,30,35,40,45,50,55,60,65,70,75,80,85}, 1), "20-24", "25-29", "30-34", "35-39", "40-44", "45-49", "50-54", "55-59", "60-64", "65-69", "70-74", "75-79", "80-84", "85+")</f>
        <v>25-29</v>
      </c>
      <c r="D9756" t="s">
        <v>7</v>
      </c>
    </row>
    <row r="9757" spans="1:4">
      <c r="A9757" t="s">
        <v>6</v>
      </c>
      <c r="B9757">
        <v>57</v>
      </c>
      <c r="C9757" t="str">
        <f>CHOOSE(MATCH(B9757, {20,25,30,35,40,45,50,55,60,65,70,75,80,85}, 1), "20-24", "25-29", "30-34", "35-39", "40-44", "45-49", "50-54", "55-59", "60-64", "65-69", "70-74", "75-79", "80-84", "85+")</f>
        <v>55-59</v>
      </c>
      <c r="D9757" t="s">
        <v>7</v>
      </c>
    </row>
    <row r="9758" spans="1:4">
      <c r="A9758" t="s">
        <v>6</v>
      </c>
      <c r="B9758">
        <v>39</v>
      </c>
      <c r="C9758" t="str">
        <f>CHOOSE(MATCH(B9758, {20,25,30,35,40,45,50,55,60,65,70,75,80,85}, 1), "20-24", "25-29", "30-34", "35-39", "40-44", "45-49", "50-54", "55-59", "60-64", "65-69", "70-74", "75-79", "80-84", "85+")</f>
        <v>35-39</v>
      </c>
      <c r="D9758" t="s">
        <v>7</v>
      </c>
    </row>
    <row r="9759" spans="1:4">
      <c r="A9759" t="s">
        <v>6</v>
      </c>
      <c r="B9759">
        <v>29</v>
      </c>
      <c r="C9759" t="str">
        <f>CHOOSE(MATCH(B9759, {20,25,30,35,40,45,50,55,60,65,70,75,80,85}, 1), "20-24", "25-29", "30-34", "35-39", "40-44", "45-49", "50-54", "55-59", "60-64", "65-69", "70-74", "75-79", "80-84", "85+")</f>
        <v>25-29</v>
      </c>
      <c r="D9759" t="s">
        <v>7</v>
      </c>
    </row>
    <row r="9760" spans="1:4">
      <c r="A9760" t="s">
        <v>6</v>
      </c>
      <c r="B9760">
        <v>31</v>
      </c>
      <c r="C9760" t="str">
        <f>CHOOSE(MATCH(B9760, {20,25,30,35,40,45,50,55,60,65,70,75,80,85}, 1), "20-24", "25-29", "30-34", "35-39", "40-44", "45-49", "50-54", "55-59", "60-64", "65-69", "70-74", "75-79", "80-84", "85+")</f>
        <v>30-34</v>
      </c>
      <c r="D9760" t="s">
        <v>7</v>
      </c>
    </row>
    <row r="9761" spans="1:4">
      <c r="A9761" t="s">
        <v>6</v>
      </c>
      <c r="B9761">
        <v>33</v>
      </c>
      <c r="C9761" t="str">
        <f>CHOOSE(MATCH(B9761, {20,25,30,35,40,45,50,55,60,65,70,75,80,85}, 1), "20-24", "25-29", "30-34", "35-39", "40-44", "45-49", "50-54", "55-59", "60-64", "65-69", "70-74", "75-79", "80-84", "85+")</f>
        <v>30-34</v>
      </c>
      <c r="D9761" t="s">
        <v>7</v>
      </c>
    </row>
    <row r="9762" spans="1:4">
      <c r="A9762" t="s">
        <v>6</v>
      </c>
      <c r="B9762">
        <v>30</v>
      </c>
      <c r="C9762" t="str">
        <f>CHOOSE(MATCH(B9762, {20,25,30,35,40,45,50,55,60,65,70,75,80,85}, 1), "20-24", "25-29", "30-34", "35-39", "40-44", "45-49", "50-54", "55-59", "60-64", "65-69", "70-74", "75-79", "80-84", "85+")</f>
        <v>30-34</v>
      </c>
      <c r="D9762" t="s">
        <v>7</v>
      </c>
    </row>
    <row r="9763" spans="1:4">
      <c r="A9763" t="s">
        <v>6</v>
      </c>
      <c r="B9763">
        <v>25</v>
      </c>
      <c r="C9763" t="str">
        <f>CHOOSE(MATCH(B9763, {20,25,30,35,40,45,50,55,60,65,70,75,80,85}, 1), "20-24", "25-29", "30-34", "35-39", "40-44", "45-49", "50-54", "55-59", "60-64", "65-69", "70-74", "75-79", "80-84", "85+")</f>
        <v>25-29</v>
      </c>
      <c r="D9763" t="s">
        <v>8</v>
      </c>
    </row>
    <row r="9764" spans="1:4">
      <c r="A9764" t="s">
        <v>6</v>
      </c>
      <c r="B9764">
        <v>29</v>
      </c>
      <c r="C9764" t="str">
        <f>CHOOSE(MATCH(B9764, {20,25,30,35,40,45,50,55,60,65,70,75,80,85}, 1), "20-24", "25-29", "30-34", "35-39", "40-44", "45-49", "50-54", "55-59", "60-64", "65-69", "70-74", "75-79", "80-84", "85+")</f>
        <v>25-29</v>
      </c>
      <c r="D9764" t="s">
        <v>7</v>
      </c>
    </row>
    <row r="9765" spans="1:4">
      <c r="A9765" t="s">
        <v>6</v>
      </c>
      <c r="B9765">
        <v>27</v>
      </c>
      <c r="C9765" t="str">
        <f>CHOOSE(MATCH(B9765, {20,25,30,35,40,45,50,55,60,65,70,75,80,85}, 1), "20-24", "25-29", "30-34", "35-39", "40-44", "45-49", "50-54", "55-59", "60-64", "65-69", "70-74", "75-79", "80-84", "85+")</f>
        <v>25-29</v>
      </c>
      <c r="D9765" t="s">
        <v>7</v>
      </c>
    </row>
    <row r="9766" spans="1:4">
      <c r="A9766" t="s">
        <v>6</v>
      </c>
      <c r="B9766">
        <v>30</v>
      </c>
      <c r="C9766" t="str">
        <f>CHOOSE(MATCH(B9766, {20,25,30,35,40,45,50,55,60,65,70,75,80,85}, 1), "20-24", "25-29", "30-34", "35-39", "40-44", "45-49", "50-54", "55-59", "60-64", "65-69", "70-74", "75-79", "80-84", "85+")</f>
        <v>30-34</v>
      </c>
      <c r="D9766" t="s">
        <v>8</v>
      </c>
    </row>
    <row r="9767" spans="1:4">
      <c r="A9767" t="s">
        <v>6</v>
      </c>
      <c r="B9767">
        <v>37</v>
      </c>
      <c r="C9767" t="str">
        <f>CHOOSE(MATCH(B9767, {20,25,30,35,40,45,50,55,60,65,70,75,80,85}, 1), "20-24", "25-29", "30-34", "35-39", "40-44", "45-49", "50-54", "55-59", "60-64", "65-69", "70-74", "75-79", "80-84", "85+")</f>
        <v>35-39</v>
      </c>
      <c r="D9767" t="s">
        <v>7</v>
      </c>
    </row>
    <row r="9768" spans="1:4">
      <c r="A9768" t="s">
        <v>6</v>
      </c>
      <c r="B9768">
        <v>89</v>
      </c>
      <c r="C9768" t="str">
        <f>CHOOSE(MATCH(B9768, {20,25,30,35,40,45,50,55,60,65,70,75,80,85}, 1), "20-24", "25-29", "30-34", "35-39", "40-44", "45-49", "50-54", "55-59", "60-64", "65-69", "70-74", "75-79", "80-84", "85+")</f>
        <v>85+</v>
      </c>
      <c r="D9768" t="s">
        <v>7</v>
      </c>
    </row>
    <row r="9769" spans="1:4">
      <c r="A9769" t="s">
        <v>6</v>
      </c>
      <c r="B9769">
        <v>56</v>
      </c>
      <c r="C9769" t="str">
        <f>CHOOSE(MATCH(B9769, {20,25,30,35,40,45,50,55,60,65,70,75,80,85}, 1), "20-24", "25-29", "30-34", "35-39", "40-44", "45-49", "50-54", "55-59", "60-64", "65-69", "70-74", "75-79", "80-84", "85+")</f>
        <v>55-59</v>
      </c>
      <c r="D9769" t="s">
        <v>7</v>
      </c>
    </row>
    <row r="9770" spans="1:4">
      <c r="A9770" t="s">
        <v>6</v>
      </c>
      <c r="B9770">
        <v>22</v>
      </c>
      <c r="C9770" t="str">
        <f>CHOOSE(MATCH(B9770, {20,25,30,35,40,45,50,55,60,65,70,75,80,85}, 1), "20-24", "25-29", "30-34", "35-39", "40-44", "45-49", "50-54", "55-59", "60-64", "65-69", "70-74", "75-79", "80-84", "85+")</f>
        <v>20-24</v>
      </c>
      <c r="D9770" t="s">
        <v>7</v>
      </c>
    </row>
    <row r="9771" spans="1:4">
      <c r="A9771" t="s">
        <v>6</v>
      </c>
      <c r="B9771">
        <v>28</v>
      </c>
      <c r="C9771" t="str">
        <f>CHOOSE(MATCH(B9771, {20,25,30,35,40,45,50,55,60,65,70,75,80,85}, 1), "20-24", "25-29", "30-34", "35-39", "40-44", "45-49", "50-54", "55-59", "60-64", "65-69", "70-74", "75-79", "80-84", "85+")</f>
        <v>25-29</v>
      </c>
      <c r="D9771" t="s">
        <v>7</v>
      </c>
    </row>
    <row r="9772" spans="1:4">
      <c r="A9772" t="s">
        <v>6</v>
      </c>
      <c r="B9772">
        <v>66</v>
      </c>
      <c r="C9772" t="str">
        <f>CHOOSE(MATCH(B9772, {20,25,30,35,40,45,50,55,60,65,70,75,80,85}, 1), "20-24", "25-29", "30-34", "35-39", "40-44", "45-49", "50-54", "55-59", "60-64", "65-69", "70-74", "75-79", "80-84", "85+")</f>
        <v>65-69</v>
      </c>
      <c r="D9772" t="s">
        <v>8</v>
      </c>
    </row>
    <row r="9773" spans="1:4">
      <c r="A9773" t="s">
        <v>6</v>
      </c>
      <c r="B9773">
        <v>24</v>
      </c>
      <c r="C9773" t="str">
        <f>CHOOSE(MATCH(B9773, {20,25,30,35,40,45,50,55,60,65,70,75,80,85}, 1), "20-24", "25-29", "30-34", "35-39", "40-44", "45-49", "50-54", "55-59", "60-64", "65-69", "70-74", "75-79", "80-84", "85+")</f>
        <v>20-24</v>
      </c>
      <c r="D9773" t="s">
        <v>8</v>
      </c>
    </row>
    <row r="9774" spans="1:4">
      <c r="A9774" t="s">
        <v>6</v>
      </c>
      <c r="B9774">
        <v>42</v>
      </c>
      <c r="C9774" t="str">
        <f>CHOOSE(MATCH(B9774, {20,25,30,35,40,45,50,55,60,65,70,75,80,85}, 1), "20-24", "25-29", "30-34", "35-39", "40-44", "45-49", "50-54", "55-59", "60-64", "65-69", "70-74", "75-79", "80-84", "85+")</f>
        <v>40-44</v>
      </c>
      <c r="D9774" t="s">
        <v>7</v>
      </c>
    </row>
    <row r="9775" spans="1:4">
      <c r="A9775" t="s">
        <v>6</v>
      </c>
      <c r="B9775">
        <v>68</v>
      </c>
      <c r="C9775" t="str">
        <f>CHOOSE(MATCH(B9775, {20,25,30,35,40,45,50,55,60,65,70,75,80,85}, 1), "20-24", "25-29", "30-34", "35-39", "40-44", "45-49", "50-54", "55-59", "60-64", "65-69", "70-74", "75-79", "80-84", "85+")</f>
        <v>65-69</v>
      </c>
      <c r="D9775" t="s">
        <v>8</v>
      </c>
    </row>
    <row r="9776" spans="1:4">
      <c r="A9776" t="s">
        <v>6</v>
      </c>
      <c r="B9776">
        <v>40</v>
      </c>
      <c r="C9776" t="str">
        <f>CHOOSE(MATCH(B9776, {20,25,30,35,40,45,50,55,60,65,70,75,80,85}, 1), "20-24", "25-29", "30-34", "35-39", "40-44", "45-49", "50-54", "55-59", "60-64", "65-69", "70-74", "75-79", "80-84", "85+")</f>
        <v>40-44</v>
      </c>
      <c r="D9776" t="s">
        <v>7</v>
      </c>
    </row>
    <row r="9777" spans="1:4">
      <c r="A9777" t="s">
        <v>6</v>
      </c>
      <c r="B9777">
        <v>39</v>
      </c>
      <c r="C9777" t="str">
        <f>CHOOSE(MATCH(B9777, {20,25,30,35,40,45,50,55,60,65,70,75,80,85}, 1), "20-24", "25-29", "30-34", "35-39", "40-44", "45-49", "50-54", "55-59", "60-64", "65-69", "70-74", "75-79", "80-84", "85+")</f>
        <v>35-39</v>
      </c>
      <c r="D9777" t="s">
        <v>7</v>
      </c>
    </row>
    <row r="9778" spans="1:4">
      <c r="A9778" t="s">
        <v>6</v>
      </c>
      <c r="B9778">
        <v>47</v>
      </c>
      <c r="C9778" t="str">
        <f>CHOOSE(MATCH(B9778, {20,25,30,35,40,45,50,55,60,65,70,75,80,85}, 1), "20-24", "25-29", "30-34", "35-39", "40-44", "45-49", "50-54", "55-59", "60-64", "65-69", "70-74", "75-79", "80-84", "85+")</f>
        <v>45-49</v>
      </c>
      <c r="D9778" t="s">
        <v>7</v>
      </c>
    </row>
    <row r="9779" spans="1:4">
      <c r="A9779" t="s">
        <v>6</v>
      </c>
      <c r="B9779">
        <v>42</v>
      </c>
      <c r="C9779" t="str">
        <f>CHOOSE(MATCH(B9779, {20,25,30,35,40,45,50,55,60,65,70,75,80,85}, 1), "20-24", "25-29", "30-34", "35-39", "40-44", "45-49", "50-54", "55-59", "60-64", "65-69", "70-74", "75-79", "80-84", "85+")</f>
        <v>40-44</v>
      </c>
      <c r="D9779" t="s">
        <v>7</v>
      </c>
    </row>
    <row r="9780" spans="1:4">
      <c r="A9780" t="s">
        <v>6</v>
      </c>
      <c r="B9780">
        <v>21</v>
      </c>
      <c r="C9780" t="str">
        <f>CHOOSE(MATCH(B9780, {20,25,30,35,40,45,50,55,60,65,70,75,80,85}, 1), "20-24", "25-29", "30-34", "35-39", "40-44", "45-49", "50-54", "55-59", "60-64", "65-69", "70-74", "75-79", "80-84", "85+")</f>
        <v>20-24</v>
      </c>
      <c r="D9780" t="s">
        <v>7</v>
      </c>
    </row>
    <row r="9781" spans="1:4">
      <c r="A9781" t="s">
        <v>6</v>
      </c>
      <c r="B9781">
        <v>41</v>
      </c>
      <c r="C9781" t="str">
        <f>CHOOSE(MATCH(B9781, {20,25,30,35,40,45,50,55,60,65,70,75,80,85}, 1), "20-24", "25-29", "30-34", "35-39", "40-44", "45-49", "50-54", "55-59", "60-64", "65-69", "70-74", "75-79", "80-84", "85+")</f>
        <v>40-44</v>
      </c>
      <c r="D9781" t="s">
        <v>8</v>
      </c>
    </row>
    <row r="9782" spans="1:4">
      <c r="A9782" t="s">
        <v>6</v>
      </c>
      <c r="B9782">
        <v>49</v>
      </c>
      <c r="C9782" t="str">
        <f>CHOOSE(MATCH(B9782, {20,25,30,35,40,45,50,55,60,65,70,75,80,85}, 1), "20-24", "25-29", "30-34", "35-39", "40-44", "45-49", "50-54", "55-59", "60-64", "65-69", "70-74", "75-79", "80-84", "85+")</f>
        <v>45-49</v>
      </c>
      <c r="D9782" t="s">
        <v>7</v>
      </c>
    </row>
    <row r="9783" spans="1:4">
      <c r="A9783" t="s">
        <v>6</v>
      </c>
      <c r="B9783">
        <v>56</v>
      </c>
      <c r="C9783" t="str">
        <f>CHOOSE(MATCH(B9783, {20,25,30,35,40,45,50,55,60,65,70,75,80,85}, 1), "20-24", "25-29", "30-34", "35-39", "40-44", "45-49", "50-54", "55-59", "60-64", "65-69", "70-74", "75-79", "80-84", "85+")</f>
        <v>55-59</v>
      </c>
      <c r="D9783" t="s">
        <v>8</v>
      </c>
    </row>
    <row r="9784" spans="1:4">
      <c r="A9784" t="s">
        <v>6</v>
      </c>
      <c r="B9784">
        <v>62</v>
      </c>
      <c r="C9784" t="str">
        <f>CHOOSE(MATCH(B9784, {20,25,30,35,40,45,50,55,60,65,70,75,80,85}, 1), "20-24", "25-29", "30-34", "35-39", "40-44", "45-49", "50-54", "55-59", "60-64", "65-69", "70-74", "75-79", "80-84", "85+")</f>
        <v>60-64</v>
      </c>
      <c r="D9784" t="s">
        <v>8</v>
      </c>
    </row>
    <row r="9785" spans="1:4">
      <c r="A9785" t="s">
        <v>6</v>
      </c>
      <c r="B9785">
        <v>34</v>
      </c>
      <c r="C9785" t="str">
        <f>CHOOSE(MATCH(B9785, {20,25,30,35,40,45,50,55,60,65,70,75,80,85}, 1), "20-24", "25-29", "30-34", "35-39", "40-44", "45-49", "50-54", "55-59", "60-64", "65-69", "70-74", "75-79", "80-84", "85+")</f>
        <v>30-34</v>
      </c>
      <c r="D9785" t="s">
        <v>8</v>
      </c>
    </row>
    <row r="9786" spans="1:4">
      <c r="A9786" t="s">
        <v>6</v>
      </c>
      <c r="B9786">
        <v>40</v>
      </c>
      <c r="C9786" t="str">
        <f>CHOOSE(MATCH(B9786, {20,25,30,35,40,45,50,55,60,65,70,75,80,85}, 1), "20-24", "25-29", "30-34", "35-39", "40-44", "45-49", "50-54", "55-59", "60-64", "65-69", "70-74", "75-79", "80-84", "85+")</f>
        <v>40-44</v>
      </c>
      <c r="D9786" t="s">
        <v>7</v>
      </c>
    </row>
    <row r="9787" spans="1:4">
      <c r="A9787" t="s">
        <v>6</v>
      </c>
      <c r="B9787">
        <v>40</v>
      </c>
      <c r="C9787" t="str">
        <f>CHOOSE(MATCH(B9787, {20,25,30,35,40,45,50,55,60,65,70,75,80,85}, 1), "20-24", "25-29", "30-34", "35-39", "40-44", "45-49", "50-54", "55-59", "60-64", "65-69", "70-74", "75-79", "80-84", "85+")</f>
        <v>40-44</v>
      </c>
      <c r="D9787" t="s">
        <v>7</v>
      </c>
    </row>
    <row r="9788" spans="1:4">
      <c r="A9788" t="s">
        <v>6</v>
      </c>
      <c r="B9788">
        <v>48</v>
      </c>
      <c r="C9788" t="str">
        <f>CHOOSE(MATCH(B9788, {20,25,30,35,40,45,50,55,60,65,70,75,80,85}, 1), "20-24", "25-29", "30-34", "35-39", "40-44", "45-49", "50-54", "55-59", "60-64", "65-69", "70-74", "75-79", "80-84", "85+")</f>
        <v>45-49</v>
      </c>
      <c r="D9788" t="s">
        <v>7</v>
      </c>
    </row>
    <row r="9789" spans="1:4">
      <c r="A9789" t="s">
        <v>6</v>
      </c>
      <c r="B9789">
        <v>27</v>
      </c>
      <c r="C9789" t="str">
        <f>CHOOSE(MATCH(B9789, {20,25,30,35,40,45,50,55,60,65,70,75,80,85}, 1), "20-24", "25-29", "30-34", "35-39", "40-44", "45-49", "50-54", "55-59", "60-64", "65-69", "70-74", "75-79", "80-84", "85+")</f>
        <v>25-29</v>
      </c>
      <c r="D9789" t="s">
        <v>7</v>
      </c>
    </row>
    <row r="9790" spans="1:4">
      <c r="A9790" t="s">
        <v>6</v>
      </c>
      <c r="B9790">
        <v>62</v>
      </c>
      <c r="C9790" t="str">
        <f>CHOOSE(MATCH(B9790, {20,25,30,35,40,45,50,55,60,65,70,75,80,85}, 1), "20-24", "25-29", "30-34", "35-39", "40-44", "45-49", "50-54", "55-59", "60-64", "65-69", "70-74", "75-79", "80-84", "85+")</f>
        <v>60-64</v>
      </c>
      <c r="D9790" t="s">
        <v>8</v>
      </c>
    </row>
    <row r="9791" spans="1:4">
      <c r="A9791" t="s">
        <v>6</v>
      </c>
      <c r="B9791">
        <v>65</v>
      </c>
      <c r="C9791" t="str">
        <f>CHOOSE(MATCH(B9791, {20,25,30,35,40,45,50,55,60,65,70,75,80,85}, 1), "20-24", "25-29", "30-34", "35-39", "40-44", "45-49", "50-54", "55-59", "60-64", "65-69", "70-74", "75-79", "80-84", "85+")</f>
        <v>65-69</v>
      </c>
      <c r="D9791" t="s">
        <v>8</v>
      </c>
    </row>
    <row r="9792" spans="1:4">
      <c r="A9792" t="s">
        <v>6</v>
      </c>
      <c r="B9792">
        <v>27</v>
      </c>
      <c r="C9792" t="str">
        <f>CHOOSE(MATCH(B9792, {20,25,30,35,40,45,50,55,60,65,70,75,80,85}, 1), "20-24", "25-29", "30-34", "35-39", "40-44", "45-49", "50-54", "55-59", "60-64", "65-69", "70-74", "75-79", "80-84", "85+")</f>
        <v>25-29</v>
      </c>
      <c r="D9792" t="s">
        <v>7</v>
      </c>
    </row>
    <row r="9793" spans="1:4">
      <c r="A9793" t="s">
        <v>6</v>
      </c>
      <c r="B9793">
        <v>26</v>
      </c>
      <c r="C9793" t="str">
        <f>CHOOSE(MATCH(B9793, {20,25,30,35,40,45,50,55,60,65,70,75,80,85}, 1), "20-24", "25-29", "30-34", "35-39", "40-44", "45-49", "50-54", "55-59", "60-64", "65-69", "70-74", "75-79", "80-84", "85+")</f>
        <v>25-29</v>
      </c>
      <c r="D9793" t="s">
        <v>7</v>
      </c>
    </row>
    <row r="9794" spans="1:4">
      <c r="A9794" t="s">
        <v>6</v>
      </c>
      <c r="B9794">
        <v>82</v>
      </c>
      <c r="C9794" t="str">
        <f>CHOOSE(MATCH(B9794, {20,25,30,35,40,45,50,55,60,65,70,75,80,85}, 1), "20-24", "25-29", "30-34", "35-39", "40-44", "45-49", "50-54", "55-59", "60-64", "65-69", "70-74", "75-79", "80-84", "85+")</f>
        <v>80-84</v>
      </c>
      <c r="D9794" t="s">
        <v>7</v>
      </c>
    </row>
    <row r="9795" spans="1:4">
      <c r="A9795" t="s">
        <v>6</v>
      </c>
      <c r="B9795">
        <v>59</v>
      </c>
      <c r="C9795" t="str">
        <f>CHOOSE(MATCH(B9795, {20,25,30,35,40,45,50,55,60,65,70,75,80,85}, 1), "20-24", "25-29", "30-34", "35-39", "40-44", "45-49", "50-54", "55-59", "60-64", "65-69", "70-74", "75-79", "80-84", "85+")</f>
        <v>55-59</v>
      </c>
      <c r="D9795" t="s">
        <v>7</v>
      </c>
    </row>
    <row r="9796" spans="1:4">
      <c r="A9796" t="s">
        <v>6</v>
      </c>
      <c r="B9796">
        <v>27</v>
      </c>
      <c r="C9796" t="str">
        <f>CHOOSE(MATCH(B9796, {20,25,30,35,40,45,50,55,60,65,70,75,80,85}, 1), "20-24", "25-29", "30-34", "35-39", "40-44", "45-49", "50-54", "55-59", "60-64", "65-69", "70-74", "75-79", "80-84", "85+")</f>
        <v>25-29</v>
      </c>
      <c r="D9796" t="s">
        <v>7</v>
      </c>
    </row>
    <row r="9797" spans="1:4">
      <c r="A9797" t="s">
        <v>6</v>
      </c>
      <c r="B9797">
        <v>49</v>
      </c>
      <c r="C9797" t="str">
        <f>CHOOSE(MATCH(B9797, {20,25,30,35,40,45,50,55,60,65,70,75,80,85}, 1), "20-24", "25-29", "30-34", "35-39", "40-44", "45-49", "50-54", "55-59", "60-64", "65-69", "70-74", "75-79", "80-84", "85+")</f>
        <v>45-49</v>
      </c>
      <c r="D9797" t="s">
        <v>7</v>
      </c>
    </row>
    <row r="9798" spans="1:4">
      <c r="A9798" t="s">
        <v>6</v>
      </c>
      <c r="B9798">
        <v>29</v>
      </c>
      <c r="C9798" t="str">
        <f>CHOOSE(MATCH(B9798, {20,25,30,35,40,45,50,55,60,65,70,75,80,85}, 1), "20-24", "25-29", "30-34", "35-39", "40-44", "45-49", "50-54", "55-59", "60-64", "65-69", "70-74", "75-79", "80-84", "85+")</f>
        <v>25-29</v>
      </c>
      <c r="D9798" t="s">
        <v>7</v>
      </c>
    </row>
    <row r="9799" spans="1:4">
      <c r="A9799" t="s">
        <v>6</v>
      </c>
      <c r="B9799">
        <v>28</v>
      </c>
      <c r="C9799" t="str">
        <f>CHOOSE(MATCH(B9799, {20,25,30,35,40,45,50,55,60,65,70,75,80,85}, 1), "20-24", "25-29", "30-34", "35-39", "40-44", "45-49", "50-54", "55-59", "60-64", "65-69", "70-74", "75-79", "80-84", "85+")</f>
        <v>25-29</v>
      </c>
      <c r="D9799" t="s">
        <v>8</v>
      </c>
    </row>
    <row r="9800" spans="1:4">
      <c r="A9800" t="s">
        <v>6</v>
      </c>
      <c r="B9800">
        <v>32</v>
      </c>
      <c r="C9800" t="str">
        <f>CHOOSE(MATCH(B9800, {20,25,30,35,40,45,50,55,60,65,70,75,80,85}, 1), "20-24", "25-29", "30-34", "35-39", "40-44", "45-49", "50-54", "55-59", "60-64", "65-69", "70-74", "75-79", "80-84", "85+")</f>
        <v>30-34</v>
      </c>
      <c r="D9800" t="s">
        <v>7</v>
      </c>
    </row>
    <row r="9801" spans="1:4">
      <c r="A9801" t="s">
        <v>6</v>
      </c>
      <c r="B9801">
        <v>49</v>
      </c>
      <c r="C9801" t="str">
        <f>CHOOSE(MATCH(B9801, {20,25,30,35,40,45,50,55,60,65,70,75,80,85}, 1), "20-24", "25-29", "30-34", "35-39", "40-44", "45-49", "50-54", "55-59", "60-64", "65-69", "70-74", "75-79", "80-84", "85+")</f>
        <v>45-49</v>
      </c>
      <c r="D9801" t="s">
        <v>7</v>
      </c>
    </row>
    <row r="9802" spans="1:4">
      <c r="A9802" t="s">
        <v>6</v>
      </c>
      <c r="B9802">
        <v>28</v>
      </c>
      <c r="C9802" t="str">
        <f>CHOOSE(MATCH(B9802, {20,25,30,35,40,45,50,55,60,65,70,75,80,85}, 1), "20-24", "25-29", "30-34", "35-39", "40-44", "45-49", "50-54", "55-59", "60-64", "65-69", "70-74", "75-79", "80-84", "85+")</f>
        <v>25-29</v>
      </c>
      <c r="D9802" t="s">
        <v>7</v>
      </c>
    </row>
    <row r="9803" spans="1:4">
      <c r="A9803" t="s">
        <v>6</v>
      </c>
      <c r="B9803">
        <v>66</v>
      </c>
      <c r="C9803" t="str">
        <f>CHOOSE(MATCH(B9803, {20,25,30,35,40,45,50,55,60,65,70,75,80,85}, 1), "20-24", "25-29", "30-34", "35-39", "40-44", "45-49", "50-54", "55-59", "60-64", "65-69", "70-74", "75-79", "80-84", "85+")</f>
        <v>65-69</v>
      </c>
      <c r="D9803" t="s">
        <v>7</v>
      </c>
    </row>
    <row r="9804" spans="1:4">
      <c r="A9804" t="s">
        <v>6</v>
      </c>
      <c r="B9804">
        <v>42</v>
      </c>
      <c r="C9804" t="str">
        <f>CHOOSE(MATCH(B9804, {20,25,30,35,40,45,50,55,60,65,70,75,80,85}, 1), "20-24", "25-29", "30-34", "35-39", "40-44", "45-49", "50-54", "55-59", "60-64", "65-69", "70-74", "75-79", "80-84", "85+")</f>
        <v>40-44</v>
      </c>
      <c r="D9804" t="s">
        <v>7</v>
      </c>
    </row>
    <row r="9805" spans="1:4">
      <c r="A9805" t="s">
        <v>6</v>
      </c>
      <c r="B9805">
        <v>36</v>
      </c>
      <c r="C9805" t="str">
        <f>CHOOSE(MATCH(B9805, {20,25,30,35,40,45,50,55,60,65,70,75,80,85}, 1), "20-24", "25-29", "30-34", "35-39", "40-44", "45-49", "50-54", "55-59", "60-64", "65-69", "70-74", "75-79", "80-84", "85+")</f>
        <v>35-39</v>
      </c>
      <c r="D9805" t="s">
        <v>7</v>
      </c>
    </row>
    <row r="9806" spans="1:4">
      <c r="A9806" t="s">
        <v>6</v>
      </c>
      <c r="B9806">
        <v>31</v>
      </c>
      <c r="C9806" t="str">
        <f>CHOOSE(MATCH(B9806, {20,25,30,35,40,45,50,55,60,65,70,75,80,85}, 1), "20-24", "25-29", "30-34", "35-39", "40-44", "45-49", "50-54", "55-59", "60-64", "65-69", "70-74", "75-79", "80-84", "85+")</f>
        <v>30-34</v>
      </c>
      <c r="D9806" t="s">
        <v>7</v>
      </c>
    </row>
    <row r="9807" spans="1:4">
      <c r="A9807" t="s">
        <v>6</v>
      </c>
      <c r="B9807">
        <v>54</v>
      </c>
      <c r="C9807" t="str">
        <f>CHOOSE(MATCH(B9807, {20,25,30,35,40,45,50,55,60,65,70,75,80,85}, 1), "20-24", "25-29", "30-34", "35-39", "40-44", "45-49", "50-54", "55-59", "60-64", "65-69", "70-74", "75-79", "80-84", "85+")</f>
        <v>50-54</v>
      </c>
      <c r="D9807" t="s">
        <v>8</v>
      </c>
    </row>
    <row r="9808" spans="1:4">
      <c r="A9808" t="s">
        <v>6</v>
      </c>
      <c r="B9808">
        <v>67</v>
      </c>
      <c r="C9808" t="str">
        <f>CHOOSE(MATCH(B9808, {20,25,30,35,40,45,50,55,60,65,70,75,80,85}, 1), "20-24", "25-29", "30-34", "35-39", "40-44", "45-49", "50-54", "55-59", "60-64", "65-69", "70-74", "75-79", "80-84", "85+")</f>
        <v>65-69</v>
      </c>
      <c r="D9808" t="s">
        <v>8</v>
      </c>
    </row>
    <row r="9809" spans="1:4">
      <c r="A9809" t="s">
        <v>6</v>
      </c>
      <c r="B9809">
        <v>35</v>
      </c>
      <c r="C9809" t="str">
        <f>CHOOSE(MATCH(B9809, {20,25,30,35,40,45,50,55,60,65,70,75,80,85}, 1), "20-24", "25-29", "30-34", "35-39", "40-44", "45-49", "50-54", "55-59", "60-64", "65-69", "70-74", "75-79", "80-84", "85+")</f>
        <v>35-39</v>
      </c>
      <c r="D9809" t="s">
        <v>7</v>
      </c>
    </row>
    <row r="9810" spans="1:4">
      <c r="A9810" t="s">
        <v>6</v>
      </c>
      <c r="B9810">
        <v>86</v>
      </c>
      <c r="C9810" t="str">
        <f>CHOOSE(MATCH(B9810, {20,25,30,35,40,45,50,55,60,65,70,75,80,85}, 1), "20-24", "25-29", "30-34", "35-39", "40-44", "45-49", "50-54", "55-59", "60-64", "65-69", "70-74", "75-79", "80-84", "85+")</f>
        <v>85+</v>
      </c>
      <c r="D9810" t="s">
        <v>8</v>
      </c>
    </row>
    <row r="9811" spans="1:4">
      <c r="A9811" t="s">
        <v>6</v>
      </c>
      <c r="B9811">
        <v>36</v>
      </c>
      <c r="C9811" t="str">
        <f>CHOOSE(MATCH(B9811, {20,25,30,35,40,45,50,55,60,65,70,75,80,85}, 1), "20-24", "25-29", "30-34", "35-39", "40-44", "45-49", "50-54", "55-59", "60-64", "65-69", "70-74", "75-79", "80-84", "85+")</f>
        <v>35-39</v>
      </c>
      <c r="D9811" t="s">
        <v>7</v>
      </c>
    </row>
    <row r="9812" spans="1:4">
      <c r="A9812" t="s">
        <v>6</v>
      </c>
      <c r="B9812">
        <v>36</v>
      </c>
      <c r="C9812" t="str">
        <f>CHOOSE(MATCH(B9812, {20,25,30,35,40,45,50,55,60,65,70,75,80,85}, 1), "20-24", "25-29", "30-34", "35-39", "40-44", "45-49", "50-54", "55-59", "60-64", "65-69", "70-74", "75-79", "80-84", "85+")</f>
        <v>35-39</v>
      </c>
      <c r="D9812" t="s">
        <v>7</v>
      </c>
    </row>
    <row r="9813" spans="1:4">
      <c r="A9813" t="s">
        <v>6</v>
      </c>
      <c r="B9813">
        <v>25</v>
      </c>
      <c r="C9813" t="str">
        <f>CHOOSE(MATCH(B9813, {20,25,30,35,40,45,50,55,60,65,70,75,80,85}, 1), "20-24", "25-29", "30-34", "35-39", "40-44", "45-49", "50-54", "55-59", "60-64", "65-69", "70-74", "75-79", "80-84", "85+")</f>
        <v>25-29</v>
      </c>
      <c r="D9813" t="s">
        <v>8</v>
      </c>
    </row>
    <row r="9814" spans="1:4">
      <c r="A9814" t="s">
        <v>6</v>
      </c>
      <c r="B9814">
        <v>39</v>
      </c>
      <c r="C9814" t="str">
        <f>CHOOSE(MATCH(B9814, {20,25,30,35,40,45,50,55,60,65,70,75,80,85}, 1), "20-24", "25-29", "30-34", "35-39", "40-44", "45-49", "50-54", "55-59", "60-64", "65-69", "70-74", "75-79", "80-84", "85+")</f>
        <v>35-39</v>
      </c>
      <c r="D9814" t="s">
        <v>7</v>
      </c>
    </row>
    <row r="9815" spans="1:4">
      <c r="A9815" t="s">
        <v>6</v>
      </c>
      <c r="B9815">
        <v>54</v>
      </c>
      <c r="C9815" t="str">
        <f>CHOOSE(MATCH(B9815, {20,25,30,35,40,45,50,55,60,65,70,75,80,85}, 1), "20-24", "25-29", "30-34", "35-39", "40-44", "45-49", "50-54", "55-59", "60-64", "65-69", "70-74", "75-79", "80-84", "85+")</f>
        <v>50-54</v>
      </c>
      <c r="D9815" t="s">
        <v>7</v>
      </c>
    </row>
    <row r="9816" spans="1:4">
      <c r="A9816" t="s">
        <v>6</v>
      </c>
      <c r="B9816">
        <v>35</v>
      </c>
      <c r="C9816" t="str">
        <f>CHOOSE(MATCH(B9816, {20,25,30,35,40,45,50,55,60,65,70,75,80,85}, 1), "20-24", "25-29", "30-34", "35-39", "40-44", "45-49", "50-54", "55-59", "60-64", "65-69", "70-74", "75-79", "80-84", "85+")</f>
        <v>35-39</v>
      </c>
      <c r="D9816" t="s">
        <v>8</v>
      </c>
    </row>
    <row r="9817" spans="1:4">
      <c r="A9817" t="s">
        <v>6</v>
      </c>
      <c r="B9817">
        <v>26</v>
      </c>
      <c r="C9817" t="str">
        <f>CHOOSE(MATCH(B9817, {20,25,30,35,40,45,50,55,60,65,70,75,80,85}, 1), "20-24", "25-29", "30-34", "35-39", "40-44", "45-49", "50-54", "55-59", "60-64", "65-69", "70-74", "75-79", "80-84", "85+")</f>
        <v>25-29</v>
      </c>
      <c r="D9817" t="s">
        <v>7</v>
      </c>
    </row>
    <row r="9818" spans="1:4">
      <c r="A9818" t="s">
        <v>6</v>
      </c>
      <c r="B9818">
        <v>54</v>
      </c>
      <c r="C9818" t="str">
        <f>CHOOSE(MATCH(B9818, {20,25,30,35,40,45,50,55,60,65,70,75,80,85}, 1), "20-24", "25-29", "30-34", "35-39", "40-44", "45-49", "50-54", "55-59", "60-64", "65-69", "70-74", "75-79", "80-84", "85+")</f>
        <v>50-54</v>
      </c>
      <c r="D9818" t="s">
        <v>8</v>
      </c>
    </row>
    <row r="9819" spans="1:4">
      <c r="A9819" t="s">
        <v>6</v>
      </c>
      <c r="B9819">
        <v>38</v>
      </c>
      <c r="C9819" t="str">
        <f>CHOOSE(MATCH(B9819, {20,25,30,35,40,45,50,55,60,65,70,75,80,85}, 1), "20-24", "25-29", "30-34", "35-39", "40-44", "45-49", "50-54", "55-59", "60-64", "65-69", "70-74", "75-79", "80-84", "85+")</f>
        <v>35-39</v>
      </c>
      <c r="D9819" t="s">
        <v>8</v>
      </c>
    </row>
    <row r="9820" spans="1:4">
      <c r="A9820" t="s">
        <v>6</v>
      </c>
      <c r="B9820">
        <v>53</v>
      </c>
      <c r="C9820" t="str">
        <f>CHOOSE(MATCH(B9820, {20,25,30,35,40,45,50,55,60,65,70,75,80,85}, 1), "20-24", "25-29", "30-34", "35-39", "40-44", "45-49", "50-54", "55-59", "60-64", "65-69", "70-74", "75-79", "80-84", "85+")</f>
        <v>50-54</v>
      </c>
      <c r="D9820" t="s">
        <v>7</v>
      </c>
    </row>
    <row r="9821" spans="1:4">
      <c r="A9821" t="s">
        <v>6</v>
      </c>
      <c r="B9821">
        <v>32</v>
      </c>
      <c r="C9821" t="str">
        <f>CHOOSE(MATCH(B9821, {20,25,30,35,40,45,50,55,60,65,70,75,80,85}, 1), "20-24", "25-29", "30-34", "35-39", "40-44", "45-49", "50-54", "55-59", "60-64", "65-69", "70-74", "75-79", "80-84", "85+")</f>
        <v>30-34</v>
      </c>
      <c r="D9821" t="s">
        <v>7</v>
      </c>
    </row>
    <row r="9822" spans="1:4">
      <c r="A9822" t="s">
        <v>6</v>
      </c>
      <c r="B9822">
        <v>34</v>
      </c>
      <c r="C9822" t="str">
        <f>CHOOSE(MATCH(B9822, {20,25,30,35,40,45,50,55,60,65,70,75,80,85}, 1), "20-24", "25-29", "30-34", "35-39", "40-44", "45-49", "50-54", "55-59", "60-64", "65-69", "70-74", "75-79", "80-84", "85+")</f>
        <v>30-34</v>
      </c>
      <c r="D9822" t="s">
        <v>8</v>
      </c>
    </row>
    <row r="9823" spans="1:4">
      <c r="A9823" t="s">
        <v>6</v>
      </c>
      <c r="B9823">
        <v>21</v>
      </c>
      <c r="C9823" t="str">
        <f>CHOOSE(MATCH(B9823, {20,25,30,35,40,45,50,55,60,65,70,75,80,85}, 1), "20-24", "25-29", "30-34", "35-39", "40-44", "45-49", "50-54", "55-59", "60-64", "65-69", "70-74", "75-79", "80-84", "85+")</f>
        <v>20-24</v>
      </c>
      <c r="D9823" t="s">
        <v>8</v>
      </c>
    </row>
    <row r="9824" spans="1:4">
      <c r="A9824" t="s">
        <v>6</v>
      </c>
      <c r="B9824">
        <v>68</v>
      </c>
      <c r="C9824" t="str">
        <f>CHOOSE(MATCH(B9824, {20,25,30,35,40,45,50,55,60,65,70,75,80,85}, 1), "20-24", "25-29", "30-34", "35-39", "40-44", "45-49", "50-54", "55-59", "60-64", "65-69", "70-74", "75-79", "80-84", "85+")</f>
        <v>65-69</v>
      </c>
      <c r="D9824" t="s">
        <v>8</v>
      </c>
    </row>
    <row r="9825" spans="1:4">
      <c r="A9825" t="s">
        <v>6</v>
      </c>
      <c r="B9825">
        <v>34</v>
      </c>
      <c r="C9825" t="str">
        <f>CHOOSE(MATCH(B9825, {20,25,30,35,40,45,50,55,60,65,70,75,80,85}, 1), "20-24", "25-29", "30-34", "35-39", "40-44", "45-49", "50-54", "55-59", "60-64", "65-69", "70-74", "75-79", "80-84", "85+")</f>
        <v>30-34</v>
      </c>
      <c r="D9825" t="s">
        <v>7</v>
      </c>
    </row>
    <row r="9826" spans="1:4">
      <c r="A9826" t="s">
        <v>6</v>
      </c>
      <c r="B9826">
        <v>70</v>
      </c>
      <c r="C9826" t="str">
        <f>CHOOSE(MATCH(B9826, {20,25,30,35,40,45,50,55,60,65,70,75,80,85}, 1), "20-24", "25-29", "30-34", "35-39", "40-44", "45-49", "50-54", "55-59", "60-64", "65-69", "70-74", "75-79", "80-84", "85+")</f>
        <v>70-74</v>
      </c>
      <c r="D9826" t="s">
        <v>7</v>
      </c>
    </row>
    <row r="9827" spans="1:4">
      <c r="A9827" t="s">
        <v>6</v>
      </c>
      <c r="B9827">
        <v>58</v>
      </c>
      <c r="C9827" t="str">
        <f>CHOOSE(MATCH(B9827, {20,25,30,35,40,45,50,55,60,65,70,75,80,85}, 1), "20-24", "25-29", "30-34", "35-39", "40-44", "45-49", "50-54", "55-59", "60-64", "65-69", "70-74", "75-79", "80-84", "85+")</f>
        <v>55-59</v>
      </c>
      <c r="D9827" t="s">
        <v>8</v>
      </c>
    </row>
    <row r="9828" spans="1:4">
      <c r="A9828" t="s">
        <v>6</v>
      </c>
      <c r="B9828">
        <v>44</v>
      </c>
      <c r="C9828" t="str">
        <f>CHOOSE(MATCH(B9828, {20,25,30,35,40,45,50,55,60,65,70,75,80,85}, 1), "20-24", "25-29", "30-34", "35-39", "40-44", "45-49", "50-54", "55-59", "60-64", "65-69", "70-74", "75-79", "80-84", "85+")</f>
        <v>40-44</v>
      </c>
      <c r="D9828" t="s">
        <v>8</v>
      </c>
    </row>
    <row r="9829" spans="1:4">
      <c r="A9829" t="s">
        <v>6</v>
      </c>
      <c r="B9829">
        <v>35</v>
      </c>
      <c r="C9829" t="str">
        <f>CHOOSE(MATCH(B9829, {20,25,30,35,40,45,50,55,60,65,70,75,80,85}, 1), "20-24", "25-29", "30-34", "35-39", "40-44", "45-49", "50-54", "55-59", "60-64", "65-69", "70-74", "75-79", "80-84", "85+")</f>
        <v>35-39</v>
      </c>
      <c r="D9829" t="s">
        <v>7</v>
      </c>
    </row>
    <row r="9830" spans="1:4">
      <c r="A9830" t="s">
        <v>6</v>
      </c>
      <c r="B9830">
        <v>59</v>
      </c>
      <c r="C9830" t="str">
        <f>CHOOSE(MATCH(B9830, {20,25,30,35,40,45,50,55,60,65,70,75,80,85}, 1), "20-24", "25-29", "30-34", "35-39", "40-44", "45-49", "50-54", "55-59", "60-64", "65-69", "70-74", "75-79", "80-84", "85+")</f>
        <v>55-59</v>
      </c>
      <c r="D9830" t="s">
        <v>8</v>
      </c>
    </row>
    <row r="9831" spans="1:4">
      <c r="A9831" t="s">
        <v>6</v>
      </c>
      <c r="B9831">
        <v>22</v>
      </c>
      <c r="C9831" t="str">
        <f>CHOOSE(MATCH(B9831, {20,25,30,35,40,45,50,55,60,65,70,75,80,85}, 1), "20-24", "25-29", "30-34", "35-39", "40-44", "45-49", "50-54", "55-59", "60-64", "65-69", "70-74", "75-79", "80-84", "85+")</f>
        <v>20-24</v>
      </c>
      <c r="D9831" t="s">
        <v>7</v>
      </c>
    </row>
    <row r="9832" spans="1:4">
      <c r="A9832" t="s">
        <v>6</v>
      </c>
      <c r="B9832">
        <v>35</v>
      </c>
      <c r="C9832" t="str">
        <f>CHOOSE(MATCH(B9832, {20,25,30,35,40,45,50,55,60,65,70,75,80,85}, 1), "20-24", "25-29", "30-34", "35-39", "40-44", "45-49", "50-54", "55-59", "60-64", "65-69", "70-74", "75-79", "80-84", "85+")</f>
        <v>35-39</v>
      </c>
      <c r="D9832" t="s">
        <v>8</v>
      </c>
    </row>
    <row r="9833" spans="1:4">
      <c r="A9833" t="s">
        <v>6</v>
      </c>
      <c r="B9833">
        <v>92</v>
      </c>
      <c r="C9833" t="str">
        <f>CHOOSE(MATCH(B9833, {20,25,30,35,40,45,50,55,60,65,70,75,80,85}, 1), "20-24", "25-29", "30-34", "35-39", "40-44", "45-49", "50-54", "55-59", "60-64", "65-69", "70-74", "75-79", "80-84", "85+")</f>
        <v>85+</v>
      </c>
      <c r="D9833" t="s">
        <v>7</v>
      </c>
    </row>
    <row r="9834" spans="1:4">
      <c r="A9834" t="s">
        <v>6</v>
      </c>
      <c r="B9834">
        <v>41</v>
      </c>
      <c r="C9834" t="str">
        <f>CHOOSE(MATCH(B9834, {20,25,30,35,40,45,50,55,60,65,70,75,80,85}, 1), "20-24", "25-29", "30-34", "35-39", "40-44", "45-49", "50-54", "55-59", "60-64", "65-69", "70-74", "75-79", "80-84", "85+")</f>
        <v>40-44</v>
      </c>
      <c r="D9834" t="s">
        <v>7</v>
      </c>
    </row>
    <row r="9835" spans="1:4">
      <c r="A9835" t="s">
        <v>6</v>
      </c>
      <c r="B9835">
        <v>37</v>
      </c>
      <c r="C9835" t="str">
        <f>CHOOSE(MATCH(B9835, {20,25,30,35,40,45,50,55,60,65,70,75,80,85}, 1), "20-24", "25-29", "30-34", "35-39", "40-44", "45-49", "50-54", "55-59", "60-64", "65-69", "70-74", "75-79", "80-84", "85+")</f>
        <v>35-39</v>
      </c>
      <c r="D9835" t="s">
        <v>7</v>
      </c>
    </row>
    <row r="9836" spans="1:4">
      <c r="A9836" t="s">
        <v>6</v>
      </c>
      <c r="B9836">
        <v>33</v>
      </c>
      <c r="C9836" t="str">
        <f>CHOOSE(MATCH(B9836, {20,25,30,35,40,45,50,55,60,65,70,75,80,85}, 1), "20-24", "25-29", "30-34", "35-39", "40-44", "45-49", "50-54", "55-59", "60-64", "65-69", "70-74", "75-79", "80-84", "85+")</f>
        <v>30-34</v>
      </c>
      <c r="D9836" t="s">
        <v>7</v>
      </c>
    </row>
    <row r="9837" spans="1:4">
      <c r="A9837" t="s">
        <v>6</v>
      </c>
      <c r="B9837">
        <v>29</v>
      </c>
      <c r="C9837" t="str">
        <f>CHOOSE(MATCH(B9837, {20,25,30,35,40,45,50,55,60,65,70,75,80,85}, 1), "20-24", "25-29", "30-34", "35-39", "40-44", "45-49", "50-54", "55-59", "60-64", "65-69", "70-74", "75-79", "80-84", "85+")</f>
        <v>25-29</v>
      </c>
      <c r="D9837" t="s">
        <v>7</v>
      </c>
    </row>
    <row r="9838" spans="1:4">
      <c r="A9838" t="s">
        <v>6</v>
      </c>
      <c r="B9838">
        <v>35</v>
      </c>
      <c r="C9838" t="str">
        <f>CHOOSE(MATCH(B9838, {20,25,30,35,40,45,50,55,60,65,70,75,80,85}, 1), "20-24", "25-29", "30-34", "35-39", "40-44", "45-49", "50-54", "55-59", "60-64", "65-69", "70-74", "75-79", "80-84", "85+")</f>
        <v>35-39</v>
      </c>
      <c r="D9838" t="s">
        <v>7</v>
      </c>
    </row>
    <row r="9839" spans="1:4">
      <c r="A9839" t="s">
        <v>6</v>
      </c>
      <c r="B9839">
        <v>49</v>
      </c>
      <c r="C9839" t="str">
        <f>CHOOSE(MATCH(B9839, {20,25,30,35,40,45,50,55,60,65,70,75,80,85}, 1), "20-24", "25-29", "30-34", "35-39", "40-44", "45-49", "50-54", "55-59", "60-64", "65-69", "70-74", "75-79", "80-84", "85+")</f>
        <v>45-49</v>
      </c>
      <c r="D9839" t="s">
        <v>8</v>
      </c>
    </row>
    <row r="9840" spans="1:4">
      <c r="A9840" t="s">
        <v>6</v>
      </c>
      <c r="B9840">
        <v>32</v>
      </c>
      <c r="C9840" t="str">
        <f>CHOOSE(MATCH(B9840, {20,25,30,35,40,45,50,55,60,65,70,75,80,85}, 1), "20-24", "25-29", "30-34", "35-39", "40-44", "45-49", "50-54", "55-59", "60-64", "65-69", "70-74", "75-79", "80-84", "85+")</f>
        <v>30-34</v>
      </c>
      <c r="D9840" t="s">
        <v>8</v>
      </c>
    </row>
    <row r="9841" spans="1:4">
      <c r="A9841" t="s">
        <v>6</v>
      </c>
      <c r="B9841">
        <v>54</v>
      </c>
      <c r="C9841" t="str">
        <f>CHOOSE(MATCH(B9841, {20,25,30,35,40,45,50,55,60,65,70,75,80,85}, 1), "20-24", "25-29", "30-34", "35-39", "40-44", "45-49", "50-54", "55-59", "60-64", "65-69", "70-74", "75-79", "80-84", "85+")</f>
        <v>50-54</v>
      </c>
      <c r="D9841" t="s">
        <v>8</v>
      </c>
    </row>
    <row r="9842" spans="1:4">
      <c r="A9842" t="s">
        <v>6</v>
      </c>
      <c r="B9842">
        <v>25</v>
      </c>
      <c r="C9842" t="str">
        <f>CHOOSE(MATCH(B9842, {20,25,30,35,40,45,50,55,60,65,70,75,80,85}, 1), "20-24", "25-29", "30-34", "35-39", "40-44", "45-49", "50-54", "55-59", "60-64", "65-69", "70-74", "75-79", "80-84", "85+")</f>
        <v>25-29</v>
      </c>
      <c r="D9842" t="s">
        <v>7</v>
      </c>
    </row>
    <row r="9843" spans="1:4">
      <c r="A9843" t="s">
        <v>6</v>
      </c>
      <c r="B9843">
        <v>32</v>
      </c>
      <c r="C9843" t="str">
        <f>CHOOSE(MATCH(B9843, {20,25,30,35,40,45,50,55,60,65,70,75,80,85}, 1), "20-24", "25-29", "30-34", "35-39", "40-44", "45-49", "50-54", "55-59", "60-64", "65-69", "70-74", "75-79", "80-84", "85+")</f>
        <v>30-34</v>
      </c>
      <c r="D9843" t="s">
        <v>7</v>
      </c>
    </row>
    <row r="9844" spans="1:4">
      <c r="A9844" t="s">
        <v>6</v>
      </c>
      <c r="B9844">
        <v>89</v>
      </c>
      <c r="C9844" t="str">
        <f>CHOOSE(MATCH(B9844, {20,25,30,35,40,45,50,55,60,65,70,75,80,85}, 1), "20-24", "25-29", "30-34", "35-39", "40-44", "45-49", "50-54", "55-59", "60-64", "65-69", "70-74", "75-79", "80-84", "85+")</f>
        <v>85+</v>
      </c>
      <c r="D9844" t="s">
        <v>7</v>
      </c>
    </row>
    <row r="9845" spans="1:4">
      <c r="A9845" t="s">
        <v>6</v>
      </c>
      <c r="B9845">
        <v>32</v>
      </c>
      <c r="C9845" t="str">
        <f>CHOOSE(MATCH(B9845, {20,25,30,35,40,45,50,55,60,65,70,75,80,85}, 1), "20-24", "25-29", "30-34", "35-39", "40-44", "45-49", "50-54", "55-59", "60-64", "65-69", "70-74", "75-79", "80-84", "85+")</f>
        <v>30-34</v>
      </c>
      <c r="D9845" t="s">
        <v>7</v>
      </c>
    </row>
    <row r="9846" spans="1:4">
      <c r="A9846" t="s">
        <v>6</v>
      </c>
      <c r="B9846">
        <v>26</v>
      </c>
      <c r="C9846" t="str">
        <f>CHOOSE(MATCH(B9846, {20,25,30,35,40,45,50,55,60,65,70,75,80,85}, 1), "20-24", "25-29", "30-34", "35-39", "40-44", "45-49", "50-54", "55-59", "60-64", "65-69", "70-74", "75-79", "80-84", "85+")</f>
        <v>25-29</v>
      </c>
      <c r="D9846" t="s">
        <v>7</v>
      </c>
    </row>
    <row r="9847" spans="1:4">
      <c r="A9847" t="s">
        <v>6</v>
      </c>
      <c r="B9847">
        <v>26</v>
      </c>
      <c r="C9847" t="str">
        <f>CHOOSE(MATCH(B9847, {20,25,30,35,40,45,50,55,60,65,70,75,80,85}, 1), "20-24", "25-29", "30-34", "35-39", "40-44", "45-49", "50-54", "55-59", "60-64", "65-69", "70-74", "75-79", "80-84", "85+")</f>
        <v>25-29</v>
      </c>
      <c r="D9847" t="s">
        <v>7</v>
      </c>
    </row>
    <row r="9848" spans="1:4">
      <c r="A9848" t="s">
        <v>6</v>
      </c>
      <c r="B9848">
        <v>26</v>
      </c>
      <c r="C9848" t="str">
        <f>CHOOSE(MATCH(B9848, {20,25,30,35,40,45,50,55,60,65,70,75,80,85}, 1), "20-24", "25-29", "30-34", "35-39", "40-44", "45-49", "50-54", "55-59", "60-64", "65-69", "70-74", "75-79", "80-84", "85+")</f>
        <v>25-29</v>
      </c>
      <c r="D9848" t="s">
        <v>7</v>
      </c>
    </row>
    <row r="9849" spans="1:4">
      <c r="A9849" t="s">
        <v>6</v>
      </c>
      <c r="B9849">
        <v>86</v>
      </c>
      <c r="C9849" t="str">
        <f>CHOOSE(MATCH(B9849, {20,25,30,35,40,45,50,55,60,65,70,75,80,85}, 1), "20-24", "25-29", "30-34", "35-39", "40-44", "45-49", "50-54", "55-59", "60-64", "65-69", "70-74", "75-79", "80-84", "85+")</f>
        <v>85+</v>
      </c>
      <c r="D9849" t="s">
        <v>8</v>
      </c>
    </row>
    <row r="9850" spans="1:4">
      <c r="A9850" t="s">
        <v>6</v>
      </c>
      <c r="B9850">
        <v>63</v>
      </c>
      <c r="C9850" t="str">
        <f>CHOOSE(MATCH(B9850, {20,25,30,35,40,45,50,55,60,65,70,75,80,85}, 1), "20-24", "25-29", "30-34", "35-39", "40-44", "45-49", "50-54", "55-59", "60-64", "65-69", "70-74", "75-79", "80-84", "85+")</f>
        <v>60-64</v>
      </c>
      <c r="D9850" t="s">
        <v>7</v>
      </c>
    </row>
    <row r="9851" spans="1:4">
      <c r="A9851" t="s">
        <v>6</v>
      </c>
      <c r="B9851">
        <v>44</v>
      </c>
      <c r="C9851" t="str">
        <f>CHOOSE(MATCH(B9851, {20,25,30,35,40,45,50,55,60,65,70,75,80,85}, 1), "20-24", "25-29", "30-34", "35-39", "40-44", "45-49", "50-54", "55-59", "60-64", "65-69", "70-74", "75-79", "80-84", "85+")</f>
        <v>40-44</v>
      </c>
      <c r="D9851" t="s">
        <v>7</v>
      </c>
    </row>
    <row r="9852" spans="1:4">
      <c r="A9852" t="s">
        <v>6</v>
      </c>
      <c r="B9852">
        <v>23</v>
      </c>
      <c r="C9852" t="str">
        <f>CHOOSE(MATCH(B9852, {20,25,30,35,40,45,50,55,60,65,70,75,80,85}, 1), "20-24", "25-29", "30-34", "35-39", "40-44", "45-49", "50-54", "55-59", "60-64", "65-69", "70-74", "75-79", "80-84", "85+")</f>
        <v>20-24</v>
      </c>
      <c r="D9852" t="s">
        <v>7</v>
      </c>
    </row>
    <row r="9853" spans="1:4">
      <c r="A9853" t="s">
        <v>6</v>
      </c>
      <c r="B9853">
        <v>42</v>
      </c>
      <c r="C9853" t="str">
        <f>CHOOSE(MATCH(B9853, {20,25,30,35,40,45,50,55,60,65,70,75,80,85}, 1), "20-24", "25-29", "30-34", "35-39", "40-44", "45-49", "50-54", "55-59", "60-64", "65-69", "70-74", "75-79", "80-84", "85+")</f>
        <v>40-44</v>
      </c>
      <c r="D9853" t="s">
        <v>7</v>
      </c>
    </row>
    <row r="9854" spans="1:4">
      <c r="A9854" t="s">
        <v>6</v>
      </c>
      <c r="B9854">
        <v>47</v>
      </c>
      <c r="C9854" t="str">
        <f>CHOOSE(MATCH(B9854, {20,25,30,35,40,45,50,55,60,65,70,75,80,85}, 1), "20-24", "25-29", "30-34", "35-39", "40-44", "45-49", "50-54", "55-59", "60-64", "65-69", "70-74", "75-79", "80-84", "85+")</f>
        <v>45-49</v>
      </c>
      <c r="D9854" t="s">
        <v>7</v>
      </c>
    </row>
    <row r="9855" spans="1:4">
      <c r="A9855" t="s">
        <v>6</v>
      </c>
      <c r="B9855">
        <v>23</v>
      </c>
      <c r="C9855" t="str">
        <f>CHOOSE(MATCH(B9855, {20,25,30,35,40,45,50,55,60,65,70,75,80,85}, 1), "20-24", "25-29", "30-34", "35-39", "40-44", "45-49", "50-54", "55-59", "60-64", "65-69", "70-74", "75-79", "80-84", "85+")</f>
        <v>20-24</v>
      </c>
      <c r="D9855" t="s">
        <v>8</v>
      </c>
    </row>
    <row r="9856" spans="1:4">
      <c r="A9856" t="s">
        <v>6</v>
      </c>
      <c r="B9856">
        <v>61</v>
      </c>
      <c r="C9856" t="str">
        <f>CHOOSE(MATCH(B9856, {20,25,30,35,40,45,50,55,60,65,70,75,80,85}, 1), "20-24", "25-29", "30-34", "35-39", "40-44", "45-49", "50-54", "55-59", "60-64", "65-69", "70-74", "75-79", "80-84", "85+")</f>
        <v>60-64</v>
      </c>
      <c r="D9856" t="s">
        <v>8</v>
      </c>
    </row>
    <row r="9857" spans="1:4">
      <c r="A9857" t="s">
        <v>6</v>
      </c>
      <c r="B9857">
        <v>28</v>
      </c>
      <c r="C9857" t="str">
        <f>CHOOSE(MATCH(B9857, {20,25,30,35,40,45,50,55,60,65,70,75,80,85}, 1), "20-24", "25-29", "30-34", "35-39", "40-44", "45-49", "50-54", "55-59", "60-64", "65-69", "70-74", "75-79", "80-84", "85+")</f>
        <v>25-29</v>
      </c>
      <c r="D9857" t="s">
        <v>7</v>
      </c>
    </row>
    <row r="9858" spans="1:4">
      <c r="A9858" t="s">
        <v>6</v>
      </c>
      <c r="B9858">
        <v>32</v>
      </c>
      <c r="C9858" t="str">
        <f>CHOOSE(MATCH(B9858, {20,25,30,35,40,45,50,55,60,65,70,75,80,85}, 1), "20-24", "25-29", "30-34", "35-39", "40-44", "45-49", "50-54", "55-59", "60-64", "65-69", "70-74", "75-79", "80-84", "85+")</f>
        <v>30-34</v>
      </c>
      <c r="D9858" t="s">
        <v>7</v>
      </c>
    </row>
    <row r="9859" spans="1:4">
      <c r="A9859" t="s">
        <v>6</v>
      </c>
      <c r="B9859">
        <v>21</v>
      </c>
      <c r="C9859" t="str">
        <f>CHOOSE(MATCH(B9859, {20,25,30,35,40,45,50,55,60,65,70,75,80,85}, 1), "20-24", "25-29", "30-34", "35-39", "40-44", "45-49", "50-54", "55-59", "60-64", "65-69", "70-74", "75-79", "80-84", "85+")</f>
        <v>20-24</v>
      </c>
      <c r="D9859" t="s">
        <v>7</v>
      </c>
    </row>
    <row r="9860" spans="1:4">
      <c r="A9860" t="s">
        <v>6</v>
      </c>
      <c r="B9860">
        <v>68</v>
      </c>
      <c r="C9860" t="str">
        <f>CHOOSE(MATCH(B9860, {20,25,30,35,40,45,50,55,60,65,70,75,80,85}, 1), "20-24", "25-29", "30-34", "35-39", "40-44", "45-49", "50-54", "55-59", "60-64", "65-69", "70-74", "75-79", "80-84", "85+")</f>
        <v>65-69</v>
      </c>
      <c r="D9860" t="s">
        <v>8</v>
      </c>
    </row>
    <row r="9861" spans="1:4">
      <c r="A9861" t="s">
        <v>6</v>
      </c>
      <c r="B9861">
        <v>53</v>
      </c>
      <c r="C9861" t="str">
        <f>CHOOSE(MATCH(B9861, {20,25,30,35,40,45,50,55,60,65,70,75,80,85}, 1), "20-24", "25-29", "30-34", "35-39", "40-44", "45-49", "50-54", "55-59", "60-64", "65-69", "70-74", "75-79", "80-84", "85+")</f>
        <v>50-54</v>
      </c>
      <c r="D9861" t="s">
        <v>8</v>
      </c>
    </row>
    <row r="9862" spans="1:4">
      <c r="A9862" t="s">
        <v>6</v>
      </c>
      <c r="B9862">
        <v>23</v>
      </c>
      <c r="C9862" t="str">
        <f>CHOOSE(MATCH(B9862, {20,25,30,35,40,45,50,55,60,65,70,75,80,85}, 1), "20-24", "25-29", "30-34", "35-39", "40-44", "45-49", "50-54", "55-59", "60-64", "65-69", "70-74", "75-79", "80-84", "85+")</f>
        <v>20-24</v>
      </c>
      <c r="D9862" t="s">
        <v>8</v>
      </c>
    </row>
    <row r="9863" spans="1:4">
      <c r="A9863" t="s">
        <v>6</v>
      </c>
      <c r="B9863">
        <v>32</v>
      </c>
      <c r="C9863" t="str">
        <f>CHOOSE(MATCH(B9863, {20,25,30,35,40,45,50,55,60,65,70,75,80,85}, 1), "20-24", "25-29", "30-34", "35-39", "40-44", "45-49", "50-54", "55-59", "60-64", "65-69", "70-74", "75-79", "80-84", "85+")</f>
        <v>30-34</v>
      </c>
      <c r="D9863" t="s">
        <v>7</v>
      </c>
    </row>
    <row r="9864" spans="1:4">
      <c r="A9864" t="s">
        <v>6</v>
      </c>
      <c r="B9864">
        <v>79</v>
      </c>
      <c r="C9864" t="str">
        <f>CHOOSE(MATCH(B9864, {20,25,30,35,40,45,50,55,60,65,70,75,80,85}, 1), "20-24", "25-29", "30-34", "35-39", "40-44", "45-49", "50-54", "55-59", "60-64", "65-69", "70-74", "75-79", "80-84", "85+")</f>
        <v>75-79</v>
      </c>
      <c r="D9864" t="s">
        <v>7</v>
      </c>
    </row>
    <row r="9865" spans="1:4">
      <c r="A9865" t="s">
        <v>6</v>
      </c>
      <c r="B9865">
        <v>39</v>
      </c>
      <c r="C9865" t="str">
        <f>CHOOSE(MATCH(B9865, {20,25,30,35,40,45,50,55,60,65,70,75,80,85}, 1), "20-24", "25-29", "30-34", "35-39", "40-44", "45-49", "50-54", "55-59", "60-64", "65-69", "70-74", "75-79", "80-84", "85+")</f>
        <v>35-39</v>
      </c>
      <c r="D9865" t="s">
        <v>7</v>
      </c>
    </row>
    <row r="9866" spans="1:4">
      <c r="A9866" t="s">
        <v>6</v>
      </c>
      <c r="B9866">
        <v>53</v>
      </c>
      <c r="C9866" t="str">
        <f>CHOOSE(MATCH(B9866, {20,25,30,35,40,45,50,55,60,65,70,75,80,85}, 1), "20-24", "25-29", "30-34", "35-39", "40-44", "45-49", "50-54", "55-59", "60-64", "65-69", "70-74", "75-79", "80-84", "85+")</f>
        <v>50-54</v>
      </c>
      <c r="D9866" t="s">
        <v>8</v>
      </c>
    </row>
    <row r="9867" spans="1:4">
      <c r="A9867" t="s">
        <v>6</v>
      </c>
      <c r="B9867">
        <v>28</v>
      </c>
      <c r="C9867" t="str">
        <f>CHOOSE(MATCH(B9867, {20,25,30,35,40,45,50,55,60,65,70,75,80,85}, 1), "20-24", "25-29", "30-34", "35-39", "40-44", "45-49", "50-54", "55-59", "60-64", "65-69", "70-74", "75-79", "80-84", "85+")</f>
        <v>25-29</v>
      </c>
      <c r="D9867" t="s">
        <v>7</v>
      </c>
    </row>
    <row r="9868" spans="1:4">
      <c r="A9868" t="s">
        <v>6</v>
      </c>
      <c r="B9868">
        <v>42</v>
      </c>
      <c r="C9868" t="str">
        <f>CHOOSE(MATCH(B9868, {20,25,30,35,40,45,50,55,60,65,70,75,80,85}, 1), "20-24", "25-29", "30-34", "35-39", "40-44", "45-49", "50-54", "55-59", "60-64", "65-69", "70-74", "75-79", "80-84", "85+")</f>
        <v>40-44</v>
      </c>
      <c r="D9868" t="s">
        <v>7</v>
      </c>
    </row>
    <row r="9869" spans="1:4">
      <c r="A9869" t="s">
        <v>6</v>
      </c>
      <c r="B9869">
        <v>47</v>
      </c>
      <c r="C9869" t="str">
        <f>CHOOSE(MATCH(B9869, {20,25,30,35,40,45,50,55,60,65,70,75,80,85}, 1), "20-24", "25-29", "30-34", "35-39", "40-44", "45-49", "50-54", "55-59", "60-64", "65-69", "70-74", "75-79", "80-84", "85+")</f>
        <v>45-49</v>
      </c>
      <c r="D9869" t="s">
        <v>8</v>
      </c>
    </row>
    <row r="9870" spans="1:4">
      <c r="A9870" t="s">
        <v>6</v>
      </c>
      <c r="B9870">
        <v>47</v>
      </c>
      <c r="C9870" t="str">
        <f>CHOOSE(MATCH(B9870, {20,25,30,35,40,45,50,55,60,65,70,75,80,85}, 1), "20-24", "25-29", "30-34", "35-39", "40-44", "45-49", "50-54", "55-59", "60-64", "65-69", "70-74", "75-79", "80-84", "85+")</f>
        <v>45-49</v>
      </c>
      <c r="D9870" t="s">
        <v>7</v>
      </c>
    </row>
    <row r="9871" spans="1:4">
      <c r="A9871" t="s">
        <v>6</v>
      </c>
      <c r="B9871">
        <v>31</v>
      </c>
      <c r="C9871" t="str">
        <f>CHOOSE(MATCH(B9871, {20,25,30,35,40,45,50,55,60,65,70,75,80,85}, 1), "20-24", "25-29", "30-34", "35-39", "40-44", "45-49", "50-54", "55-59", "60-64", "65-69", "70-74", "75-79", "80-84", "85+")</f>
        <v>30-34</v>
      </c>
      <c r="D9871" t="s">
        <v>8</v>
      </c>
    </row>
    <row r="9872" spans="1:4">
      <c r="A9872" t="s">
        <v>6</v>
      </c>
      <c r="B9872">
        <v>24</v>
      </c>
      <c r="C9872" t="str">
        <f>CHOOSE(MATCH(B9872, {20,25,30,35,40,45,50,55,60,65,70,75,80,85}, 1), "20-24", "25-29", "30-34", "35-39", "40-44", "45-49", "50-54", "55-59", "60-64", "65-69", "70-74", "75-79", "80-84", "85+")</f>
        <v>20-24</v>
      </c>
      <c r="D9872" t="s">
        <v>7</v>
      </c>
    </row>
    <row r="9873" spans="1:4">
      <c r="A9873" t="s">
        <v>6</v>
      </c>
      <c r="B9873">
        <v>31</v>
      </c>
      <c r="C9873" t="str">
        <f>CHOOSE(MATCH(B9873, {20,25,30,35,40,45,50,55,60,65,70,75,80,85}, 1), "20-24", "25-29", "30-34", "35-39", "40-44", "45-49", "50-54", "55-59", "60-64", "65-69", "70-74", "75-79", "80-84", "85+")</f>
        <v>30-34</v>
      </c>
      <c r="D9873" t="s">
        <v>8</v>
      </c>
    </row>
    <row r="9874" spans="1:4">
      <c r="A9874" t="s">
        <v>6</v>
      </c>
      <c r="B9874">
        <v>25</v>
      </c>
      <c r="C9874" t="str">
        <f>CHOOSE(MATCH(B9874, {20,25,30,35,40,45,50,55,60,65,70,75,80,85}, 1), "20-24", "25-29", "30-34", "35-39", "40-44", "45-49", "50-54", "55-59", "60-64", "65-69", "70-74", "75-79", "80-84", "85+")</f>
        <v>25-29</v>
      </c>
      <c r="D9874" t="s">
        <v>7</v>
      </c>
    </row>
    <row r="9875" spans="1:4">
      <c r="A9875" t="s">
        <v>6</v>
      </c>
      <c r="B9875">
        <v>25</v>
      </c>
      <c r="C9875" t="str">
        <f>CHOOSE(MATCH(B9875, {20,25,30,35,40,45,50,55,60,65,70,75,80,85}, 1), "20-24", "25-29", "30-34", "35-39", "40-44", "45-49", "50-54", "55-59", "60-64", "65-69", "70-74", "75-79", "80-84", "85+")</f>
        <v>25-29</v>
      </c>
      <c r="D9875" t="s">
        <v>7</v>
      </c>
    </row>
    <row r="9876" spans="1:4">
      <c r="A9876" t="s">
        <v>6</v>
      </c>
      <c r="B9876">
        <v>33</v>
      </c>
      <c r="C9876" t="str">
        <f>CHOOSE(MATCH(B9876, {20,25,30,35,40,45,50,55,60,65,70,75,80,85}, 1), "20-24", "25-29", "30-34", "35-39", "40-44", "45-49", "50-54", "55-59", "60-64", "65-69", "70-74", "75-79", "80-84", "85+")</f>
        <v>30-34</v>
      </c>
      <c r="D9876" t="s">
        <v>7</v>
      </c>
    </row>
    <row r="9877" spans="1:4">
      <c r="A9877" t="s">
        <v>6</v>
      </c>
      <c r="B9877">
        <v>28</v>
      </c>
      <c r="C9877" t="str">
        <f>CHOOSE(MATCH(B9877, {20,25,30,35,40,45,50,55,60,65,70,75,80,85}, 1), "20-24", "25-29", "30-34", "35-39", "40-44", "45-49", "50-54", "55-59", "60-64", "65-69", "70-74", "75-79", "80-84", "85+")</f>
        <v>25-29</v>
      </c>
      <c r="D9877" t="s">
        <v>8</v>
      </c>
    </row>
    <row r="9878" spans="1:4">
      <c r="A9878" t="s">
        <v>6</v>
      </c>
      <c r="B9878">
        <v>25</v>
      </c>
      <c r="C9878" t="str">
        <f>CHOOSE(MATCH(B9878, {20,25,30,35,40,45,50,55,60,65,70,75,80,85}, 1), "20-24", "25-29", "30-34", "35-39", "40-44", "45-49", "50-54", "55-59", "60-64", "65-69", "70-74", "75-79", "80-84", "85+")</f>
        <v>25-29</v>
      </c>
      <c r="D9878" t="s">
        <v>7</v>
      </c>
    </row>
    <row r="9879" spans="1:4">
      <c r="A9879" t="s">
        <v>6</v>
      </c>
      <c r="B9879">
        <v>21</v>
      </c>
      <c r="C9879" t="str">
        <f>CHOOSE(MATCH(B9879, {20,25,30,35,40,45,50,55,60,65,70,75,80,85}, 1), "20-24", "25-29", "30-34", "35-39", "40-44", "45-49", "50-54", "55-59", "60-64", "65-69", "70-74", "75-79", "80-84", "85+")</f>
        <v>20-24</v>
      </c>
      <c r="D9879" t="s">
        <v>7</v>
      </c>
    </row>
    <row r="9880" spans="1:4">
      <c r="A9880" t="s">
        <v>6</v>
      </c>
      <c r="B9880">
        <v>25</v>
      </c>
      <c r="C9880" t="str">
        <f>CHOOSE(MATCH(B9880, {20,25,30,35,40,45,50,55,60,65,70,75,80,85}, 1), "20-24", "25-29", "30-34", "35-39", "40-44", "45-49", "50-54", "55-59", "60-64", "65-69", "70-74", "75-79", "80-84", "85+")</f>
        <v>25-29</v>
      </c>
      <c r="D9880" t="s">
        <v>7</v>
      </c>
    </row>
    <row r="9881" spans="1:4">
      <c r="A9881" t="s">
        <v>6</v>
      </c>
      <c r="B9881">
        <v>41</v>
      </c>
      <c r="C9881" t="str">
        <f>CHOOSE(MATCH(B9881, {20,25,30,35,40,45,50,55,60,65,70,75,80,85}, 1), "20-24", "25-29", "30-34", "35-39", "40-44", "45-49", "50-54", "55-59", "60-64", "65-69", "70-74", "75-79", "80-84", "85+")</f>
        <v>40-44</v>
      </c>
      <c r="D9881" t="s">
        <v>7</v>
      </c>
    </row>
    <row r="9882" spans="1:4">
      <c r="A9882" t="s">
        <v>6</v>
      </c>
      <c r="B9882">
        <v>27</v>
      </c>
      <c r="C9882" t="str">
        <f>CHOOSE(MATCH(B9882, {20,25,30,35,40,45,50,55,60,65,70,75,80,85}, 1), "20-24", "25-29", "30-34", "35-39", "40-44", "45-49", "50-54", "55-59", "60-64", "65-69", "70-74", "75-79", "80-84", "85+")</f>
        <v>25-29</v>
      </c>
      <c r="D9882" t="s">
        <v>7</v>
      </c>
    </row>
    <row r="9883" spans="1:4">
      <c r="A9883" t="s">
        <v>6</v>
      </c>
      <c r="B9883">
        <v>37</v>
      </c>
      <c r="C9883" t="str">
        <f>CHOOSE(MATCH(B9883, {20,25,30,35,40,45,50,55,60,65,70,75,80,85}, 1), "20-24", "25-29", "30-34", "35-39", "40-44", "45-49", "50-54", "55-59", "60-64", "65-69", "70-74", "75-79", "80-84", "85+")</f>
        <v>35-39</v>
      </c>
      <c r="D9883" t="s">
        <v>7</v>
      </c>
    </row>
    <row r="9884" spans="1:4">
      <c r="A9884" t="s">
        <v>6</v>
      </c>
      <c r="B9884">
        <v>30</v>
      </c>
      <c r="C9884" t="str">
        <f>CHOOSE(MATCH(B9884, {20,25,30,35,40,45,50,55,60,65,70,75,80,85}, 1), "20-24", "25-29", "30-34", "35-39", "40-44", "45-49", "50-54", "55-59", "60-64", "65-69", "70-74", "75-79", "80-84", "85+")</f>
        <v>30-34</v>
      </c>
      <c r="D9884" t="s">
        <v>7</v>
      </c>
    </row>
    <row r="9885" spans="1:4">
      <c r="A9885" t="s">
        <v>6</v>
      </c>
      <c r="B9885">
        <v>44</v>
      </c>
      <c r="C9885" t="str">
        <f>CHOOSE(MATCH(B9885, {20,25,30,35,40,45,50,55,60,65,70,75,80,85}, 1), "20-24", "25-29", "30-34", "35-39", "40-44", "45-49", "50-54", "55-59", "60-64", "65-69", "70-74", "75-79", "80-84", "85+")</f>
        <v>40-44</v>
      </c>
      <c r="D9885" t="s">
        <v>7</v>
      </c>
    </row>
    <row r="9886" spans="1:4">
      <c r="A9886" t="s">
        <v>6</v>
      </c>
      <c r="B9886">
        <v>47</v>
      </c>
      <c r="C9886" t="str">
        <f>CHOOSE(MATCH(B9886, {20,25,30,35,40,45,50,55,60,65,70,75,80,85}, 1), "20-24", "25-29", "30-34", "35-39", "40-44", "45-49", "50-54", "55-59", "60-64", "65-69", "70-74", "75-79", "80-84", "85+")</f>
        <v>45-49</v>
      </c>
      <c r="D9886" t="s">
        <v>8</v>
      </c>
    </row>
    <row r="9887" spans="1:4">
      <c r="A9887" t="s">
        <v>6</v>
      </c>
      <c r="B9887">
        <v>25</v>
      </c>
      <c r="C9887" t="str">
        <f>CHOOSE(MATCH(B9887, {20,25,30,35,40,45,50,55,60,65,70,75,80,85}, 1), "20-24", "25-29", "30-34", "35-39", "40-44", "45-49", "50-54", "55-59", "60-64", "65-69", "70-74", "75-79", "80-84", "85+")</f>
        <v>25-29</v>
      </c>
      <c r="D9887" t="s">
        <v>7</v>
      </c>
    </row>
    <row r="9888" spans="1:4">
      <c r="A9888" t="s">
        <v>6</v>
      </c>
      <c r="B9888">
        <v>43</v>
      </c>
      <c r="C9888" t="str">
        <f>CHOOSE(MATCH(B9888, {20,25,30,35,40,45,50,55,60,65,70,75,80,85}, 1), "20-24", "25-29", "30-34", "35-39", "40-44", "45-49", "50-54", "55-59", "60-64", "65-69", "70-74", "75-79", "80-84", "85+")</f>
        <v>40-44</v>
      </c>
      <c r="D9888" t="s">
        <v>8</v>
      </c>
    </row>
    <row r="9889" spans="1:4">
      <c r="A9889" t="s">
        <v>6</v>
      </c>
      <c r="B9889">
        <v>32</v>
      </c>
      <c r="C9889" t="str">
        <f>CHOOSE(MATCH(B9889, {20,25,30,35,40,45,50,55,60,65,70,75,80,85}, 1), "20-24", "25-29", "30-34", "35-39", "40-44", "45-49", "50-54", "55-59", "60-64", "65-69", "70-74", "75-79", "80-84", "85+")</f>
        <v>30-34</v>
      </c>
      <c r="D9889" t="s">
        <v>7</v>
      </c>
    </row>
    <row r="9890" spans="1:4">
      <c r="A9890" t="s">
        <v>6</v>
      </c>
      <c r="B9890">
        <v>61</v>
      </c>
      <c r="C9890" t="str">
        <f>CHOOSE(MATCH(B9890, {20,25,30,35,40,45,50,55,60,65,70,75,80,85}, 1), "20-24", "25-29", "30-34", "35-39", "40-44", "45-49", "50-54", "55-59", "60-64", "65-69", "70-74", "75-79", "80-84", "85+")</f>
        <v>60-64</v>
      </c>
      <c r="D9890" t="s">
        <v>8</v>
      </c>
    </row>
    <row r="9891" spans="1:4">
      <c r="A9891" t="s">
        <v>6</v>
      </c>
      <c r="B9891">
        <v>34</v>
      </c>
      <c r="C9891" t="str">
        <f>CHOOSE(MATCH(B9891, {20,25,30,35,40,45,50,55,60,65,70,75,80,85}, 1), "20-24", "25-29", "30-34", "35-39", "40-44", "45-49", "50-54", "55-59", "60-64", "65-69", "70-74", "75-79", "80-84", "85+")</f>
        <v>30-34</v>
      </c>
      <c r="D9891" t="s">
        <v>7</v>
      </c>
    </row>
    <row r="9892" spans="1:4">
      <c r="A9892" t="s">
        <v>6</v>
      </c>
      <c r="B9892">
        <v>41</v>
      </c>
      <c r="C9892" t="str">
        <f>CHOOSE(MATCH(B9892, {20,25,30,35,40,45,50,55,60,65,70,75,80,85}, 1), "20-24", "25-29", "30-34", "35-39", "40-44", "45-49", "50-54", "55-59", "60-64", "65-69", "70-74", "75-79", "80-84", "85+")</f>
        <v>40-44</v>
      </c>
      <c r="D9892" t="s">
        <v>7</v>
      </c>
    </row>
    <row r="9893" spans="1:4">
      <c r="A9893" t="s">
        <v>6</v>
      </c>
      <c r="B9893">
        <v>25</v>
      </c>
      <c r="C9893" t="str">
        <f>CHOOSE(MATCH(B9893, {20,25,30,35,40,45,50,55,60,65,70,75,80,85}, 1), "20-24", "25-29", "30-34", "35-39", "40-44", "45-49", "50-54", "55-59", "60-64", "65-69", "70-74", "75-79", "80-84", "85+")</f>
        <v>25-29</v>
      </c>
      <c r="D9893" t="s">
        <v>7</v>
      </c>
    </row>
    <row r="9894" spans="1:4">
      <c r="A9894" t="s">
        <v>6</v>
      </c>
      <c r="B9894">
        <v>36</v>
      </c>
      <c r="C9894" t="str">
        <f>CHOOSE(MATCH(B9894, {20,25,30,35,40,45,50,55,60,65,70,75,80,85}, 1), "20-24", "25-29", "30-34", "35-39", "40-44", "45-49", "50-54", "55-59", "60-64", "65-69", "70-74", "75-79", "80-84", "85+")</f>
        <v>35-39</v>
      </c>
      <c r="D9894" t="s">
        <v>7</v>
      </c>
    </row>
    <row r="9895" spans="1:4">
      <c r="A9895" t="s">
        <v>6</v>
      </c>
      <c r="B9895">
        <v>48</v>
      </c>
      <c r="C9895" t="str">
        <f>CHOOSE(MATCH(B9895, {20,25,30,35,40,45,50,55,60,65,70,75,80,85}, 1), "20-24", "25-29", "30-34", "35-39", "40-44", "45-49", "50-54", "55-59", "60-64", "65-69", "70-74", "75-79", "80-84", "85+")</f>
        <v>45-49</v>
      </c>
      <c r="D9895" t="s">
        <v>7</v>
      </c>
    </row>
    <row r="9896" spans="1:4">
      <c r="A9896" t="s">
        <v>6</v>
      </c>
      <c r="B9896">
        <v>34</v>
      </c>
      <c r="C9896" t="str">
        <f>CHOOSE(MATCH(B9896, {20,25,30,35,40,45,50,55,60,65,70,75,80,85}, 1), "20-24", "25-29", "30-34", "35-39", "40-44", "45-49", "50-54", "55-59", "60-64", "65-69", "70-74", "75-79", "80-84", "85+")</f>
        <v>30-34</v>
      </c>
      <c r="D9896" t="s">
        <v>7</v>
      </c>
    </row>
    <row r="9897" spans="1:4">
      <c r="A9897" t="s">
        <v>6</v>
      </c>
      <c r="B9897">
        <v>23</v>
      </c>
      <c r="C9897" t="str">
        <f>CHOOSE(MATCH(B9897, {20,25,30,35,40,45,50,55,60,65,70,75,80,85}, 1), "20-24", "25-29", "30-34", "35-39", "40-44", "45-49", "50-54", "55-59", "60-64", "65-69", "70-74", "75-79", "80-84", "85+")</f>
        <v>20-24</v>
      </c>
      <c r="D9897" t="s">
        <v>7</v>
      </c>
    </row>
    <row r="9898" spans="1:4">
      <c r="A9898" t="s">
        <v>6</v>
      </c>
      <c r="B9898">
        <v>38</v>
      </c>
      <c r="C9898" t="str">
        <f>CHOOSE(MATCH(B9898, {20,25,30,35,40,45,50,55,60,65,70,75,80,85}, 1), "20-24", "25-29", "30-34", "35-39", "40-44", "45-49", "50-54", "55-59", "60-64", "65-69", "70-74", "75-79", "80-84", "85+")</f>
        <v>35-39</v>
      </c>
      <c r="D9898" t="s">
        <v>7</v>
      </c>
    </row>
    <row r="9899" spans="1:4">
      <c r="A9899" t="s">
        <v>6</v>
      </c>
      <c r="B9899">
        <v>42</v>
      </c>
      <c r="C9899" t="str">
        <f>CHOOSE(MATCH(B9899, {20,25,30,35,40,45,50,55,60,65,70,75,80,85}, 1), "20-24", "25-29", "30-34", "35-39", "40-44", "45-49", "50-54", "55-59", "60-64", "65-69", "70-74", "75-79", "80-84", "85+")</f>
        <v>40-44</v>
      </c>
      <c r="D9899" t="s">
        <v>8</v>
      </c>
    </row>
    <row r="9900" spans="1:4">
      <c r="A9900" t="s">
        <v>6</v>
      </c>
      <c r="B9900">
        <v>67</v>
      </c>
      <c r="C9900" t="str">
        <f>CHOOSE(MATCH(B9900, {20,25,30,35,40,45,50,55,60,65,70,75,80,85}, 1), "20-24", "25-29", "30-34", "35-39", "40-44", "45-49", "50-54", "55-59", "60-64", "65-69", "70-74", "75-79", "80-84", "85+")</f>
        <v>65-69</v>
      </c>
      <c r="D9900" t="s">
        <v>8</v>
      </c>
    </row>
    <row r="9901" spans="1:4">
      <c r="A9901" t="s">
        <v>6</v>
      </c>
      <c r="B9901">
        <v>32</v>
      </c>
      <c r="C9901" t="str">
        <f>CHOOSE(MATCH(B9901, {20,25,30,35,40,45,50,55,60,65,70,75,80,85}, 1), "20-24", "25-29", "30-34", "35-39", "40-44", "45-49", "50-54", "55-59", "60-64", "65-69", "70-74", "75-79", "80-84", "85+")</f>
        <v>30-34</v>
      </c>
      <c r="D9901" t="s">
        <v>7</v>
      </c>
    </row>
    <row r="9902" spans="1:4">
      <c r="A9902" t="s">
        <v>6</v>
      </c>
      <c r="B9902">
        <v>42</v>
      </c>
      <c r="C9902" t="str">
        <f>CHOOSE(MATCH(B9902, {20,25,30,35,40,45,50,55,60,65,70,75,80,85}, 1), "20-24", "25-29", "30-34", "35-39", "40-44", "45-49", "50-54", "55-59", "60-64", "65-69", "70-74", "75-79", "80-84", "85+")</f>
        <v>40-44</v>
      </c>
      <c r="D9902" t="s">
        <v>8</v>
      </c>
    </row>
    <row r="9903" spans="1:4">
      <c r="A9903" t="s">
        <v>6</v>
      </c>
      <c r="B9903">
        <v>40</v>
      </c>
      <c r="C9903" t="str">
        <f>CHOOSE(MATCH(B9903, {20,25,30,35,40,45,50,55,60,65,70,75,80,85}, 1), "20-24", "25-29", "30-34", "35-39", "40-44", "45-49", "50-54", "55-59", "60-64", "65-69", "70-74", "75-79", "80-84", "85+")</f>
        <v>40-44</v>
      </c>
      <c r="D9903" t="s">
        <v>7</v>
      </c>
    </row>
    <row r="9904" spans="1:4">
      <c r="A9904" t="s">
        <v>6</v>
      </c>
      <c r="B9904">
        <v>55</v>
      </c>
      <c r="C9904" t="str">
        <f>CHOOSE(MATCH(B9904, {20,25,30,35,40,45,50,55,60,65,70,75,80,85}, 1), "20-24", "25-29", "30-34", "35-39", "40-44", "45-49", "50-54", "55-59", "60-64", "65-69", "70-74", "75-79", "80-84", "85+")</f>
        <v>55-59</v>
      </c>
      <c r="D9904" t="s">
        <v>8</v>
      </c>
    </row>
    <row r="9905" spans="1:4">
      <c r="A9905" t="s">
        <v>6</v>
      </c>
      <c r="B9905">
        <v>22</v>
      </c>
      <c r="C9905" t="str">
        <f>CHOOSE(MATCH(B9905, {20,25,30,35,40,45,50,55,60,65,70,75,80,85}, 1), "20-24", "25-29", "30-34", "35-39", "40-44", "45-49", "50-54", "55-59", "60-64", "65-69", "70-74", "75-79", "80-84", "85+")</f>
        <v>20-24</v>
      </c>
      <c r="D9905" t="s">
        <v>7</v>
      </c>
    </row>
    <row r="9906" spans="1:4">
      <c r="A9906" t="s">
        <v>6</v>
      </c>
      <c r="B9906">
        <v>37</v>
      </c>
      <c r="C9906" t="str">
        <f>CHOOSE(MATCH(B9906, {20,25,30,35,40,45,50,55,60,65,70,75,80,85}, 1), "20-24", "25-29", "30-34", "35-39", "40-44", "45-49", "50-54", "55-59", "60-64", "65-69", "70-74", "75-79", "80-84", "85+")</f>
        <v>35-39</v>
      </c>
      <c r="D9906" t="s">
        <v>7</v>
      </c>
    </row>
    <row r="9907" spans="1:4">
      <c r="A9907" t="s">
        <v>6</v>
      </c>
      <c r="B9907">
        <v>61</v>
      </c>
      <c r="C9907" t="str">
        <f>CHOOSE(MATCH(B9907, {20,25,30,35,40,45,50,55,60,65,70,75,80,85}, 1), "20-24", "25-29", "30-34", "35-39", "40-44", "45-49", "50-54", "55-59", "60-64", "65-69", "70-74", "75-79", "80-84", "85+")</f>
        <v>60-64</v>
      </c>
      <c r="D9907" t="s">
        <v>7</v>
      </c>
    </row>
    <row r="9908" spans="1:4">
      <c r="A9908" t="s">
        <v>6</v>
      </c>
      <c r="B9908">
        <v>44</v>
      </c>
      <c r="C9908" t="str">
        <f>CHOOSE(MATCH(B9908, {20,25,30,35,40,45,50,55,60,65,70,75,80,85}, 1), "20-24", "25-29", "30-34", "35-39", "40-44", "45-49", "50-54", "55-59", "60-64", "65-69", "70-74", "75-79", "80-84", "85+")</f>
        <v>40-44</v>
      </c>
      <c r="D9908" t="s">
        <v>7</v>
      </c>
    </row>
    <row r="9909" spans="1:4">
      <c r="A9909" t="s">
        <v>6</v>
      </c>
      <c r="B9909">
        <v>24</v>
      </c>
      <c r="C9909" t="str">
        <f>CHOOSE(MATCH(B9909, {20,25,30,35,40,45,50,55,60,65,70,75,80,85}, 1), "20-24", "25-29", "30-34", "35-39", "40-44", "45-49", "50-54", "55-59", "60-64", "65-69", "70-74", "75-79", "80-84", "85+")</f>
        <v>20-24</v>
      </c>
      <c r="D9909" t="s">
        <v>7</v>
      </c>
    </row>
    <row r="9910" spans="1:4">
      <c r="A9910" t="s">
        <v>6</v>
      </c>
      <c r="B9910">
        <v>47</v>
      </c>
      <c r="C9910" t="str">
        <f>CHOOSE(MATCH(B9910, {20,25,30,35,40,45,50,55,60,65,70,75,80,85}, 1), "20-24", "25-29", "30-34", "35-39", "40-44", "45-49", "50-54", "55-59", "60-64", "65-69", "70-74", "75-79", "80-84", "85+")</f>
        <v>45-49</v>
      </c>
      <c r="D9910" t="s">
        <v>7</v>
      </c>
    </row>
    <row r="9911" spans="1:4">
      <c r="A9911" t="s">
        <v>6</v>
      </c>
      <c r="B9911">
        <v>36</v>
      </c>
      <c r="C9911" t="str">
        <f>CHOOSE(MATCH(B9911, {20,25,30,35,40,45,50,55,60,65,70,75,80,85}, 1), "20-24", "25-29", "30-34", "35-39", "40-44", "45-49", "50-54", "55-59", "60-64", "65-69", "70-74", "75-79", "80-84", "85+")</f>
        <v>35-39</v>
      </c>
      <c r="D9911" t="s">
        <v>8</v>
      </c>
    </row>
    <row r="9912" spans="1:4">
      <c r="A9912" t="s">
        <v>6</v>
      </c>
      <c r="B9912">
        <v>37</v>
      </c>
      <c r="C9912" t="str">
        <f>CHOOSE(MATCH(B9912, {20,25,30,35,40,45,50,55,60,65,70,75,80,85}, 1), "20-24", "25-29", "30-34", "35-39", "40-44", "45-49", "50-54", "55-59", "60-64", "65-69", "70-74", "75-79", "80-84", "85+")</f>
        <v>35-39</v>
      </c>
      <c r="D9912" t="s">
        <v>7</v>
      </c>
    </row>
    <row r="9913" spans="1:4">
      <c r="A9913" t="s">
        <v>6</v>
      </c>
      <c r="B9913">
        <v>63</v>
      </c>
      <c r="C9913" t="str">
        <f>CHOOSE(MATCH(B9913, {20,25,30,35,40,45,50,55,60,65,70,75,80,85}, 1), "20-24", "25-29", "30-34", "35-39", "40-44", "45-49", "50-54", "55-59", "60-64", "65-69", "70-74", "75-79", "80-84", "85+")</f>
        <v>60-64</v>
      </c>
      <c r="D9913" t="s">
        <v>8</v>
      </c>
    </row>
    <row r="9914" spans="1:4">
      <c r="A9914" t="s">
        <v>6</v>
      </c>
      <c r="B9914">
        <v>41</v>
      </c>
      <c r="C9914" t="str">
        <f>CHOOSE(MATCH(B9914, {20,25,30,35,40,45,50,55,60,65,70,75,80,85}, 1), "20-24", "25-29", "30-34", "35-39", "40-44", "45-49", "50-54", "55-59", "60-64", "65-69", "70-74", "75-79", "80-84", "85+")</f>
        <v>40-44</v>
      </c>
      <c r="D9914" t="s">
        <v>7</v>
      </c>
    </row>
    <row r="9915" spans="1:4">
      <c r="A9915" t="s">
        <v>6</v>
      </c>
      <c r="B9915">
        <v>64</v>
      </c>
      <c r="C9915" t="str">
        <f>CHOOSE(MATCH(B9915, {20,25,30,35,40,45,50,55,60,65,70,75,80,85}, 1), "20-24", "25-29", "30-34", "35-39", "40-44", "45-49", "50-54", "55-59", "60-64", "65-69", "70-74", "75-79", "80-84", "85+")</f>
        <v>60-64</v>
      </c>
      <c r="D9915" t="s">
        <v>7</v>
      </c>
    </row>
    <row r="9916" spans="1:4">
      <c r="A9916" t="s">
        <v>6</v>
      </c>
      <c r="B9916">
        <v>34</v>
      </c>
      <c r="C9916" t="str">
        <f>CHOOSE(MATCH(B9916, {20,25,30,35,40,45,50,55,60,65,70,75,80,85}, 1), "20-24", "25-29", "30-34", "35-39", "40-44", "45-49", "50-54", "55-59", "60-64", "65-69", "70-74", "75-79", "80-84", "85+")</f>
        <v>30-34</v>
      </c>
      <c r="D9916" t="s">
        <v>7</v>
      </c>
    </row>
    <row r="9917" spans="1:4">
      <c r="A9917" t="s">
        <v>6</v>
      </c>
      <c r="B9917">
        <v>23</v>
      </c>
      <c r="C9917" t="str">
        <f>CHOOSE(MATCH(B9917, {20,25,30,35,40,45,50,55,60,65,70,75,80,85}, 1), "20-24", "25-29", "30-34", "35-39", "40-44", "45-49", "50-54", "55-59", "60-64", "65-69", "70-74", "75-79", "80-84", "85+")</f>
        <v>20-24</v>
      </c>
      <c r="D9917" t="s">
        <v>8</v>
      </c>
    </row>
    <row r="9918" spans="1:4">
      <c r="A9918" t="s">
        <v>6</v>
      </c>
      <c r="B9918">
        <v>31</v>
      </c>
      <c r="C9918" t="str">
        <f>CHOOSE(MATCH(B9918, {20,25,30,35,40,45,50,55,60,65,70,75,80,85}, 1), "20-24", "25-29", "30-34", "35-39", "40-44", "45-49", "50-54", "55-59", "60-64", "65-69", "70-74", "75-79", "80-84", "85+")</f>
        <v>30-34</v>
      </c>
      <c r="D9918" t="s">
        <v>7</v>
      </c>
    </row>
    <row r="9919" spans="1:4">
      <c r="A9919" t="s">
        <v>6</v>
      </c>
      <c r="B9919">
        <v>29</v>
      </c>
      <c r="C9919" t="str">
        <f>CHOOSE(MATCH(B9919, {20,25,30,35,40,45,50,55,60,65,70,75,80,85}, 1), "20-24", "25-29", "30-34", "35-39", "40-44", "45-49", "50-54", "55-59", "60-64", "65-69", "70-74", "75-79", "80-84", "85+")</f>
        <v>25-29</v>
      </c>
      <c r="D9919" t="s">
        <v>8</v>
      </c>
    </row>
    <row r="9920" spans="1:4">
      <c r="A9920" t="s">
        <v>6</v>
      </c>
      <c r="B9920">
        <v>23</v>
      </c>
      <c r="C9920" t="str">
        <f>CHOOSE(MATCH(B9920, {20,25,30,35,40,45,50,55,60,65,70,75,80,85}, 1), "20-24", "25-29", "30-34", "35-39", "40-44", "45-49", "50-54", "55-59", "60-64", "65-69", "70-74", "75-79", "80-84", "85+")</f>
        <v>20-24</v>
      </c>
      <c r="D9920" t="s">
        <v>7</v>
      </c>
    </row>
    <row r="9921" spans="1:4">
      <c r="A9921" t="s">
        <v>6</v>
      </c>
      <c r="B9921">
        <v>31</v>
      </c>
      <c r="C9921" t="str">
        <f>CHOOSE(MATCH(B9921, {20,25,30,35,40,45,50,55,60,65,70,75,80,85}, 1), "20-24", "25-29", "30-34", "35-39", "40-44", "45-49", "50-54", "55-59", "60-64", "65-69", "70-74", "75-79", "80-84", "85+")</f>
        <v>30-34</v>
      </c>
      <c r="D9921" t="s">
        <v>7</v>
      </c>
    </row>
    <row r="9922" spans="1:4">
      <c r="A9922" t="s">
        <v>6</v>
      </c>
      <c r="B9922">
        <v>27</v>
      </c>
      <c r="C9922" t="str">
        <f>CHOOSE(MATCH(B9922, {20,25,30,35,40,45,50,55,60,65,70,75,80,85}, 1), "20-24", "25-29", "30-34", "35-39", "40-44", "45-49", "50-54", "55-59", "60-64", "65-69", "70-74", "75-79", "80-84", "85+")</f>
        <v>25-29</v>
      </c>
      <c r="D9922" t="s">
        <v>8</v>
      </c>
    </row>
    <row r="9923" spans="1:4">
      <c r="A9923" t="s">
        <v>6</v>
      </c>
      <c r="B9923">
        <v>30</v>
      </c>
      <c r="C9923" t="str">
        <f>CHOOSE(MATCH(B9923, {20,25,30,35,40,45,50,55,60,65,70,75,80,85}, 1), "20-24", "25-29", "30-34", "35-39", "40-44", "45-49", "50-54", "55-59", "60-64", "65-69", "70-74", "75-79", "80-84", "85+")</f>
        <v>30-34</v>
      </c>
      <c r="D9923" t="s">
        <v>8</v>
      </c>
    </row>
    <row r="9924" spans="1:4">
      <c r="A9924" t="s">
        <v>6</v>
      </c>
      <c r="B9924">
        <v>56</v>
      </c>
      <c r="C9924" t="str">
        <f>CHOOSE(MATCH(B9924, {20,25,30,35,40,45,50,55,60,65,70,75,80,85}, 1), "20-24", "25-29", "30-34", "35-39", "40-44", "45-49", "50-54", "55-59", "60-64", "65-69", "70-74", "75-79", "80-84", "85+")</f>
        <v>55-59</v>
      </c>
      <c r="D9924" t="s">
        <v>8</v>
      </c>
    </row>
    <row r="9925" spans="1:4">
      <c r="A9925" t="s">
        <v>6</v>
      </c>
      <c r="B9925">
        <v>27</v>
      </c>
      <c r="C9925" t="str">
        <f>CHOOSE(MATCH(B9925, {20,25,30,35,40,45,50,55,60,65,70,75,80,85}, 1), "20-24", "25-29", "30-34", "35-39", "40-44", "45-49", "50-54", "55-59", "60-64", "65-69", "70-74", "75-79", "80-84", "85+")</f>
        <v>25-29</v>
      </c>
      <c r="D9925" t="s">
        <v>8</v>
      </c>
    </row>
    <row r="9926" spans="1:4">
      <c r="A9926" t="s">
        <v>6</v>
      </c>
      <c r="B9926">
        <v>24</v>
      </c>
      <c r="C9926" t="str">
        <f>CHOOSE(MATCH(B9926, {20,25,30,35,40,45,50,55,60,65,70,75,80,85}, 1), "20-24", "25-29", "30-34", "35-39", "40-44", "45-49", "50-54", "55-59", "60-64", "65-69", "70-74", "75-79", "80-84", "85+")</f>
        <v>20-24</v>
      </c>
      <c r="D9926" t="s">
        <v>7</v>
      </c>
    </row>
    <row r="9927" spans="1:4">
      <c r="A9927" t="s">
        <v>6</v>
      </c>
      <c r="B9927">
        <v>39</v>
      </c>
      <c r="C9927" t="str">
        <f>CHOOSE(MATCH(B9927, {20,25,30,35,40,45,50,55,60,65,70,75,80,85}, 1), "20-24", "25-29", "30-34", "35-39", "40-44", "45-49", "50-54", "55-59", "60-64", "65-69", "70-74", "75-79", "80-84", "85+")</f>
        <v>35-39</v>
      </c>
      <c r="D9927" t="s">
        <v>7</v>
      </c>
    </row>
    <row r="9928" spans="1:4">
      <c r="A9928" t="s">
        <v>6</v>
      </c>
      <c r="B9928">
        <v>48</v>
      </c>
      <c r="C9928" t="str">
        <f>CHOOSE(MATCH(B9928, {20,25,30,35,40,45,50,55,60,65,70,75,80,85}, 1), "20-24", "25-29", "30-34", "35-39", "40-44", "45-49", "50-54", "55-59", "60-64", "65-69", "70-74", "75-79", "80-84", "85+")</f>
        <v>45-49</v>
      </c>
      <c r="D9928" t="s">
        <v>8</v>
      </c>
    </row>
    <row r="9929" spans="1:4">
      <c r="A9929" t="s">
        <v>6</v>
      </c>
      <c r="B9929">
        <v>36</v>
      </c>
      <c r="C9929" t="str">
        <f>CHOOSE(MATCH(B9929, {20,25,30,35,40,45,50,55,60,65,70,75,80,85}, 1), "20-24", "25-29", "30-34", "35-39", "40-44", "45-49", "50-54", "55-59", "60-64", "65-69", "70-74", "75-79", "80-84", "85+")</f>
        <v>35-39</v>
      </c>
      <c r="D9929" t="s">
        <v>8</v>
      </c>
    </row>
    <row r="9930" spans="1:4">
      <c r="A9930" t="s">
        <v>6</v>
      </c>
      <c r="B9930">
        <v>20</v>
      </c>
      <c r="C9930" t="str">
        <f>CHOOSE(MATCH(B9930, {20,25,30,35,40,45,50,55,60,65,70,75,80,85}, 1), "20-24", "25-29", "30-34", "35-39", "40-44", "45-49", "50-54", "55-59", "60-64", "65-69", "70-74", "75-79", "80-84", "85+")</f>
        <v>20-24</v>
      </c>
      <c r="D9930" t="s">
        <v>7</v>
      </c>
    </row>
    <row r="9931" spans="1:4">
      <c r="A9931" t="s">
        <v>6</v>
      </c>
      <c r="B9931">
        <v>56</v>
      </c>
      <c r="C9931" t="str">
        <f>CHOOSE(MATCH(B9931, {20,25,30,35,40,45,50,55,60,65,70,75,80,85}, 1), "20-24", "25-29", "30-34", "35-39", "40-44", "45-49", "50-54", "55-59", "60-64", "65-69", "70-74", "75-79", "80-84", "85+")</f>
        <v>55-59</v>
      </c>
      <c r="D9931" t="s">
        <v>7</v>
      </c>
    </row>
    <row r="9932" spans="1:4">
      <c r="A9932" t="s">
        <v>6</v>
      </c>
      <c r="B9932">
        <v>29</v>
      </c>
      <c r="C9932" t="str">
        <f>CHOOSE(MATCH(B9932, {20,25,30,35,40,45,50,55,60,65,70,75,80,85}, 1), "20-24", "25-29", "30-34", "35-39", "40-44", "45-49", "50-54", "55-59", "60-64", "65-69", "70-74", "75-79", "80-84", "85+")</f>
        <v>25-29</v>
      </c>
      <c r="D9932" t="s">
        <v>7</v>
      </c>
    </row>
    <row r="9933" spans="1:4">
      <c r="A9933" t="s">
        <v>6</v>
      </c>
      <c r="B9933">
        <v>40</v>
      </c>
      <c r="C9933" t="str">
        <f>CHOOSE(MATCH(B9933, {20,25,30,35,40,45,50,55,60,65,70,75,80,85}, 1), "20-24", "25-29", "30-34", "35-39", "40-44", "45-49", "50-54", "55-59", "60-64", "65-69", "70-74", "75-79", "80-84", "85+")</f>
        <v>40-44</v>
      </c>
      <c r="D9933" t="s">
        <v>8</v>
      </c>
    </row>
    <row r="9934" spans="1:4">
      <c r="A9934" t="s">
        <v>6</v>
      </c>
      <c r="B9934">
        <v>47</v>
      </c>
      <c r="C9934" t="str">
        <f>CHOOSE(MATCH(B9934, {20,25,30,35,40,45,50,55,60,65,70,75,80,85}, 1), "20-24", "25-29", "30-34", "35-39", "40-44", "45-49", "50-54", "55-59", "60-64", "65-69", "70-74", "75-79", "80-84", "85+")</f>
        <v>45-49</v>
      </c>
      <c r="D9934" t="s">
        <v>8</v>
      </c>
    </row>
    <row r="9935" spans="1:4">
      <c r="A9935" t="s">
        <v>6</v>
      </c>
      <c r="B9935">
        <v>33</v>
      </c>
      <c r="C9935" t="str">
        <f>CHOOSE(MATCH(B9935, {20,25,30,35,40,45,50,55,60,65,70,75,80,85}, 1), "20-24", "25-29", "30-34", "35-39", "40-44", "45-49", "50-54", "55-59", "60-64", "65-69", "70-74", "75-79", "80-84", "85+")</f>
        <v>30-34</v>
      </c>
      <c r="D9935" t="s">
        <v>7</v>
      </c>
    </row>
    <row r="9936" spans="1:4">
      <c r="A9936" t="s">
        <v>6</v>
      </c>
      <c r="B9936">
        <v>70</v>
      </c>
      <c r="C9936" t="str">
        <f>CHOOSE(MATCH(B9936, {20,25,30,35,40,45,50,55,60,65,70,75,80,85}, 1), "20-24", "25-29", "30-34", "35-39", "40-44", "45-49", "50-54", "55-59", "60-64", "65-69", "70-74", "75-79", "80-84", "85+")</f>
        <v>70-74</v>
      </c>
      <c r="D9936" t="s">
        <v>7</v>
      </c>
    </row>
    <row r="9937" spans="1:4">
      <c r="A9937" t="s">
        <v>6</v>
      </c>
      <c r="B9937">
        <v>44</v>
      </c>
      <c r="C9937" t="str">
        <f>CHOOSE(MATCH(B9937, {20,25,30,35,40,45,50,55,60,65,70,75,80,85}, 1), "20-24", "25-29", "30-34", "35-39", "40-44", "45-49", "50-54", "55-59", "60-64", "65-69", "70-74", "75-79", "80-84", "85+")</f>
        <v>40-44</v>
      </c>
      <c r="D9937" t="s">
        <v>8</v>
      </c>
    </row>
    <row r="9938" spans="1:4">
      <c r="A9938" t="s">
        <v>6</v>
      </c>
      <c r="B9938">
        <v>75</v>
      </c>
      <c r="C9938" t="str">
        <f>CHOOSE(MATCH(B9938, {20,25,30,35,40,45,50,55,60,65,70,75,80,85}, 1), "20-24", "25-29", "30-34", "35-39", "40-44", "45-49", "50-54", "55-59", "60-64", "65-69", "70-74", "75-79", "80-84", "85+")</f>
        <v>75-79</v>
      </c>
      <c r="D9938" t="s">
        <v>8</v>
      </c>
    </row>
    <row r="9939" spans="1:4">
      <c r="A9939" t="s">
        <v>6</v>
      </c>
      <c r="B9939">
        <v>74</v>
      </c>
      <c r="C9939" t="str">
        <f>CHOOSE(MATCH(B9939, {20,25,30,35,40,45,50,55,60,65,70,75,80,85}, 1), "20-24", "25-29", "30-34", "35-39", "40-44", "45-49", "50-54", "55-59", "60-64", "65-69", "70-74", "75-79", "80-84", "85+")</f>
        <v>70-74</v>
      </c>
      <c r="D9939" t="s">
        <v>7</v>
      </c>
    </row>
    <row r="9940" spans="1:4">
      <c r="A9940" t="s">
        <v>6</v>
      </c>
      <c r="B9940">
        <v>51</v>
      </c>
      <c r="C9940" t="str">
        <f>CHOOSE(MATCH(B9940, {20,25,30,35,40,45,50,55,60,65,70,75,80,85}, 1), "20-24", "25-29", "30-34", "35-39", "40-44", "45-49", "50-54", "55-59", "60-64", "65-69", "70-74", "75-79", "80-84", "85+")</f>
        <v>50-54</v>
      </c>
      <c r="D9940" t="s">
        <v>7</v>
      </c>
    </row>
    <row r="9941" spans="1:4">
      <c r="A9941" t="s">
        <v>6</v>
      </c>
      <c r="B9941">
        <v>38</v>
      </c>
      <c r="C9941" t="str">
        <f>CHOOSE(MATCH(B9941, {20,25,30,35,40,45,50,55,60,65,70,75,80,85}, 1), "20-24", "25-29", "30-34", "35-39", "40-44", "45-49", "50-54", "55-59", "60-64", "65-69", "70-74", "75-79", "80-84", "85+")</f>
        <v>35-39</v>
      </c>
      <c r="D9941" t="s">
        <v>8</v>
      </c>
    </row>
    <row r="9942" spans="1:4">
      <c r="A9942" t="s">
        <v>6</v>
      </c>
      <c r="B9942">
        <v>36</v>
      </c>
      <c r="C9942" t="str">
        <f>CHOOSE(MATCH(B9942, {20,25,30,35,40,45,50,55,60,65,70,75,80,85}, 1), "20-24", "25-29", "30-34", "35-39", "40-44", "45-49", "50-54", "55-59", "60-64", "65-69", "70-74", "75-79", "80-84", "85+")</f>
        <v>35-39</v>
      </c>
      <c r="D9942" t="s">
        <v>8</v>
      </c>
    </row>
    <row r="9943" spans="1:4">
      <c r="A9943" t="s">
        <v>6</v>
      </c>
      <c r="B9943">
        <v>53</v>
      </c>
      <c r="C9943" t="str">
        <f>CHOOSE(MATCH(B9943, {20,25,30,35,40,45,50,55,60,65,70,75,80,85}, 1), "20-24", "25-29", "30-34", "35-39", "40-44", "45-49", "50-54", "55-59", "60-64", "65-69", "70-74", "75-79", "80-84", "85+")</f>
        <v>50-54</v>
      </c>
      <c r="D9943" t="s">
        <v>7</v>
      </c>
    </row>
    <row r="9944" spans="1:4">
      <c r="A9944" t="s">
        <v>6</v>
      </c>
      <c r="B9944">
        <v>51</v>
      </c>
      <c r="C9944" t="str">
        <f>CHOOSE(MATCH(B9944, {20,25,30,35,40,45,50,55,60,65,70,75,80,85}, 1), "20-24", "25-29", "30-34", "35-39", "40-44", "45-49", "50-54", "55-59", "60-64", "65-69", "70-74", "75-79", "80-84", "85+")</f>
        <v>50-54</v>
      </c>
      <c r="D9944" t="s">
        <v>7</v>
      </c>
    </row>
    <row r="9945" spans="1:4">
      <c r="A9945" t="s">
        <v>6</v>
      </c>
      <c r="B9945">
        <v>24</v>
      </c>
      <c r="C9945" t="str">
        <f>CHOOSE(MATCH(B9945, {20,25,30,35,40,45,50,55,60,65,70,75,80,85}, 1), "20-24", "25-29", "30-34", "35-39", "40-44", "45-49", "50-54", "55-59", "60-64", "65-69", "70-74", "75-79", "80-84", "85+")</f>
        <v>20-24</v>
      </c>
      <c r="D9945" t="s">
        <v>8</v>
      </c>
    </row>
    <row r="9946" spans="1:4">
      <c r="A9946" t="s">
        <v>6</v>
      </c>
      <c r="B9946">
        <v>33</v>
      </c>
      <c r="C9946" t="str">
        <f>CHOOSE(MATCH(B9946, {20,25,30,35,40,45,50,55,60,65,70,75,80,85}, 1), "20-24", "25-29", "30-34", "35-39", "40-44", "45-49", "50-54", "55-59", "60-64", "65-69", "70-74", "75-79", "80-84", "85+")</f>
        <v>30-34</v>
      </c>
      <c r="D9946" t="s">
        <v>8</v>
      </c>
    </row>
    <row r="9947" spans="1:4">
      <c r="A9947" t="s">
        <v>6</v>
      </c>
      <c r="B9947">
        <v>29</v>
      </c>
      <c r="C9947" t="str">
        <f>CHOOSE(MATCH(B9947, {20,25,30,35,40,45,50,55,60,65,70,75,80,85}, 1), "20-24", "25-29", "30-34", "35-39", "40-44", "45-49", "50-54", "55-59", "60-64", "65-69", "70-74", "75-79", "80-84", "85+")</f>
        <v>25-29</v>
      </c>
      <c r="D9947" t="s">
        <v>7</v>
      </c>
    </row>
    <row r="9948" spans="1:4">
      <c r="A9948" t="s">
        <v>6</v>
      </c>
      <c r="B9948">
        <v>49</v>
      </c>
      <c r="C9948" t="str">
        <f>CHOOSE(MATCH(B9948, {20,25,30,35,40,45,50,55,60,65,70,75,80,85}, 1), "20-24", "25-29", "30-34", "35-39", "40-44", "45-49", "50-54", "55-59", "60-64", "65-69", "70-74", "75-79", "80-84", "85+")</f>
        <v>45-49</v>
      </c>
      <c r="D9948" t="s">
        <v>7</v>
      </c>
    </row>
    <row r="9949" spans="1:4">
      <c r="A9949" t="s">
        <v>6</v>
      </c>
      <c r="B9949">
        <v>33</v>
      </c>
      <c r="C9949" t="str">
        <f>CHOOSE(MATCH(B9949, {20,25,30,35,40,45,50,55,60,65,70,75,80,85}, 1), "20-24", "25-29", "30-34", "35-39", "40-44", "45-49", "50-54", "55-59", "60-64", "65-69", "70-74", "75-79", "80-84", "85+")</f>
        <v>30-34</v>
      </c>
      <c r="D9949" t="s">
        <v>7</v>
      </c>
    </row>
    <row r="9950" spans="1:4">
      <c r="A9950" t="s">
        <v>6</v>
      </c>
      <c r="B9950">
        <v>32</v>
      </c>
      <c r="C9950" t="str">
        <f>CHOOSE(MATCH(B9950, {20,25,30,35,40,45,50,55,60,65,70,75,80,85}, 1), "20-24", "25-29", "30-34", "35-39", "40-44", "45-49", "50-54", "55-59", "60-64", "65-69", "70-74", "75-79", "80-84", "85+")</f>
        <v>30-34</v>
      </c>
      <c r="D9950" t="s">
        <v>7</v>
      </c>
    </row>
    <row r="9951" spans="1:4">
      <c r="A9951" t="s">
        <v>6</v>
      </c>
      <c r="B9951">
        <v>30</v>
      </c>
      <c r="C9951" t="str">
        <f>CHOOSE(MATCH(B9951, {20,25,30,35,40,45,50,55,60,65,70,75,80,85}, 1), "20-24", "25-29", "30-34", "35-39", "40-44", "45-49", "50-54", "55-59", "60-64", "65-69", "70-74", "75-79", "80-84", "85+")</f>
        <v>30-34</v>
      </c>
      <c r="D9951" t="s">
        <v>7</v>
      </c>
    </row>
    <row r="9952" spans="1:4">
      <c r="A9952" t="s">
        <v>6</v>
      </c>
      <c r="B9952">
        <v>38</v>
      </c>
      <c r="C9952" t="str">
        <f>CHOOSE(MATCH(B9952, {20,25,30,35,40,45,50,55,60,65,70,75,80,85}, 1), "20-24", "25-29", "30-34", "35-39", "40-44", "45-49", "50-54", "55-59", "60-64", "65-69", "70-74", "75-79", "80-84", "85+")</f>
        <v>35-39</v>
      </c>
      <c r="D9952" t="s">
        <v>7</v>
      </c>
    </row>
    <row r="9953" spans="1:4">
      <c r="A9953" t="s">
        <v>6</v>
      </c>
      <c r="B9953">
        <v>93</v>
      </c>
      <c r="C9953" t="str">
        <f>CHOOSE(MATCH(B9953, {20,25,30,35,40,45,50,55,60,65,70,75,80,85}, 1), "20-24", "25-29", "30-34", "35-39", "40-44", "45-49", "50-54", "55-59", "60-64", "65-69", "70-74", "75-79", "80-84", "85+")</f>
        <v>85+</v>
      </c>
      <c r="D9953" t="s">
        <v>7</v>
      </c>
    </row>
    <row r="9954" spans="1:4">
      <c r="A9954" t="s">
        <v>6</v>
      </c>
      <c r="B9954">
        <v>33</v>
      </c>
      <c r="C9954" t="str">
        <f>CHOOSE(MATCH(B9954, {20,25,30,35,40,45,50,55,60,65,70,75,80,85}, 1), "20-24", "25-29", "30-34", "35-39", "40-44", "45-49", "50-54", "55-59", "60-64", "65-69", "70-74", "75-79", "80-84", "85+")</f>
        <v>30-34</v>
      </c>
      <c r="D9954" t="s">
        <v>8</v>
      </c>
    </row>
    <row r="9955" spans="1:4">
      <c r="A9955" t="s">
        <v>6</v>
      </c>
      <c r="B9955">
        <v>57</v>
      </c>
      <c r="C9955" t="str">
        <f>CHOOSE(MATCH(B9955, {20,25,30,35,40,45,50,55,60,65,70,75,80,85}, 1), "20-24", "25-29", "30-34", "35-39", "40-44", "45-49", "50-54", "55-59", "60-64", "65-69", "70-74", "75-79", "80-84", "85+")</f>
        <v>55-59</v>
      </c>
      <c r="D9955" t="s">
        <v>8</v>
      </c>
    </row>
    <row r="9956" spans="1:4">
      <c r="A9956" t="s">
        <v>6</v>
      </c>
      <c r="B9956">
        <v>30</v>
      </c>
      <c r="C9956" t="str">
        <f>CHOOSE(MATCH(B9956, {20,25,30,35,40,45,50,55,60,65,70,75,80,85}, 1), "20-24", "25-29", "30-34", "35-39", "40-44", "45-49", "50-54", "55-59", "60-64", "65-69", "70-74", "75-79", "80-84", "85+")</f>
        <v>30-34</v>
      </c>
      <c r="D9956" t="s">
        <v>8</v>
      </c>
    </row>
    <row r="9957" spans="1:4">
      <c r="A9957" t="s">
        <v>6</v>
      </c>
      <c r="B9957">
        <v>61</v>
      </c>
      <c r="C9957" t="str">
        <f>CHOOSE(MATCH(B9957, {20,25,30,35,40,45,50,55,60,65,70,75,80,85}, 1), "20-24", "25-29", "30-34", "35-39", "40-44", "45-49", "50-54", "55-59", "60-64", "65-69", "70-74", "75-79", "80-84", "85+")</f>
        <v>60-64</v>
      </c>
      <c r="D9957" t="s">
        <v>7</v>
      </c>
    </row>
    <row r="9958" spans="1:4">
      <c r="A9958" t="s">
        <v>6</v>
      </c>
      <c r="B9958">
        <v>44</v>
      </c>
      <c r="C9958" t="str">
        <f>CHOOSE(MATCH(B9958, {20,25,30,35,40,45,50,55,60,65,70,75,80,85}, 1), "20-24", "25-29", "30-34", "35-39", "40-44", "45-49", "50-54", "55-59", "60-64", "65-69", "70-74", "75-79", "80-84", "85+")</f>
        <v>40-44</v>
      </c>
      <c r="D9958" t="s">
        <v>8</v>
      </c>
    </row>
    <row r="9959" spans="1:4">
      <c r="A9959" t="s">
        <v>6</v>
      </c>
      <c r="B9959">
        <v>49</v>
      </c>
      <c r="C9959" t="str">
        <f>CHOOSE(MATCH(B9959, {20,25,30,35,40,45,50,55,60,65,70,75,80,85}, 1), "20-24", "25-29", "30-34", "35-39", "40-44", "45-49", "50-54", "55-59", "60-64", "65-69", "70-74", "75-79", "80-84", "85+")</f>
        <v>45-49</v>
      </c>
      <c r="D9959" t="s">
        <v>7</v>
      </c>
    </row>
    <row r="9960" spans="1:4">
      <c r="A9960" t="s">
        <v>6</v>
      </c>
      <c r="B9960">
        <v>44</v>
      </c>
      <c r="C9960" t="str">
        <f>CHOOSE(MATCH(B9960, {20,25,30,35,40,45,50,55,60,65,70,75,80,85}, 1), "20-24", "25-29", "30-34", "35-39", "40-44", "45-49", "50-54", "55-59", "60-64", "65-69", "70-74", "75-79", "80-84", "85+")</f>
        <v>40-44</v>
      </c>
      <c r="D9960" t="s">
        <v>7</v>
      </c>
    </row>
    <row r="9961" spans="1:4">
      <c r="A9961" t="s">
        <v>6</v>
      </c>
      <c r="B9961">
        <v>26</v>
      </c>
      <c r="C9961" t="str">
        <f>CHOOSE(MATCH(B9961, {20,25,30,35,40,45,50,55,60,65,70,75,80,85}, 1), "20-24", "25-29", "30-34", "35-39", "40-44", "45-49", "50-54", "55-59", "60-64", "65-69", "70-74", "75-79", "80-84", "85+")</f>
        <v>25-29</v>
      </c>
      <c r="D9961" t="s">
        <v>8</v>
      </c>
    </row>
    <row r="9962" spans="1:4">
      <c r="A9962" t="s">
        <v>6</v>
      </c>
      <c r="B9962">
        <v>59</v>
      </c>
      <c r="C9962" t="str">
        <f>CHOOSE(MATCH(B9962, {20,25,30,35,40,45,50,55,60,65,70,75,80,85}, 1), "20-24", "25-29", "30-34", "35-39", "40-44", "45-49", "50-54", "55-59", "60-64", "65-69", "70-74", "75-79", "80-84", "85+")</f>
        <v>55-59</v>
      </c>
      <c r="D9962" t="s">
        <v>7</v>
      </c>
    </row>
    <row r="9963" spans="1:4">
      <c r="A9963" t="s">
        <v>6</v>
      </c>
      <c r="B9963">
        <v>25</v>
      </c>
      <c r="C9963" t="str">
        <f>CHOOSE(MATCH(B9963, {20,25,30,35,40,45,50,55,60,65,70,75,80,85}, 1), "20-24", "25-29", "30-34", "35-39", "40-44", "45-49", "50-54", "55-59", "60-64", "65-69", "70-74", "75-79", "80-84", "85+")</f>
        <v>25-29</v>
      </c>
      <c r="D9963" t="s">
        <v>8</v>
      </c>
    </row>
    <row r="9964" spans="1:4">
      <c r="A9964" t="s">
        <v>6</v>
      </c>
      <c r="B9964">
        <v>45</v>
      </c>
      <c r="C9964" t="str">
        <f>CHOOSE(MATCH(B9964, {20,25,30,35,40,45,50,55,60,65,70,75,80,85}, 1), "20-24", "25-29", "30-34", "35-39", "40-44", "45-49", "50-54", "55-59", "60-64", "65-69", "70-74", "75-79", "80-84", "85+")</f>
        <v>45-49</v>
      </c>
      <c r="D9964" t="s">
        <v>8</v>
      </c>
    </row>
    <row r="9965" spans="1:4">
      <c r="A9965" t="s">
        <v>6</v>
      </c>
      <c r="B9965">
        <v>27</v>
      </c>
      <c r="C9965" t="str">
        <f>CHOOSE(MATCH(B9965, {20,25,30,35,40,45,50,55,60,65,70,75,80,85}, 1), "20-24", "25-29", "30-34", "35-39", "40-44", "45-49", "50-54", "55-59", "60-64", "65-69", "70-74", "75-79", "80-84", "85+")</f>
        <v>25-29</v>
      </c>
      <c r="D9965" t="s">
        <v>8</v>
      </c>
    </row>
    <row r="9966" spans="1:4">
      <c r="A9966" t="s">
        <v>6</v>
      </c>
      <c r="B9966">
        <v>44</v>
      </c>
      <c r="C9966" t="str">
        <f>CHOOSE(MATCH(B9966, {20,25,30,35,40,45,50,55,60,65,70,75,80,85}, 1), "20-24", "25-29", "30-34", "35-39", "40-44", "45-49", "50-54", "55-59", "60-64", "65-69", "70-74", "75-79", "80-84", "85+")</f>
        <v>40-44</v>
      </c>
      <c r="D9966" t="s">
        <v>8</v>
      </c>
    </row>
    <row r="9967" spans="1:4">
      <c r="A9967" t="s">
        <v>6</v>
      </c>
      <c r="B9967">
        <v>42</v>
      </c>
      <c r="C9967" t="str">
        <f>CHOOSE(MATCH(B9967, {20,25,30,35,40,45,50,55,60,65,70,75,80,85}, 1), "20-24", "25-29", "30-34", "35-39", "40-44", "45-49", "50-54", "55-59", "60-64", "65-69", "70-74", "75-79", "80-84", "85+")</f>
        <v>40-44</v>
      </c>
      <c r="D9967" t="s">
        <v>8</v>
      </c>
    </row>
    <row r="9968" spans="1:4">
      <c r="A9968" t="s">
        <v>6</v>
      </c>
      <c r="B9968">
        <v>29</v>
      </c>
      <c r="C9968" t="str">
        <f>CHOOSE(MATCH(B9968, {20,25,30,35,40,45,50,55,60,65,70,75,80,85}, 1), "20-24", "25-29", "30-34", "35-39", "40-44", "45-49", "50-54", "55-59", "60-64", "65-69", "70-74", "75-79", "80-84", "85+")</f>
        <v>25-29</v>
      </c>
      <c r="D9968" t="s">
        <v>7</v>
      </c>
    </row>
    <row r="9969" spans="1:4">
      <c r="A9969" t="s">
        <v>6</v>
      </c>
      <c r="B9969">
        <v>47</v>
      </c>
      <c r="C9969" t="str">
        <f>CHOOSE(MATCH(B9969, {20,25,30,35,40,45,50,55,60,65,70,75,80,85}, 1), "20-24", "25-29", "30-34", "35-39", "40-44", "45-49", "50-54", "55-59", "60-64", "65-69", "70-74", "75-79", "80-84", "85+")</f>
        <v>45-49</v>
      </c>
      <c r="D9969" t="s">
        <v>7</v>
      </c>
    </row>
    <row r="9970" spans="1:4">
      <c r="A9970" t="s">
        <v>6</v>
      </c>
      <c r="B9970">
        <v>34</v>
      </c>
      <c r="C9970" t="str">
        <f>CHOOSE(MATCH(B9970, {20,25,30,35,40,45,50,55,60,65,70,75,80,85}, 1), "20-24", "25-29", "30-34", "35-39", "40-44", "45-49", "50-54", "55-59", "60-64", "65-69", "70-74", "75-79", "80-84", "85+")</f>
        <v>30-34</v>
      </c>
      <c r="D9970" t="s">
        <v>7</v>
      </c>
    </row>
    <row r="9971" spans="1:4">
      <c r="A9971" t="s">
        <v>6</v>
      </c>
      <c r="B9971">
        <v>40</v>
      </c>
      <c r="C9971" t="str">
        <f>CHOOSE(MATCH(B9971, {20,25,30,35,40,45,50,55,60,65,70,75,80,85}, 1), "20-24", "25-29", "30-34", "35-39", "40-44", "45-49", "50-54", "55-59", "60-64", "65-69", "70-74", "75-79", "80-84", "85+")</f>
        <v>40-44</v>
      </c>
      <c r="D9971" t="s">
        <v>8</v>
      </c>
    </row>
    <row r="9972" spans="1:4">
      <c r="A9972" t="s">
        <v>6</v>
      </c>
      <c r="B9972">
        <v>29</v>
      </c>
      <c r="C9972" t="str">
        <f>CHOOSE(MATCH(B9972, {20,25,30,35,40,45,50,55,60,65,70,75,80,85}, 1), "20-24", "25-29", "30-34", "35-39", "40-44", "45-49", "50-54", "55-59", "60-64", "65-69", "70-74", "75-79", "80-84", "85+")</f>
        <v>25-29</v>
      </c>
      <c r="D9972" t="s">
        <v>8</v>
      </c>
    </row>
    <row r="9973" spans="1:4">
      <c r="A9973" t="s">
        <v>6</v>
      </c>
      <c r="B9973">
        <v>75</v>
      </c>
      <c r="C9973" t="str">
        <f>CHOOSE(MATCH(B9973, {20,25,30,35,40,45,50,55,60,65,70,75,80,85}, 1), "20-24", "25-29", "30-34", "35-39", "40-44", "45-49", "50-54", "55-59", "60-64", "65-69", "70-74", "75-79", "80-84", "85+")</f>
        <v>75-79</v>
      </c>
      <c r="D9973" t="s">
        <v>8</v>
      </c>
    </row>
    <row r="9974" spans="1:4">
      <c r="A9974" t="s">
        <v>6</v>
      </c>
      <c r="B9974">
        <v>60</v>
      </c>
      <c r="C9974" t="str">
        <f>CHOOSE(MATCH(B9974, {20,25,30,35,40,45,50,55,60,65,70,75,80,85}, 1), "20-24", "25-29", "30-34", "35-39", "40-44", "45-49", "50-54", "55-59", "60-64", "65-69", "70-74", "75-79", "80-84", "85+")</f>
        <v>60-64</v>
      </c>
      <c r="D9974" t="s">
        <v>7</v>
      </c>
    </row>
    <row r="9975" spans="1:4">
      <c r="A9975" t="s">
        <v>6</v>
      </c>
      <c r="B9975">
        <v>47</v>
      </c>
      <c r="C9975" t="str">
        <f>CHOOSE(MATCH(B9975, {20,25,30,35,40,45,50,55,60,65,70,75,80,85}, 1), "20-24", "25-29", "30-34", "35-39", "40-44", "45-49", "50-54", "55-59", "60-64", "65-69", "70-74", "75-79", "80-84", "85+")</f>
        <v>45-49</v>
      </c>
      <c r="D9975" t="s">
        <v>7</v>
      </c>
    </row>
    <row r="9976" spans="1:4">
      <c r="A9976" t="s">
        <v>6</v>
      </c>
      <c r="B9976">
        <v>49</v>
      </c>
      <c r="C9976" t="str">
        <f>CHOOSE(MATCH(B9976, {20,25,30,35,40,45,50,55,60,65,70,75,80,85}, 1), "20-24", "25-29", "30-34", "35-39", "40-44", "45-49", "50-54", "55-59", "60-64", "65-69", "70-74", "75-79", "80-84", "85+")</f>
        <v>45-49</v>
      </c>
      <c r="D9976" t="s">
        <v>8</v>
      </c>
    </row>
    <row r="9977" spans="1:4">
      <c r="A9977" t="s">
        <v>6</v>
      </c>
      <c r="B9977">
        <v>38</v>
      </c>
      <c r="C9977" t="str">
        <f>CHOOSE(MATCH(B9977, {20,25,30,35,40,45,50,55,60,65,70,75,80,85}, 1), "20-24", "25-29", "30-34", "35-39", "40-44", "45-49", "50-54", "55-59", "60-64", "65-69", "70-74", "75-79", "80-84", "85+")</f>
        <v>35-39</v>
      </c>
      <c r="D9977" t="s">
        <v>7</v>
      </c>
    </row>
    <row r="9978" spans="1:4">
      <c r="A9978" t="s">
        <v>6</v>
      </c>
      <c r="B9978">
        <v>60</v>
      </c>
      <c r="C9978" t="str">
        <f>CHOOSE(MATCH(B9978, {20,25,30,35,40,45,50,55,60,65,70,75,80,85}, 1), "20-24", "25-29", "30-34", "35-39", "40-44", "45-49", "50-54", "55-59", "60-64", "65-69", "70-74", "75-79", "80-84", "85+")</f>
        <v>60-64</v>
      </c>
      <c r="D9978" t="s">
        <v>7</v>
      </c>
    </row>
    <row r="9979" spans="1:4">
      <c r="A9979" t="s">
        <v>6</v>
      </c>
      <c r="B9979">
        <v>30</v>
      </c>
      <c r="C9979" t="str">
        <f>CHOOSE(MATCH(B9979, {20,25,30,35,40,45,50,55,60,65,70,75,80,85}, 1), "20-24", "25-29", "30-34", "35-39", "40-44", "45-49", "50-54", "55-59", "60-64", "65-69", "70-74", "75-79", "80-84", "85+")</f>
        <v>30-34</v>
      </c>
      <c r="D9979" t="s">
        <v>7</v>
      </c>
    </row>
    <row r="9980" spans="1:4">
      <c r="A9980" t="s">
        <v>6</v>
      </c>
      <c r="B9980">
        <v>35</v>
      </c>
      <c r="C9980" t="str">
        <f>CHOOSE(MATCH(B9980, {20,25,30,35,40,45,50,55,60,65,70,75,80,85}, 1), "20-24", "25-29", "30-34", "35-39", "40-44", "45-49", "50-54", "55-59", "60-64", "65-69", "70-74", "75-79", "80-84", "85+")</f>
        <v>35-39</v>
      </c>
      <c r="D9980" t="s">
        <v>8</v>
      </c>
    </row>
    <row r="9981" spans="1:4">
      <c r="A9981" t="s">
        <v>6</v>
      </c>
      <c r="B9981">
        <v>30</v>
      </c>
      <c r="C9981" t="str">
        <f>CHOOSE(MATCH(B9981, {20,25,30,35,40,45,50,55,60,65,70,75,80,85}, 1), "20-24", "25-29", "30-34", "35-39", "40-44", "45-49", "50-54", "55-59", "60-64", "65-69", "70-74", "75-79", "80-84", "85+")</f>
        <v>30-34</v>
      </c>
      <c r="D9981" t="s">
        <v>7</v>
      </c>
    </row>
    <row r="9982" spans="1:4">
      <c r="A9982" t="s">
        <v>6</v>
      </c>
      <c r="B9982">
        <v>27</v>
      </c>
      <c r="C9982" t="str">
        <f>CHOOSE(MATCH(B9982, {20,25,30,35,40,45,50,55,60,65,70,75,80,85}, 1), "20-24", "25-29", "30-34", "35-39", "40-44", "45-49", "50-54", "55-59", "60-64", "65-69", "70-74", "75-79", "80-84", "85+")</f>
        <v>25-29</v>
      </c>
      <c r="D9982" t="s">
        <v>7</v>
      </c>
    </row>
    <row r="9983" spans="1:4">
      <c r="A9983" t="s">
        <v>6</v>
      </c>
      <c r="B9983">
        <v>27</v>
      </c>
      <c r="C9983" t="str">
        <f>CHOOSE(MATCH(B9983, {20,25,30,35,40,45,50,55,60,65,70,75,80,85}, 1), "20-24", "25-29", "30-34", "35-39", "40-44", "45-49", "50-54", "55-59", "60-64", "65-69", "70-74", "75-79", "80-84", "85+")</f>
        <v>25-29</v>
      </c>
      <c r="D9983" t="s">
        <v>7</v>
      </c>
    </row>
    <row r="9984" spans="1:4">
      <c r="A9984" t="s">
        <v>6</v>
      </c>
      <c r="B9984">
        <v>34</v>
      </c>
      <c r="C9984" t="str">
        <f>CHOOSE(MATCH(B9984, {20,25,30,35,40,45,50,55,60,65,70,75,80,85}, 1), "20-24", "25-29", "30-34", "35-39", "40-44", "45-49", "50-54", "55-59", "60-64", "65-69", "70-74", "75-79", "80-84", "85+")</f>
        <v>30-34</v>
      </c>
      <c r="D9984" t="s">
        <v>8</v>
      </c>
    </row>
    <row r="9985" spans="1:4">
      <c r="A9985" t="s">
        <v>6</v>
      </c>
      <c r="B9985">
        <v>41</v>
      </c>
      <c r="C9985" t="str">
        <f>CHOOSE(MATCH(B9985, {20,25,30,35,40,45,50,55,60,65,70,75,80,85}, 1), "20-24", "25-29", "30-34", "35-39", "40-44", "45-49", "50-54", "55-59", "60-64", "65-69", "70-74", "75-79", "80-84", "85+")</f>
        <v>40-44</v>
      </c>
      <c r="D9985" t="s">
        <v>8</v>
      </c>
    </row>
    <row r="9986" spans="1:4">
      <c r="A9986" t="s">
        <v>6</v>
      </c>
      <c r="B9986">
        <v>33</v>
      </c>
      <c r="C9986" t="str">
        <f>CHOOSE(MATCH(B9986, {20,25,30,35,40,45,50,55,60,65,70,75,80,85}, 1), "20-24", "25-29", "30-34", "35-39", "40-44", "45-49", "50-54", "55-59", "60-64", "65-69", "70-74", "75-79", "80-84", "85+")</f>
        <v>30-34</v>
      </c>
      <c r="D9986" t="s">
        <v>8</v>
      </c>
    </row>
    <row r="9987" spans="1:4">
      <c r="A9987" t="s">
        <v>6</v>
      </c>
      <c r="B9987">
        <v>32</v>
      </c>
      <c r="C9987" t="str">
        <f>CHOOSE(MATCH(B9987, {20,25,30,35,40,45,50,55,60,65,70,75,80,85}, 1), "20-24", "25-29", "30-34", "35-39", "40-44", "45-49", "50-54", "55-59", "60-64", "65-69", "70-74", "75-79", "80-84", "85+")</f>
        <v>30-34</v>
      </c>
      <c r="D9987" t="s">
        <v>7</v>
      </c>
    </row>
    <row r="9988" spans="1:4">
      <c r="A9988" t="s">
        <v>6</v>
      </c>
      <c r="B9988">
        <v>49</v>
      </c>
      <c r="C9988" t="str">
        <f>CHOOSE(MATCH(B9988, {20,25,30,35,40,45,50,55,60,65,70,75,80,85}, 1), "20-24", "25-29", "30-34", "35-39", "40-44", "45-49", "50-54", "55-59", "60-64", "65-69", "70-74", "75-79", "80-84", "85+")</f>
        <v>45-49</v>
      </c>
      <c r="D9988" t="s">
        <v>8</v>
      </c>
    </row>
    <row r="9989" spans="1:4">
      <c r="A9989" t="s">
        <v>6</v>
      </c>
      <c r="B9989">
        <v>54</v>
      </c>
      <c r="C9989" t="str">
        <f>CHOOSE(MATCH(B9989, {20,25,30,35,40,45,50,55,60,65,70,75,80,85}, 1), "20-24", "25-29", "30-34", "35-39", "40-44", "45-49", "50-54", "55-59", "60-64", "65-69", "70-74", "75-79", "80-84", "85+")</f>
        <v>50-54</v>
      </c>
      <c r="D9989" t="s">
        <v>7</v>
      </c>
    </row>
    <row r="9990" spans="1:4">
      <c r="A9990" t="s">
        <v>6</v>
      </c>
      <c r="B9990">
        <v>32</v>
      </c>
      <c r="C9990" t="str">
        <f>CHOOSE(MATCH(B9990, {20,25,30,35,40,45,50,55,60,65,70,75,80,85}, 1), "20-24", "25-29", "30-34", "35-39", "40-44", "45-49", "50-54", "55-59", "60-64", "65-69", "70-74", "75-79", "80-84", "85+")</f>
        <v>30-34</v>
      </c>
      <c r="D9990" t="s">
        <v>8</v>
      </c>
    </row>
    <row r="9991" spans="1:4">
      <c r="A9991" t="s">
        <v>6</v>
      </c>
      <c r="B9991">
        <v>45</v>
      </c>
      <c r="C9991" t="str">
        <f>CHOOSE(MATCH(B9991, {20,25,30,35,40,45,50,55,60,65,70,75,80,85}, 1), "20-24", "25-29", "30-34", "35-39", "40-44", "45-49", "50-54", "55-59", "60-64", "65-69", "70-74", "75-79", "80-84", "85+")</f>
        <v>45-49</v>
      </c>
      <c r="D9991" t="s">
        <v>8</v>
      </c>
    </row>
    <row r="9992" spans="1:4">
      <c r="A9992" t="s">
        <v>6</v>
      </c>
      <c r="B9992">
        <v>56</v>
      </c>
      <c r="C9992" t="str">
        <f>CHOOSE(MATCH(B9992, {20,25,30,35,40,45,50,55,60,65,70,75,80,85}, 1), "20-24", "25-29", "30-34", "35-39", "40-44", "45-49", "50-54", "55-59", "60-64", "65-69", "70-74", "75-79", "80-84", "85+")</f>
        <v>55-59</v>
      </c>
      <c r="D9992" t="s">
        <v>8</v>
      </c>
    </row>
    <row r="9993" spans="1:4">
      <c r="A9993" t="s">
        <v>6</v>
      </c>
      <c r="B9993">
        <v>44</v>
      </c>
      <c r="C9993" t="str">
        <f>CHOOSE(MATCH(B9993, {20,25,30,35,40,45,50,55,60,65,70,75,80,85}, 1), "20-24", "25-29", "30-34", "35-39", "40-44", "45-49", "50-54", "55-59", "60-64", "65-69", "70-74", "75-79", "80-84", "85+")</f>
        <v>40-44</v>
      </c>
      <c r="D9993" t="s">
        <v>8</v>
      </c>
    </row>
    <row r="9994" spans="1:4">
      <c r="A9994" t="s">
        <v>6</v>
      </c>
      <c r="B9994">
        <v>53</v>
      </c>
      <c r="C9994" t="str">
        <f>CHOOSE(MATCH(B9994, {20,25,30,35,40,45,50,55,60,65,70,75,80,85}, 1), "20-24", "25-29", "30-34", "35-39", "40-44", "45-49", "50-54", "55-59", "60-64", "65-69", "70-74", "75-79", "80-84", "85+")</f>
        <v>50-54</v>
      </c>
      <c r="D9994" t="s">
        <v>7</v>
      </c>
    </row>
    <row r="9995" spans="1:4">
      <c r="A9995" t="s">
        <v>6</v>
      </c>
      <c r="B9995">
        <v>25</v>
      </c>
      <c r="C9995" t="str">
        <f>CHOOSE(MATCH(B9995, {20,25,30,35,40,45,50,55,60,65,70,75,80,85}, 1), "20-24", "25-29", "30-34", "35-39", "40-44", "45-49", "50-54", "55-59", "60-64", "65-69", "70-74", "75-79", "80-84", "85+")</f>
        <v>25-29</v>
      </c>
      <c r="D9995" t="s">
        <v>7</v>
      </c>
    </row>
    <row r="9996" spans="1:4">
      <c r="A9996" t="s">
        <v>6</v>
      </c>
      <c r="B9996">
        <v>45</v>
      </c>
      <c r="C9996" t="str">
        <f>CHOOSE(MATCH(B9996, {20,25,30,35,40,45,50,55,60,65,70,75,80,85}, 1), "20-24", "25-29", "30-34", "35-39", "40-44", "45-49", "50-54", "55-59", "60-64", "65-69", "70-74", "75-79", "80-84", "85+")</f>
        <v>45-49</v>
      </c>
      <c r="D9996" t="s">
        <v>8</v>
      </c>
    </row>
    <row r="9997" spans="1:4">
      <c r="A9997" t="s">
        <v>6</v>
      </c>
      <c r="B9997">
        <v>36</v>
      </c>
      <c r="C9997" t="str">
        <f>CHOOSE(MATCH(B9997, {20,25,30,35,40,45,50,55,60,65,70,75,80,85}, 1), "20-24", "25-29", "30-34", "35-39", "40-44", "45-49", "50-54", "55-59", "60-64", "65-69", "70-74", "75-79", "80-84", "85+")</f>
        <v>35-39</v>
      </c>
      <c r="D9997" t="s">
        <v>8</v>
      </c>
    </row>
    <row r="9998" spans="1:4">
      <c r="A9998" t="s">
        <v>6</v>
      </c>
      <c r="B9998">
        <v>31</v>
      </c>
      <c r="C9998" t="str">
        <f>CHOOSE(MATCH(B9998, {20,25,30,35,40,45,50,55,60,65,70,75,80,85}, 1), "20-24", "25-29", "30-34", "35-39", "40-44", "45-49", "50-54", "55-59", "60-64", "65-69", "70-74", "75-79", "80-84", "85+")</f>
        <v>30-34</v>
      </c>
      <c r="D9998" t="s">
        <v>8</v>
      </c>
    </row>
    <row r="9999" spans="1:4">
      <c r="A9999" t="s">
        <v>6</v>
      </c>
      <c r="B9999">
        <v>25</v>
      </c>
      <c r="C9999" t="str">
        <f>CHOOSE(MATCH(B9999, {20,25,30,35,40,45,50,55,60,65,70,75,80,85}, 1), "20-24", "25-29", "30-34", "35-39", "40-44", "45-49", "50-54", "55-59", "60-64", "65-69", "70-74", "75-79", "80-84", "85+")</f>
        <v>25-29</v>
      </c>
      <c r="D9999" t="s">
        <v>7</v>
      </c>
    </row>
    <row r="10000" spans="1:4">
      <c r="A10000" t="s">
        <v>6</v>
      </c>
      <c r="B10000">
        <v>51</v>
      </c>
      <c r="C10000" t="str">
        <f>CHOOSE(MATCH(B10000, {20,25,30,35,40,45,50,55,60,65,70,75,80,85}, 1), "20-24", "25-29", "30-34", "35-39", "40-44", "45-49", "50-54", "55-59", "60-64", "65-69", "70-74", "75-79", "80-84", "85+")</f>
        <v>50-54</v>
      </c>
      <c r="D10000" t="s">
        <v>7</v>
      </c>
    </row>
    <row r="10001" spans="1:4">
      <c r="A10001" t="s">
        <v>6</v>
      </c>
      <c r="B10001">
        <v>54</v>
      </c>
      <c r="C10001" t="str">
        <f>CHOOSE(MATCH(B10001, {20,25,30,35,40,45,50,55,60,65,70,75,80,85}, 1), "20-24", "25-29", "30-34", "35-39", "40-44", "45-49", "50-54", "55-59", "60-64", "65-69", "70-74", "75-79", "80-84", "85+")</f>
        <v>50-54</v>
      </c>
      <c r="D10001" t="s">
        <v>7</v>
      </c>
    </row>
    <row r="10002" spans="1:4">
      <c r="A10002" t="s">
        <v>6</v>
      </c>
      <c r="B10002">
        <v>32</v>
      </c>
      <c r="C10002" t="str">
        <f>CHOOSE(MATCH(B10002, {20,25,30,35,40,45,50,55,60,65,70,75,80,85}, 1), "20-24", "25-29", "30-34", "35-39", "40-44", "45-49", "50-54", "55-59", "60-64", "65-69", "70-74", "75-79", "80-84", "85+")</f>
        <v>30-34</v>
      </c>
      <c r="D10002" t="s">
        <v>7</v>
      </c>
    </row>
    <row r="10003" spans="1:4">
      <c r="A10003" t="s">
        <v>6</v>
      </c>
      <c r="B10003">
        <v>33</v>
      </c>
      <c r="C10003" t="str">
        <f>CHOOSE(MATCH(B10003, {20,25,30,35,40,45,50,55,60,65,70,75,80,85}, 1), "20-24", "25-29", "30-34", "35-39", "40-44", "45-49", "50-54", "55-59", "60-64", "65-69", "70-74", "75-79", "80-84", "85+")</f>
        <v>30-34</v>
      </c>
      <c r="D10003" t="s">
        <v>7</v>
      </c>
    </row>
    <row r="10004" spans="1:4">
      <c r="A10004" t="s">
        <v>6</v>
      </c>
      <c r="B10004">
        <v>60</v>
      </c>
      <c r="C10004" t="str">
        <f>CHOOSE(MATCH(B10004, {20,25,30,35,40,45,50,55,60,65,70,75,80,85}, 1), "20-24", "25-29", "30-34", "35-39", "40-44", "45-49", "50-54", "55-59", "60-64", "65-69", "70-74", "75-79", "80-84", "85+")</f>
        <v>60-64</v>
      </c>
      <c r="D10004" t="s">
        <v>8</v>
      </c>
    </row>
    <row r="10005" spans="1:4">
      <c r="A10005" t="s">
        <v>6</v>
      </c>
      <c r="B10005">
        <v>46</v>
      </c>
      <c r="C10005" t="str">
        <f>CHOOSE(MATCH(B10005, {20,25,30,35,40,45,50,55,60,65,70,75,80,85}, 1), "20-24", "25-29", "30-34", "35-39", "40-44", "45-49", "50-54", "55-59", "60-64", "65-69", "70-74", "75-79", "80-84", "85+")</f>
        <v>45-49</v>
      </c>
      <c r="D10005" t="s">
        <v>7</v>
      </c>
    </row>
    <row r="10006" spans="1:4">
      <c r="A10006" t="s">
        <v>6</v>
      </c>
      <c r="B10006">
        <v>37</v>
      </c>
      <c r="C10006" t="str">
        <f>CHOOSE(MATCH(B10006, {20,25,30,35,40,45,50,55,60,65,70,75,80,85}, 1), "20-24", "25-29", "30-34", "35-39", "40-44", "45-49", "50-54", "55-59", "60-64", "65-69", "70-74", "75-79", "80-84", "85+")</f>
        <v>35-39</v>
      </c>
      <c r="D10006" t="s">
        <v>7</v>
      </c>
    </row>
    <row r="10007" spans="1:4">
      <c r="A10007" t="s">
        <v>6</v>
      </c>
      <c r="B10007">
        <v>31</v>
      </c>
      <c r="C10007" t="str">
        <f>CHOOSE(MATCH(B10007, {20,25,30,35,40,45,50,55,60,65,70,75,80,85}, 1), "20-24", "25-29", "30-34", "35-39", "40-44", "45-49", "50-54", "55-59", "60-64", "65-69", "70-74", "75-79", "80-84", "85+")</f>
        <v>30-34</v>
      </c>
      <c r="D10007" t="s">
        <v>7</v>
      </c>
    </row>
    <row r="10008" spans="1:4">
      <c r="A10008" t="s">
        <v>6</v>
      </c>
      <c r="B10008">
        <v>67</v>
      </c>
      <c r="C10008" t="str">
        <f>CHOOSE(MATCH(B10008, {20,25,30,35,40,45,50,55,60,65,70,75,80,85}, 1), "20-24", "25-29", "30-34", "35-39", "40-44", "45-49", "50-54", "55-59", "60-64", "65-69", "70-74", "75-79", "80-84", "85+")</f>
        <v>65-69</v>
      </c>
      <c r="D10008" t="s">
        <v>7</v>
      </c>
    </row>
    <row r="10009" spans="1:4">
      <c r="A10009" t="s">
        <v>6</v>
      </c>
      <c r="B10009">
        <v>24</v>
      </c>
      <c r="C10009" t="str">
        <f>CHOOSE(MATCH(B10009, {20,25,30,35,40,45,50,55,60,65,70,75,80,85}, 1), "20-24", "25-29", "30-34", "35-39", "40-44", "45-49", "50-54", "55-59", "60-64", "65-69", "70-74", "75-79", "80-84", "85+")</f>
        <v>20-24</v>
      </c>
      <c r="D10009" t="s">
        <v>7</v>
      </c>
    </row>
    <row r="10010" spans="1:4">
      <c r="A10010" t="s">
        <v>6</v>
      </c>
      <c r="B10010">
        <v>25</v>
      </c>
      <c r="C10010" t="str">
        <f>CHOOSE(MATCH(B10010, {20,25,30,35,40,45,50,55,60,65,70,75,80,85}, 1), "20-24", "25-29", "30-34", "35-39", "40-44", "45-49", "50-54", "55-59", "60-64", "65-69", "70-74", "75-79", "80-84", "85+")</f>
        <v>25-29</v>
      </c>
      <c r="D10010" t="s">
        <v>8</v>
      </c>
    </row>
    <row r="10011" spans="1:4">
      <c r="A10011" t="s">
        <v>6</v>
      </c>
      <c r="B10011">
        <v>39</v>
      </c>
      <c r="C10011" t="str">
        <f>CHOOSE(MATCH(B10011, {20,25,30,35,40,45,50,55,60,65,70,75,80,85}, 1), "20-24", "25-29", "30-34", "35-39", "40-44", "45-49", "50-54", "55-59", "60-64", "65-69", "70-74", "75-79", "80-84", "85+")</f>
        <v>35-39</v>
      </c>
      <c r="D10011" t="s">
        <v>8</v>
      </c>
    </row>
    <row r="10012" spans="1:4">
      <c r="A10012" t="s">
        <v>6</v>
      </c>
      <c r="B10012">
        <v>41</v>
      </c>
      <c r="C10012" t="str">
        <f>CHOOSE(MATCH(B10012, {20,25,30,35,40,45,50,55,60,65,70,75,80,85}, 1), "20-24", "25-29", "30-34", "35-39", "40-44", "45-49", "50-54", "55-59", "60-64", "65-69", "70-74", "75-79", "80-84", "85+")</f>
        <v>40-44</v>
      </c>
      <c r="D10012" t="s">
        <v>8</v>
      </c>
    </row>
    <row r="10013" spans="1:4">
      <c r="A10013" t="s">
        <v>6</v>
      </c>
      <c r="B10013">
        <v>62</v>
      </c>
      <c r="C10013" t="str">
        <f>CHOOSE(MATCH(B10013, {20,25,30,35,40,45,50,55,60,65,70,75,80,85}, 1), "20-24", "25-29", "30-34", "35-39", "40-44", "45-49", "50-54", "55-59", "60-64", "65-69", "70-74", "75-79", "80-84", "85+")</f>
        <v>60-64</v>
      </c>
      <c r="D10013" t="s">
        <v>8</v>
      </c>
    </row>
    <row r="10014" spans="1:4">
      <c r="A10014" t="s">
        <v>6</v>
      </c>
      <c r="B10014">
        <v>23</v>
      </c>
      <c r="C10014" t="str">
        <f>CHOOSE(MATCH(B10014, {20,25,30,35,40,45,50,55,60,65,70,75,80,85}, 1), "20-24", "25-29", "30-34", "35-39", "40-44", "45-49", "50-54", "55-59", "60-64", "65-69", "70-74", "75-79", "80-84", "85+")</f>
        <v>20-24</v>
      </c>
      <c r="D10014" t="s">
        <v>8</v>
      </c>
    </row>
    <row r="10015" spans="1:4">
      <c r="A10015" t="s">
        <v>6</v>
      </c>
      <c r="B10015">
        <v>68</v>
      </c>
      <c r="C10015" t="str">
        <f>CHOOSE(MATCH(B10015, {20,25,30,35,40,45,50,55,60,65,70,75,80,85}, 1), "20-24", "25-29", "30-34", "35-39", "40-44", "45-49", "50-54", "55-59", "60-64", "65-69", "70-74", "75-79", "80-84", "85+")</f>
        <v>65-69</v>
      </c>
      <c r="D10015" t="s">
        <v>8</v>
      </c>
    </row>
    <row r="10016" spans="1:4">
      <c r="A10016" t="s">
        <v>6</v>
      </c>
      <c r="B10016">
        <v>55</v>
      </c>
      <c r="C10016" t="str">
        <f>CHOOSE(MATCH(B10016, {20,25,30,35,40,45,50,55,60,65,70,75,80,85}, 1), "20-24", "25-29", "30-34", "35-39", "40-44", "45-49", "50-54", "55-59", "60-64", "65-69", "70-74", "75-79", "80-84", "85+")</f>
        <v>55-59</v>
      </c>
      <c r="D10016" t="s">
        <v>8</v>
      </c>
    </row>
    <row r="10017" spans="1:4">
      <c r="A10017" t="s">
        <v>6</v>
      </c>
      <c r="B10017">
        <v>26</v>
      </c>
      <c r="C10017" t="str">
        <f>CHOOSE(MATCH(B10017, {20,25,30,35,40,45,50,55,60,65,70,75,80,85}, 1), "20-24", "25-29", "30-34", "35-39", "40-44", "45-49", "50-54", "55-59", "60-64", "65-69", "70-74", "75-79", "80-84", "85+")</f>
        <v>25-29</v>
      </c>
      <c r="D10017" t="s">
        <v>8</v>
      </c>
    </row>
    <row r="10018" spans="1:4">
      <c r="A10018" t="s">
        <v>6</v>
      </c>
      <c r="B10018">
        <v>32</v>
      </c>
      <c r="C10018" t="str">
        <f>CHOOSE(MATCH(B10018, {20,25,30,35,40,45,50,55,60,65,70,75,80,85}, 1), "20-24", "25-29", "30-34", "35-39", "40-44", "45-49", "50-54", "55-59", "60-64", "65-69", "70-74", "75-79", "80-84", "85+")</f>
        <v>30-34</v>
      </c>
      <c r="D10018" t="s">
        <v>7</v>
      </c>
    </row>
    <row r="10019" spans="1:4">
      <c r="A10019" t="s">
        <v>6</v>
      </c>
      <c r="B10019">
        <v>32</v>
      </c>
      <c r="C10019" t="str">
        <f>CHOOSE(MATCH(B10019, {20,25,30,35,40,45,50,55,60,65,70,75,80,85}, 1), "20-24", "25-29", "30-34", "35-39", "40-44", "45-49", "50-54", "55-59", "60-64", "65-69", "70-74", "75-79", "80-84", "85+")</f>
        <v>30-34</v>
      </c>
      <c r="D10019" t="s">
        <v>7</v>
      </c>
    </row>
    <row r="10020" spans="1:4">
      <c r="A10020" t="s">
        <v>6</v>
      </c>
      <c r="B10020">
        <v>34</v>
      </c>
      <c r="C10020" t="str">
        <f>CHOOSE(MATCH(B10020, {20,25,30,35,40,45,50,55,60,65,70,75,80,85}, 1), "20-24", "25-29", "30-34", "35-39", "40-44", "45-49", "50-54", "55-59", "60-64", "65-69", "70-74", "75-79", "80-84", "85+")</f>
        <v>30-34</v>
      </c>
      <c r="D10020" t="s">
        <v>7</v>
      </c>
    </row>
    <row r="10021" spans="1:4">
      <c r="A10021" t="s">
        <v>6</v>
      </c>
      <c r="B10021">
        <v>62</v>
      </c>
      <c r="C10021" t="str">
        <f>CHOOSE(MATCH(B10021, {20,25,30,35,40,45,50,55,60,65,70,75,80,85}, 1), "20-24", "25-29", "30-34", "35-39", "40-44", "45-49", "50-54", "55-59", "60-64", "65-69", "70-74", "75-79", "80-84", "85+")</f>
        <v>60-64</v>
      </c>
      <c r="D10021" t="s">
        <v>8</v>
      </c>
    </row>
    <row r="10022" spans="1:4">
      <c r="A10022" t="s">
        <v>6</v>
      </c>
      <c r="B10022">
        <v>34</v>
      </c>
      <c r="C10022" t="str">
        <f>CHOOSE(MATCH(B10022, {20,25,30,35,40,45,50,55,60,65,70,75,80,85}, 1), "20-24", "25-29", "30-34", "35-39", "40-44", "45-49", "50-54", "55-59", "60-64", "65-69", "70-74", "75-79", "80-84", "85+")</f>
        <v>30-34</v>
      </c>
      <c r="D10022" t="s">
        <v>7</v>
      </c>
    </row>
    <row r="10023" spans="1:4">
      <c r="A10023" t="s">
        <v>6</v>
      </c>
      <c r="B10023">
        <v>64</v>
      </c>
      <c r="C10023" t="str">
        <f>CHOOSE(MATCH(B10023, {20,25,30,35,40,45,50,55,60,65,70,75,80,85}, 1), "20-24", "25-29", "30-34", "35-39", "40-44", "45-49", "50-54", "55-59", "60-64", "65-69", "70-74", "75-79", "80-84", "85+")</f>
        <v>60-64</v>
      </c>
      <c r="D10023" t="s">
        <v>7</v>
      </c>
    </row>
    <row r="10024" spans="1:4">
      <c r="A10024" t="s">
        <v>6</v>
      </c>
      <c r="B10024">
        <v>43</v>
      </c>
      <c r="C10024" t="str">
        <f>CHOOSE(MATCH(B10024, {20,25,30,35,40,45,50,55,60,65,70,75,80,85}, 1), "20-24", "25-29", "30-34", "35-39", "40-44", "45-49", "50-54", "55-59", "60-64", "65-69", "70-74", "75-79", "80-84", "85+")</f>
        <v>40-44</v>
      </c>
      <c r="D10024" t="s">
        <v>8</v>
      </c>
    </row>
    <row r="10025" spans="1:4">
      <c r="A10025" t="s">
        <v>6</v>
      </c>
      <c r="B10025">
        <v>32</v>
      </c>
      <c r="C10025" t="str">
        <f>CHOOSE(MATCH(B10025, {20,25,30,35,40,45,50,55,60,65,70,75,80,85}, 1), "20-24", "25-29", "30-34", "35-39", "40-44", "45-49", "50-54", "55-59", "60-64", "65-69", "70-74", "75-79", "80-84", "85+")</f>
        <v>30-34</v>
      </c>
      <c r="D10025" t="s">
        <v>7</v>
      </c>
    </row>
    <row r="10026" spans="1:4">
      <c r="A10026" t="s">
        <v>6</v>
      </c>
      <c r="B10026">
        <v>87</v>
      </c>
      <c r="C10026" t="str">
        <f>CHOOSE(MATCH(B10026, {20,25,30,35,40,45,50,55,60,65,70,75,80,85}, 1), "20-24", "25-29", "30-34", "35-39", "40-44", "45-49", "50-54", "55-59", "60-64", "65-69", "70-74", "75-79", "80-84", "85+")</f>
        <v>85+</v>
      </c>
      <c r="D10026" t="s">
        <v>7</v>
      </c>
    </row>
    <row r="10027" spans="1:4">
      <c r="A10027" t="s">
        <v>6</v>
      </c>
      <c r="B10027">
        <v>27</v>
      </c>
      <c r="C10027" t="str">
        <f>CHOOSE(MATCH(B10027, {20,25,30,35,40,45,50,55,60,65,70,75,80,85}, 1), "20-24", "25-29", "30-34", "35-39", "40-44", "45-49", "50-54", "55-59", "60-64", "65-69", "70-74", "75-79", "80-84", "85+")</f>
        <v>25-29</v>
      </c>
      <c r="D10027" t="s">
        <v>8</v>
      </c>
    </row>
    <row r="10028" spans="1:4">
      <c r="A10028" t="s">
        <v>6</v>
      </c>
      <c r="B10028">
        <v>60</v>
      </c>
      <c r="C10028" t="str">
        <f>CHOOSE(MATCH(B10028, {20,25,30,35,40,45,50,55,60,65,70,75,80,85}, 1), "20-24", "25-29", "30-34", "35-39", "40-44", "45-49", "50-54", "55-59", "60-64", "65-69", "70-74", "75-79", "80-84", "85+")</f>
        <v>60-64</v>
      </c>
      <c r="D10028" t="s">
        <v>7</v>
      </c>
    </row>
    <row r="10029" spans="1:4">
      <c r="A10029" t="s">
        <v>6</v>
      </c>
      <c r="B10029">
        <v>29</v>
      </c>
      <c r="C10029" t="str">
        <f>CHOOSE(MATCH(B10029, {20,25,30,35,40,45,50,55,60,65,70,75,80,85}, 1), "20-24", "25-29", "30-34", "35-39", "40-44", "45-49", "50-54", "55-59", "60-64", "65-69", "70-74", "75-79", "80-84", "85+")</f>
        <v>25-29</v>
      </c>
      <c r="D10029" t="s">
        <v>7</v>
      </c>
    </row>
    <row r="10030" spans="1:4">
      <c r="A10030" t="s">
        <v>6</v>
      </c>
      <c r="B10030">
        <v>45</v>
      </c>
      <c r="C10030" t="str">
        <f>CHOOSE(MATCH(B10030, {20,25,30,35,40,45,50,55,60,65,70,75,80,85}, 1), "20-24", "25-29", "30-34", "35-39", "40-44", "45-49", "50-54", "55-59", "60-64", "65-69", "70-74", "75-79", "80-84", "85+")</f>
        <v>45-49</v>
      </c>
      <c r="D10030" t="s">
        <v>7</v>
      </c>
    </row>
    <row r="10031" spans="1:4">
      <c r="A10031" t="s">
        <v>6</v>
      </c>
      <c r="B10031">
        <v>43</v>
      </c>
      <c r="C10031" t="str">
        <f>CHOOSE(MATCH(B10031, {20,25,30,35,40,45,50,55,60,65,70,75,80,85}, 1), "20-24", "25-29", "30-34", "35-39", "40-44", "45-49", "50-54", "55-59", "60-64", "65-69", "70-74", "75-79", "80-84", "85+")</f>
        <v>40-44</v>
      </c>
      <c r="D10031" t="s">
        <v>7</v>
      </c>
    </row>
    <row r="10032" spans="1:4">
      <c r="A10032" t="s">
        <v>6</v>
      </c>
      <c r="B10032">
        <v>64</v>
      </c>
      <c r="C10032" t="str">
        <f>CHOOSE(MATCH(B10032, {20,25,30,35,40,45,50,55,60,65,70,75,80,85}, 1), "20-24", "25-29", "30-34", "35-39", "40-44", "45-49", "50-54", "55-59", "60-64", "65-69", "70-74", "75-79", "80-84", "85+")</f>
        <v>60-64</v>
      </c>
      <c r="D10032" t="s">
        <v>8</v>
      </c>
    </row>
    <row r="10033" spans="1:4">
      <c r="A10033" t="s">
        <v>6</v>
      </c>
      <c r="B10033">
        <v>69</v>
      </c>
      <c r="C10033" t="str">
        <f>CHOOSE(MATCH(B10033, {20,25,30,35,40,45,50,55,60,65,70,75,80,85}, 1), "20-24", "25-29", "30-34", "35-39", "40-44", "45-49", "50-54", "55-59", "60-64", "65-69", "70-74", "75-79", "80-84", "85+")</f>
        <v>65-69</v>
      </c>
      <c r="D10033" t="s">
        <v>8</v>
      </c>
    </row>
    <row r="10034" spans="1:4">
      <c r="A10034" t="s">
        <v>6</v>
      </c>
      <c r="B10034">
        <v>31</v>
      </c>
      <c r="C10034" t="str">
        <f>CHOOSE(MATCH(B10034, {20,25,30,35,40,45,50,55,60,65,70,75,80,85}, 1), "20-24", "25-29", "30-34", "35-39", "40-44", "45-49", "50-54", "55-59", "60-64", "65-69", "70-74", "75-79", "80-84", "85+")</f>
        <v>30-34</v>
      </c>
      <c r="D10034" t="s">
        <v>7</v>
      </c>
    </row>
    <row r="10035" spans="1:4">
      <c r="A10035" t="s">
        <v>6</v>
      </c>
      <c r="B10035">
        <v>42</v>
      </c>
      <c r="C10035" t="str">
        <f>CHOOSE(MATCH(B10035, {20,25,30,35,40,45,50,55,60,65,70,75,80,85}, 1), "20-24", "25-29", "30-34", "35-39", "40-44", "45-49", "50-54", "55-59", "60-64", "65-69", "70-74", "75-79", "80-84", "85+")</f>
        <v>40-44</v>
      </c>
      <c r="D10035" t="s">
        <v>7</v>
      </c>
    </row>
    <row r="10036" spans="1:4">
      <c r="A10036" t="s">
        <v>6</v>
      </c>
      <c r="B10036">
        <v>54</v>
      </c>
      <c r="C10036" t="str">
        <f>CHOOSE(MATCH(B10036, {20,25,30,35,40,45,50,55,60,65,70,75,80,85}, 1), "20-24", "25-29", "30-34", "35-39", "40-44", "45-49", "50-54", "55-59", "60-64", "65-69", "70-74", "75-79", "80-84", "85+")</f>
        <v>50-54</v>
      </c>
      <c r="D10036" t="s">
        <v>8</v>
      </c>
    </row>
    <row r="10037" spans="1:4">
      <c r="A10037" t="s">
        <v>6</v>
      </c>
      <c r="B10037">
        <v>36</v>
      </c>
      <c r="C10037" t="str">
        <f>CHOOSE(MATCH(B10037, {20,25,30,35,40,45,50,55,60,65,70,75,80,85}, 1), "20-24", "25-29", "30-34", "35-39", "40-44", "45-49", "50-54", "55-59", "60-64", "65-69", "70-74", "75-79", "80-84", "85+")</f>
        <v>35-39</v>
      </c>
      <c r="D10037" t="s">
        <v>7</v>
      </c>
    </row>
    <row r="10038" spans="1:4">
      <c r="A10038" t="s">
        <v>6</v>
      </c>
      <c r="B10038">
        <v>39</v>
      </c>
      <c r="C10038" t="str">
        <f>CHOOSE(MATCH(B10038, {20,25,30,35,40,45,50,55,60,65,70,75,80,85}, 1), "20-24", "25-29", "30-34", "35-39", "40-44", "45-49", "50-54", "55-59", "60-64", "65-69", "70-74", "75-79", "80-84", "85+")</f>
        <v>35-39</v>
      </c>
      <c r="D10038" t="s">
        <v>7</v>
      </c>
    </row>
    <row r="10039" spans="1:4">
      <c r="A10039" t="s">
        <v>6</v>
      </c>
      <c r="B10039">
        <v>40</v>
      </c>
      <c r="C10039" t="str">
        <f>CHOOSE(MATCH(B10039, {20,25,30,35,40,45,50,55,60,65,70,75,80,85}, 1), "20-24", "25-29", "30-34", "35-39", "40-44", "45-49", "50-54", "55-59", "60-64", "65-69", "70-74", "75-79", "80-84", "85+")</f>
        <v>40-44</v>
      </c>
      <c r="D10039" t="s">
        <v>8</v>
      </c>
    </row>
    <row r="10040" spans="1:4">
      <c r="A10040" t="s">
        <v>6</v>
      </c>
      <c r="B10040">
        <v>33</v>
      </c>
      <c r="C10040" t="str">
        <f>CHOOSE(MATCH(B10040, {20,25,30,35,40,45,50,55,60,65,70,75,80,85}, 1), "20-24", "25-29", "30-34", "35-39", "40-44", "45-49", "50-54", "55-59", "60-64", "65-69", "70-74", "75-79", "80-84", "85+")</f>
        <v>30-34</v>
      </c>
      <c r="D10040" t="s">
        <v>7</v>
      </c>
    </row>
    <row r="10041" spans="1:4">
      <c r="A10041" t="s">
        <v>6</v>
      </c>
      <c r="B10041">
        <v>26</v>
      </c>
      <c r="C10041" t="str">
        <f>CHOOSE(MATCH(B10041, {20,25,30,35,40,45,50,55,60,65,70,75,80,85}, 1), "20-24", "25-29", "30-34", "35-39", "40-44", "45-49", "50-54", "55-59", "60-64", "65-69", "70-74", "75-79", "80-84", "85+")</f>
        <v>25-29</v>
      </c>
      <c r="D10041" t="s">
        <v>8</v>
      </c>
    </row>
    <row r="10042" spans="1:4">
      <c r="A10042" t="s">
        <v>6</v>
      </c>
      <c r="B10042">
        <v>25</v>
      </c>
      <c r="C10042" t="str">
        <f>CHOOSE(MATCH(B10042, {20,25,30,35,40,45,50,55,60,65,70,75,80,85}, 1), "20-24", "25-29", "30-34", "35-39", "40-44", "45-49", "50-54", "55-59", "60-64", "65-69", "70-74", "75-79", "80-84", "85+")</f>
        <v>25-29</v>
      </c>
      <c r="D10042" t="s">
        <v>7</v>
      </c>
    </row>
    <row r="10043" spans="1:4">
      <c r="A10043" t="s">
        <v>6</v>
      </c>
      <c r="B10043">
        <v>34</v>
      </c>
      <c r="C10043" t="str">
        <f>CHOOSE(MATCH(B10043, {20,25,30,35,40,45,50,55,60,65,70,75,80,85}, 1), "20-24", "25-29", "30-34", "35-39", "40-44", "45-49", "50-54", "55-59", "60-64", "65-69", "70-74", "75-79", "80-84", "85+")</f>
        <v>30-34</v>
      </c>
      <c r="D10043" t="s">
        <v>7</v>
      </c>
    </row>
    <row r="10044" spans="1:4">
      <c r="A10044" t="s">
        <v>6</v>
      </c>
      <c r="B10044">
        <v>60</v>
      </c>
      <c r="C10044" t="str">
        <f>CHOOSE(MATCH(B10044, {20,25,30,35,40,45,50,55,60,65,70,75,80,85}, 1), "20-24", "25-29", "30-34", "35-39", "40-44", "45-49", "50-54", "55-59", "60-64", "65-69", "70-74", "75-79", "80-84", "85+")</f>
        <v>60-64</v>
      </c>
      <c r="D10044" t="s">
        <v>7</v>
      </c>
    </row>
    <row r="10045" spans="1:4">
      <c r="A10045" t="s">
        <v>6</v>
      </c>
      <c r="B10045">
        <v>41</v>
      </c>
      <c r="C10045" t="str">
        <f>CHOOSE(MATCH(B10045, {20,25,30,35,40,45,50,55,60,65,70,75,80,85}, 1), "20-24", "25-29", "30-34", "35-39", "40-44", "45-49", "50-54", "55-59", "60-64", "65-69", "70-74", "75-79", "80-84", "85+")</f>
        <v>40-44</v>
      </c>
      <c r="D10045" t="s">
        <v>7</v>
      </c>
    </row>
    <row r="10046" spans="1:4">
      <c r="A10046" t="s">
        <v>6</v>
      </c>
      <c r="B10046">
        <v>53</v>
      </c>
      <c r="C10046" t="str">
        <f>CHOOSE(MATCH(B10046, {20,25,30,35,40,45,50,55,60,65,70,75,80,85}, 1), "20-24", "25-29", "30-34", "35-39", "40-44", "45-49", "50-54", "55-59", "60-64", "65-69", "70-74", "75-79", "80-84", "85+")</f>
        <v>50-54</v>
      </c>
      <c r="D10046" t="s">
        <v>8</v>
      </c>
    </row>
    <row r="10047" spans="1:4">
      <c r="A10047" t="s">
        <v>6</v>
      </c>
      <c r="B10047">
        <v>33</v>
      </c>
      <c r="C10047" t="str">
        <f>CHOOSE(MATCH(B10047, {20,25,30,35,40,45,50,55,60,65,70,75,80,85}, 1), "20-24", "25-29", "30-34", "35-39", "40-44", "45-49", "50-54", "55-59", "60-64", "65-69", "70-74", "75-79", "80-84", "85+")</f>
        <v>30-34</v>
      </c>
      <c r="D10047" t="s">
        <v>8</v>
      </c>
    </row>
    <row r="10048" spans="1:4">
      <c r="A10048" t="s">
        <v>6</v>
      </c>
      <c r="B10048">
        <v>48</v>
      </c>
      <c r="C10048" t="str">
        <f>CHOOSE(MATCH(B10048, {20,25,30,35,40,45,50,55,60,65,70,75,80,85}, 1), "20-24", "25-29", "30-34", "35-39", "40-44", "45-49", "50-54", "55-59", "60-64", "65-69", "70-74", "75-79", "80-84", "85+")</f>
        <v>45-49</v>
      </c>
      <c r="D10048" t="s">
        <v>7</v>
      </c>
    </row>
    <row r="10049" spans="1:4">
      <c r="A10049" t="s">
        <v>6</v>
      </c>
      <c r="B10049">
        <v>26</v>
      </c>
      <c r="C10049" t="str">
        <f>CHOOSE(MATCH(B10049, {20,25,30,35,40,45,50,55,60,65,70,75,80,85}, 1), "20-24", "25-29", "30-34", "35-39", "40-44", "45-49", "50-54", "55-59", "60-64", "65-69", "70-74", "75-79", "80-84", "85+")</f>
        <v>25-29</v>
      </c>
      <c r="D10049" t="s">
        <v>8</v>
      </c>
    </row>
    <row r="10050" spans="1:4">
      <c r="A10050" t="s">
        <v>6</v>
      </c>
      <c r="B10050">
        <v>36</v>
      </c>
      <c r="C10050" t="str">
        <f>CHOOSE(MATCH(B10050, {20,25,30,35,40,45,50,55,60,65,70,75,80,85}, 1), "20-24", "25-29", "30-34", "35-39", "40-44", "45-49", "50-54", "55-59", "60-64", "65-69", "70-74", "75-79", "80-84", "85+")</f>
        <v>35-39</v>
      </c>
      <c r="D10050" t="s">
        <v>7</v>
      </c>
    </row>
    <row r="10051" spans="1:4">
      <c r="A10051" t="s">
        <v>6</v>
      </c>
      <c r="B10051">
        <v>51</v>
      </c>
      <c r="C10051" t="str">
        <f>CHOOSE(MATCH(B10051, {20,25,30,35,40,45,50,55,60,65,70,75,80,85}, 1), "20-24", "25-29", "30-34", "35-39", "40-44", "45-49", "50-54", "55-59", "60-64", "65-69", "70-74", "75-79", "80-84", "85+")</f>
        <v>50-54</v>
      </c>
      <c r="D10051" t="s">
        <v>8</v>
      </c>
    </row>
    <row r="10052" spans="1:4">
      <c r="A10052" t="s">
        <v>6</v>
      </c>
      <c r="B10052">
        <v>32</v>
      </c>
      <c r="C10052" t="str">
        <f>CHOOSE(MATCH(B10052, {20,25,30,35,40,45,50,55,60,65,70,75,80,85}, 1), "20-24", "25-29", "30-34", "35-39", "40-44", "45-49", "50-54", "55-59", "60-64", "65-69", "70-74", "75-79", "80-84", "85+")</f>
        <v>30-34</v>
      </c>
      <c r="D10052" t="s">
        <v>8</v>
      </c>
    </row>
    <row r="10053" spans="1:4">
      <c r="A10053" t="s">
        <v>6</v>
      </c>
      <c r="B10053">
        <v>24</v>
      </c>
      <c r="C10053" t="str">
        <f>CHOOSE(MATCH(B10053, {20,25,30,35,40,45,50,55,60,65,70,75,80,85}, 1), "20-24", "25-29", "30-34", "35-39", "40-44", "45-49", "50-54", "55-59", "60-64", "65-69", "70-74", "75-79", "80-84", "85+")</f>
        <v>20-24</v>
      </c>
      <c r="D10053" t="s">
        <v>7</v>
      </c>
    </row>
    <row r="10054" spans="1:4">
      <c r="A10054" t="s">
        <v>6</v>
      </c>
      <c r="B10054">
        <v>32</v>
      </c>
      <c r="C10054" t="str">
        <f>CHOOSE(MATCH(B10054, {20,25,30,35,40,45,50,55,60,65,70,75,80,85}, 1), "20-24", "25-29", "30-34", "35-39", "40-44", "45-49", "50-54", "55-59", "60-64", "65-69", "70-74", "75-79", "80-84", "85+")</f>
        <v>30-34</v>
      </c>
      <c r="D10054" t="s">
        <v>7</v>
      </c>
    </row>
    <row r="10055" spans="1:4">
      <c r="A10055" t="s">
        <v>6</v>
      </c>
      <c r="B10055">
        <v>23</v>
      </c>
      <c r="C10055" t="str">
        <f>CHOOSE(MATCH(B10055, {20,25,30,35,40,45,50,55,60,65,70,75,80,85}, 1), "20-24", "25-29", "30-34", "35-39", "40-44", "45-49", "50-54", "55-59", "60-64", "65-69", "70-74", "75-79", "80-84", "85+")</f>
        <v>20-24</v>
      </c>
      <c r="D10055" t="s">
        <v>8</v>
      </c>
    </row>
    <row r="10056" spans="1:4">
      <c r="A10056" t="s">
        <v>6</v>
      </c>
      <c r="B10056">
        <v>30</v>
      </c>
      <c r="C10056" t="str">
        <f>CHOOSE(MATCH(B10056, {20,25,30,35,40,45,50,55,60,65,70,75,80,85}, 1), "20-24", "25-29", "30-34", "35-39", "40-44", "45-49", "50-54", "55-59", "60-64", "65-69", "70-74", "75-79", "80-84", "85+")</f>
        <v>30-34</v>
      </c>
      <c r="D10056" t="s">
        <v>7</v>
      </c>
    </row>
    <row r="10057" spans="1:4">
      <c r="A10057" t="s">
        <v>6</v>
      </c>
      <c r="B10057">
        <v>46</v>
      </c>
      <c r="C10057" t="str">
        <f>CHOOSE(MATCH(B10057, {20,25,30,35,40,45,50,55,60,65,70,75,80,85}, 1), "20-24", "25-29", "30-34", "35-39", "40-44", "45-49", "50-54", "55-59", "60-64", "65-69", "70-74", "75-79", "80-84", "85+")</f>
        <v>45-49</v>
      </c>
      <c r="D10057" t="s">
        <v>7</v>
      </c>
    </row>
    <row r="10058" spans="1:4">
      <c r="A10058" t="s">
        <v>6</v>
      </c>
      <c r="B10058">
        <v>59</v>
      </c>
      <c r="C10058" t="str">
        <f>CHOOSE(MATCH(B10058, {20,25,30,35,40,45,50,55,60,65,70,75,80,85}, 1), "20-24", "25-29", "30-34", "35-39", "40-44", "45-49", "50-54", "55-59", "60-64", "65-69", "70-74", "75-79", "80-84", "85+")</f>
        <v>55-59</v>
      </c>
      <c r="D10058" t="s">
        <v>8</v>
      </c>
    </row>
    <row r="10059" spans="1:4">
      <c r="A10059" t="s">
        <v>6</v>
      </c>
      <c r="B10059">
        <v>34</v>
      </c>
      <c r="C10059" t="str">
        <f>CHOOSE(MATCH(B10059, {20,25,30,35,40,45,50,55,60,65,70,75,80,85}, 1), "20-24", "25-29", "30-34", "35-39", "40-44", "45-49", "50-54", "55-59", "60-64", "65-69", "70-74", "75-79", "80-84", "85+")</f>
        <v>30-34</v>
      </c>
      <c r="D10059" t="s">
        <v>7</v>
      </c>
    </row>
    <row r="10060" spans="1:4">
      <c r="A10060" t="s">
        <v>6</v>
      </c>
      <c r="B10060">
        <v>37</v>
      </c>
      <c r="C10060" t="str">
        <f>CHOOSE(MATCH(B10060, {20,25,30,35,40,45,50,55,60,65,70,75,80,85}, 1), "20-24", "25-29", "30-34", "35-39", "40-44", "45-49", "50-54", "55-59", "60-64", "65-69", "70-74", "75-79", "80-84", "85+")</f>
        <v>35-39</v>
      </c>
      <c r="D10060" t="s">
        <v>7</v>
      </c>
    </row>
    <row r="10061" spans="1:4">
      <c r="A10061" t="s">
        <v>6</v>
      </c>
      <c r="B10061">
        <v>24</v>
      </c>
      <c r="C10061" t="str">
        <f>CHOOSE(MATCH(B10061, {20,25,30,35,40,45,50,55,60,65,70,75,80,85}, 1), "20-24", "25-29", "30-34", "35-39", "40-44", "45-49", "50-54", "55-59", "60-64", "65-69", "70-74", "75-79", "80-84", "85+")</f>
        <v>20-24</v>
      </c>
      <c r="D10061" t="s">
        <v>8</v>
      </c>
    </row>
    <row r="10062" spans="1:4">
      <c r="A10062" t="s">
        <v>6</v>
      </c>
      <c r="B10062">
        <v>24</v>
      </c>
      <c r="C10062" t="str">
        <f>CHOOSE(MATCH(B10062, {20,25,30,35,40,45,50,55,60,65,70,75,80,85}, 1), "20-24", "25-29", "30-34", "35-39", "40-44", "45-49", "50-54", "55-59", "60-64", "65-69", "70-74", "75-79", "80-84", "85+")</f>
        <v>20-24</v>
      </c>
      <c r="D10062" t="s">
        <v>7</v>
      </c>
    </row>
    <row r="10063" spans="1:4">
      <c r="A10063" t="s">
        <v>6</v>
      </c>
      <c r="B10063">
        <v>34</v>
      </c>
      <c r="C10063" t="str">
        <f>CHOOSE(MATCH(B10063, {20,25,30,35,40,45,50,55,60,65,70,75,80,85}, 1), "20-24", "25-29", "30-34", "35-39", "40-44", "45-49", "50-54", "55-59", "60-64", "65-69", "70-74", "75-79", "80-84", "85+")</f>
        <v>30-34</v>
      </c>
      <c r="D10063" t="s">
        <v>7</v>
      </c>
    </row>
    <row r="10064" spans="1:4">
      <c r="A10064" t="s">
        <v>6</v>
      </c>
      <c r="B10064">
        <v>82</v>
      </c>
      <c r="C10064" t="str">
        <f>CHOOSE(MATCH(B10064, {20,25,30,35,40,45,50,55,60,65,70,75,80,85}, 1), "20-24", "25-29", "30-34", "35-39", "40-44", "45-49", "50-54", "55-59", "60-64", "65-69", "70-74", "75-79", "80-84", "85+")</f>
        <v>80-84</v>
      </c>
      <c r="D10064" t="s">
        <v>7</v>
      </c>
    </row>
    <row r="10065" spans="1:4">
      <c r="A10065" t="s">
        <v>6</v>
      </c>
      <c r="B10065">
        <v>52</v>
      </c>
      <c r="C10065" t="str">
        <f>CHOOSE(MATCH(B10065, {20,25,30,35,40,45,50,55,60,65,70,75,80,85}, 1), "20-24", "25-29", "30-34", "35-39", "40-44", "45-49", "50-54", "55-59", "60-64", "65-69", "70-74", "75-79", "80-84", "85+")</f>
        <v>50-54</v>
      </c>
      <c r="D10065" t="s">
        <v>7</v>
      </c>
    </row>
    <row r="10066" spans="1:4">
      <c r="A10066" t="s">
        <v>6</v>
      </c>
      <c r="B10066">
        <v>26</v>
      </c>
      <c r="C10066" t="str">
        <f>CHOOSE(MATCH(B10066, {20,25,30,35,40,45,50,55,60,65,70,75,80,85}, 1), "20-24", "25-29", "30-34", "35-39", "40-44", "45-49", "50-54", "55-59", "60-64", "65-69", "70-74", "75-79", "80-84", "85+")</f>
        <v>25-29</v>
      </c>
      <c r="D10066" t="s">
        <v>7</v>
      </c>
    </row>
    <row r="10067" spans="1:4">
      <c r="A10067" t="s">
        <v>6</v>
      </c>
      <c r="B10067">
        <v>65</v>
      </c>
      <c r="C10067" t="str">
        <f>CHOOSE(MATCH(B10067, {20,25,30,35,40,45,50,55,60,65,70,75,80,85}, 1), "20-24", "25-29", "30-34", "35-39", "40-44", "45-49", "50-54", "55-59", "60-64", "65-69", "70-74", "75-79", "80-84", "85+")</f>
        <v>65-69</v>
      </c>
      <c r="D10067" t="s">
        <v>7</v>
      </c>
    </row>
    <row r="10068" spans="1:4">
      <c r="A10068" t="s">
        <v>6</v>
      </c>
      <c r="B10068">
        <v>27</v>
      </c>
      <c r="C10068" t="str">
        <f>CHOOSE(MATCH(B10068, {20,25,30,35,40,45,50,55,60,65,70,75,80,85}, 1), "20-24", "25-29", "30-34", "35-39", "40-44", "45-49", "50-54", "55-59", "60-64", "65-69", "70-74", "75-79", "80-84", "85+")</f>
        <v>25-29</v>
      </c>
      <c r="D10068" t="s">
        <v>7</v>
      </c>
    </row>
    <row r="10069" spans="1:4">
      <c r="A10069" t="s">
        <v>6</v>
      </c>
      <c r="B10069">
        <v>57</v>
      </c>
      <c r="C10069" t="str">
        <f>CHOOSE(MATCH(B10069, {20,25,30,35,40,45,50,55,60,65,70,75,80,85}, 1), "20-24", "25-29", "30-34", "35-39", "40-44", "45-49", "50-54", "55-59", "60-64", "65-69", "70-74", "75-79", "80-84", "85+")</f>
        <v>55-59</v>
      </c>
      <c r="D10069" t="s">
        <v>8</v>
      </c>
    </row>
    <row r="10070" spans="1:4">
      <c r="A10070" t="s">
        <v>6</v>
      </c>
      <c r="B10070">
        <v>36</v>
      </c>
      <c r="C10070" t="str">
        <f>CHOOSE(MATCH(B10070, {20,25,30,35,40,45,50,55,60,65,70,75,80,85}, 1), "20-24", "25-29", "30-34", "35-39", "40-44", "45-49", "50-54", "55-59", "60-64", "65-69", "70-74", "75-79", "80-84", "85+")</f>
        <v>35-39</v>
      </c>
      <c r="D10070" t="s">
        <v>7</v>
      </c>
    </row>
    <row r="10071" spans="1:4">
      <c r="A10071" t="s">
        <v>6</v>
      </c>
      <c r="B10071">
        <v>45</v>
      </c>
      <c r="C10071" t="str">
        <f>CHOOSE(MATCH(B10071, {20,25,30,35,40,45,50,55,60,65,70,75,80,85}, 1), "20-24", "25-29", "30-34", "35-39", "40-44", "45-49", "50-54", "55-59", "60-64", "65-69", "70-74", "75-79", "80-84", "85+")</f>
        <v>45-49</v>
      </c>
      <c r="D10071" t="s">
        <v>7</v>
      </c>
    </row>
    <row r="10072" spans="1:4">
      <c r="A10072" t="s">
        <v>6</v>
      </c>
      <c r="B10072">
        <v>53</v>
      </c>
      <c r="C10072" t="str">
        <f>CHOOSE(MATCH(B10072, {20,25,30,35,40,45,50,55,60,65,70,75,80,85}, 1), "20-24", "25-29", "30-34", "35-39", "40-44", "45-49", "50-54", "55-59", "60-64", "65-69", "70-74", "75-79", "80-84", "85+")</f>
        <v>50-54</v>
      </c>
      <c r="D10072" t="s">
        <v>7</v>
      </c>
    </row>
    <row r="10073" spans="1:4">
      <c r="A10073" t="s">
        <v>6</v>
      </c>
      <c r="B10073">
        <v>33</v>
      </c>
      <c r="C10073" t="str">
        <f>CHOOSE(MATCH(B10073, {20,25,30,35,40,45,50,55,60,65,70,75,80,85}, 1), "20-24", "25-29", "30-34", "35-39", "40-44", "45-49", "50-54", "55-59", "60-64", "65-69", "70-74", "75-79", "80-84", "85+")</f>
        <v>30-34</v>
      </c>
      <c r="D10073" t="s">
        <v>7</v>
      </c>
    </row>
    <row r="10074" spans="1:4">
      <c r="A10074" t="s">
        <v>6</v>
      </c>
      <c r="B10074">
        <v>29</v>
      </c>
      <c r="C10074" t="str">
        <f>CHOOSE(MATCH(B10074, {20,25,30,35,40,45,50,55,60,65,70,75,80,85}, 1), "20-24", "25-29", "30-34", "35-39", "40-44", "45-49", "50-54", "55-59", "60-64", "65-69", "70-74", "75-79", "80-84", "85+")</f>
        <v>25-29</v>
      </c>
      <c r="D10074" t="s">
        <v>7</v>
      </c>
    </row>
    <row r="10075" spans="1:4">
      <c r="A10075" t="s">
        <v>6</v>
      </c>
      <c r="B10075">
        <v>28</v>
      </c>
      <c r="C10075" t="str">
        <f>CHOOSE(MATCH(B10075, {20,25,30,35,40,45,50,55,60,65,70,75,80,85}, 1), "20-24", "25-29", "30-34", "35-39", "40-44", "45-49", "50-54", "55-59", "60-64", "65-69", "70-74", "75-79", "80-84", "85+")</f>
        <v>25-29</v>
      </c>
      <c r="D10075" t="s">
        <v>7</v>
      </c>
    </row>
    <row r="10076" spans="1:4">
      <c r="A10076" t="s">
        <v>6</v>
      </c>
      <c r="B10076">
        <v>47</v>
      </c>
      <c r="C10076" t="str">
        <f>CHOOSE(MATCH(B10076, {20,25,30,35,40,45,50,55,60,65,70,75,80,85}, 1), "20-24", "25-29", "30-34", "35-39", "40-44", "45-49", "50-54", "55-59", "60-64", "65-69", "70-74", "75-79", "80-84", "85+")</f>
        <v>45-49</v>
      </c>
      <c r="D10076" t="s">
        <v>8</v>
      </c>
    </row>
    <row r="10077" spans="1:4">
      <c r="A10077" t="s">
        <v>6</v>
      </c>
      <c r="B10077">
        <v>44</v>
      </c>
      <c r="C10077" t="str">
        <f>CHOOSE(MATCH(B10077, {20,25,30,35,40,45,50,55,60,65,70,75,80,85}, 1), "20-24", "25-29", "30-34", "35-39", "40-44", "45-49", "50-54", "55-59", "60-64", "65-69", "70-74", "75-79", "80-84", "85+")</f>
        <v>40-44</v>
      </c>
      <c r="D10077" t="s">
        <v>8</v>
      </c>
    </row>
    <row r="10078" spans="1:4">
      <c r="A10078" t="s">
        <v>6</v>
      </c>
      <c r="B10078">
        <v>40</v>
      </c>
      <c r="C10078" t="str">
        <f>CHOOSE(MATCH(B10078, {20,25,30,35,40,45,50,55,60,65,70,75,80,85}, 1), "20-24", "25-29", "30-34", "35-39", "40-44", "45-49", "50-54", "55-59", "60-64", "65-69", "70-74", "75-79", "80-84", "85+")</f>
        <v>40-44</v>
      </c>
      <c r="D10078" t="s">
        <v>8</v>
      </c>
    </row>
    <row r="10079" spans="1:4">
      <c r="A10079" t="s">
        <v>6</v>
      </c>
      <c r="B10079">
        <v>46</v>
      </c>
      <c r="C10079" t="str">
        <f>CHOOSE(MATCH(B10079, {20,25,30,35,40,45,50,55,60,65,70,75,80,85}, 1), "20-24", "25-29", "30-34", "35-39", "40-44", "45-49", "50-54", "55-59", "60-64", "65-69", "70-74", "75-79", "80-84", "85+")</f>
        <v>45-49</v>
      </c>
      <c r="D10079" t="s">
        <v>8</v>
      </c>
    </row>
    <row r="10080" spans="1:4">
      <c r="A10080" t="s">
        <v>6</v>
      </c>
      <c r="B10080">
        <v>30</v>
      </c>
      <c r="C10080" t="str">
        <f>CHOOSE(MATCH(B10080, {20,25,30,35,40,45,50,55,60,65,70,75,80,85}, 1), "20-24", "25-29", "30-34", "35-39", "40-44", "45-49", "50-54", "55-59", "60-64", "65-69", "70-74", "75-79", "80-84", "85+")</f>
        <v>30-34</v>
      </c>
      <c r="D10080" t="s">
        <v>7</v>
      </c>
    </row>
    <row r="10081" spans="1:4">
      <c r="A10081" t="s">
        <v>6</v>
      </c>
      <c r="B10081">
        <v>37</v>
      </c>
      <c r="C10081" t="str">
        <f>CHOOSE(MATCH(B10081, {20,25,30,35,40,45,50,55,60,65,70,75,80,85}, 1), "20-24", "25-29", "30-34", "35-39", "40-44", "45-49", "50-54", "55-59", "60-64", "65-69", "70-74", "75-79", "80-84", "85+")</f>
        <v>35-39</v>
      </c>
      <c r="D10081" t="s">
        <v>7</v>
      </c>
    </row>
    <row r="10082" spans="1:4">
      <c r="A10082" t="s">
        <v>6</v>
      </c>
      <c r="B10082">
        <v>54</v>
      </c>
      <c r="C10082" t="str">
        <f>CHOOSE(MATCH(B10082, {20,25,30,35,40,45,50,55,60,65,70,75,80,85}, 1), "20-24", "25-29", "30-34", "35-39", "40-44", "45-49", "50-54", "55-59", "60-64", "65-69", "70-74", "75-79", "80-84", "85+")</f>
        <v>50-54</v>
      </c>
      <c r="D10082" t="s">
        <v>7</v>
      </c>
    </row>
    <row r="10083" spans="1:4">
      <c r="A10083" t="s">
        <v>6</v>
      </c>
      <c r="B10083">
        <v>32</v>
      </c>
      <c r="C10083" t="str">
        <f>CHOOSE(MATCH(B10083, {20,25,30,35,40,45,50,55,60,65,70,75,80,85}, 1), "20-24", "25-29", "30-34", "35-39", "40-44", "45-49", "50-54", "55-59", "60-64", "65-69", "70-74", "75-79", "80-84", "85+")</f>
        <v>30-34</v>
      </c>
      <c r="D10083" t="s">
        <v>7</v>
      </c>
    </row>
    <row r="10084" spans="1:4">
      <c r="A10084" t="s">
        <v>6</v>
      </c>
      <c r="B10084">
        <v>70</v>
      </c>
      <c r="C10084" t="str">
        <f>CHOOSE(MATCH(B10084, {20,25,30,35,40,45,50,55,60,65,70,75,80,85}, 1), "20-24", "25-29", "30-34", "35-39", "40-44", "45-49", "50-54", "55-59", "60-64", "65-69", "70-74", "75-79", "80-84", "85+")</f>
        <v>70-74</v>
      </c>
      <c r="D10084" t="s">
        <v>7</v>
      </c>
    </row>
    <row r="10085" spans="1:4">
      <c r="A10085" t="s">
        <v>6</v>
      </c>
      <c r="B10085">
        <v>30</v>
      </c>
      <c r="C10085" t="str">
        <f>CHOOSE(MATCH(B10085, {20,25,30,35,40,45,50,55,60,65,70,75,80,85}, 1), "20-24", "25-29", "30-34", "35-39", "40-44", "45-49", "50-54", "55-59", "60-64", "65-69", "70-74", "75-79", "80-84", "85+")</f>
        <v>30-34</v>
      </c>
      <c r="D10085" t="s">
        <v>7</v>
      </c>
    </row>
    <row r="10086" spans="1:4">
      <c r="A10086" t="s">
        <v>6</v>
      </c>
      <c r="B10086">
        <v>35</v>
      </c>
      <c r="C10086" t="str">
        <f>CHOOSE(MATCH(B10086, {20,25,30,35,40,45,50,55,60,65,70,75,80,85}, 1), "20-24", "25-29", "30-34", "35-39", "40-44", "45-49", "50-54", "55-59", "60-64", "65-69", "70-74", "75-79", "80-84", "85+")</f>
        <v>35-39</v>
      </c>
      <c r="D10086" t="s">
        <v>8</v>
      </c>
    </row>
    <row r="10087" spans="1:4">
      <c r="A10087" t="s">
        <v>6</v>
      </c>
      <c r="B10087">
        <v>66</v>
      </c>
      <c r="C10087" t="str">
        <f>CHOOSE(MATCH(B10087, {20,25,30,35,40,45,50,55,60,65,70,75,80,85}, 1), "20-24", "25-29", "30-34", "35-39", "40-44", "45-49", "50-54", "55-59", "60-64", "65-69", "70-74", "75-79", "80-84", "85+")</f>
        <v>65-69</v>
      </c>
      <c r="D10087" t="s">
        <v>8</v>
      </c>
    </row>
    <row r="10088" spans="1:4">
      <c r="A10088" t="s">
        <v>6</v>
      </c>
      <c r="B10088">
        <v>30</v>
      </c>
      <c r="C10088" t="str">
        <f>CHOOSE(MATCH(B10088, {20,25,30,35,40,45,50,55,60,65,70,75,80,85}, 1), "20-24", "25-29", "30-34", "35-39", "40-44", "45-49", "50-54", "55-59", "60-64", "65-69", "70-74", "75-79", "80-84", "85+")</f>
        <v>30-34</v>
      </c>
      <c r="D10088" t="s">
        <v>7</v>
      </c>
    </row>
    <row r="10089" spans="1:4">
      <c r="A10089" t="s">
        <v>6</v>
      </c>
      <c r="B10089">
        <v>27</v>
      </c>
      <c r="C10089" t="str">
        <f>CHOOSE(MATCH(B10089, {20,25,30,35,40,45,50,55,60,65,70,75,80,85}, 1), "20-24", "25-29", "30-34", "35-39", "40-44", "45-49", "50-54", "55-59", "60-64", "65-69", "70-74", "75-79", "80-84", "85+")</f>
        <v>25-29</v>
      </c>
      <c r="D10089" t="s">
        <v>7</v>
      </c>
    </row>
    <row r="10090" spans="1:4">
      <c r="A10090" t="s">
        <v>6</v>
      </c>
      <c r="B10090">
        <v>54</v>
      </c>
      <c r="C10090" t="str">
        <f>CHOOSE(MATCH(B10090, {20,25,30,35,40,45,50,55,60,65,70,75,80,85}, 1), "20-24", "25-29", "30-34", "35-39", "40-44", "45-49", "50-54", "55-59", "60-64", "65-69", "70-74", "75-79", "80-84", "85+")</f>
        <v>50-54</v>
      </c>
      <c r="D10090" t="s">
        <v>8</v>
      </c>
    </row>
    <row r="10091" spans="1:4">
      <c r="A10091" t="s">
        <v>6</v>
      </c>
      <c r="B10091">
        <v>36</v>
      </c>
      <c r="C10091" t="str">
        <f>CHOOSE(MATCH(B10091, {20,25,30,35,40,45,50,55,60,65,70,75,80,85}, 1), "20-24", "25-29", "30-34", "35-39", "40-44", "45-49", "50-54", "55-59", "60-64", "65-69", "70-74", "75-79", "80-84", "85+")</f>
        <v>35-39</v>
      </c>
      <c r="D10091" t="s">
        <v>7</v>
      </c>
    </row>
    <row r="10092" spans="1:4">
      <c r="A10092" t="s">
        <v>6</v>
      </c>
      <c r="B10092">
        <v>33</v>
      </c>
      <c r="C10092" t="str">
        <f>CHOOSE(MATCH(B10092, {20,25,30,35,40,45,50,55,60,65,70,75,80,85}, 1), "20-24", "25-29", "30-34", "35-39", "40-44", "45-49", "50-54", "55-59", "60-64", "65-69", "70-74", "75-79", "80-84", "85+")</f>
        <v>30-34</v>
      </c>
      <c r="D10092" t="s">
        <v>7</v>
      </c>
    </row>
    <row r="10093" spans="1:4">
      <c r="A10093" t="s">
        <v>6</v>
      </c>
      <c r="B10093">
        <v>58</v>
      </c>
      <c r="C10093" t="str">
        <f>CHOOSE(MATCH(B10093, {20,25,30,35,40,45,50,55,60,65,70,75,80,85}, 1), "20-24", "25-29", "30-34", "35-39", "40-44", "45-49", "50-54", "55-59", "60-64", "65-69", "70-74", "75-79", "80-84", "85+")</f>
        <v>55-59</v>
      </c>
      <c r="D10093" t="s">
        <v>8</v>
      </c>
    </row>
    <row r="10094" spans="1:4">
      <c r="A10094" t="s">
        <v>6</v>
      </c>
      <c r="B10094">
        <v>37</v>
      </c>
      <c r="C10094" t="str">
        <f>CHOOSE(MATCH(B10094, {20,25,30,35,40,45,50,55,60,65,70,75,80,85}, 1), "20-24", "25-29", "30-34", "35-39", "40-44", "45-49", "50-54", "55-59", "60-64", "65-69", "70-74", "75-79", "80-84", "85+")</f>
        <v>35-39</v>
      </c>
      <c r="D10094" t="s">
        <v>7</v>
      </c>
    </row>
    <row r="10095" spans="1:4">
      <c r="A10095" t="s">
        <v>6</v>
      </c>
      <c r="B10095">
        <v>29</v>
      </c>
      <c r="C10095" t="str">
        <f>CHOOSE(MATCH(B10095, {20,25,30,35,40,45,50,55,60,65,70,75,80,85}, 1), "20-24", "25-29", "30-34", "35-39", "40-44", "45-49", "50-54", "55-59", "60-64", "65-69", "70-74", "75-79", "80-84", "85+")</f>
        <v>25-29</v>
      </c>
      <c r="D10095" t="s">
        <v>8</v>
      </c>
    </row>
    <row r="10096" spans="1:4">
      <c r="A10096" t="s">
        <v>6</v>
      </c>
      <c r="B10096">
        <v>53</v>
      </c>
      <c r="C10096" t="str">
        <f>CHOOSE(MATCH(B10096, {20,25,30,35,40,45,50,55,60,65,70,75,80,85}, 1), "20-24", "25-29", "30-34", "35-39", "40-44", "45-49", "50-54", "55-59", "60-64", "65-69", "70-74", "75-79", "80-84", "85+")</f>
        <v>50-54</v>
      </c>
      <c r="D10096" t="s">
        <v>7</v>
      </c>
    </row>
    <row r="10097" spans="1:4">
      <c r="A10097" t="s">
        <v>6</v>
      </c>
      <c r="B10097">
        <v>74</v>
      </c>
      <c r="C10097" t="str">
        <f>CHOOSE(MATCH(B10097, {20,25,30,35,40,45,50,55,60,65,70,75,80,85}, 1), "20-24", "25-29", "30-34", "35-39", "40-44", "45-49", "50-54", "55-59", "60-64", "65-69", "70-74", "75-79", "80-84", "85+")</f>
        <v>70-74</v>
      </c>
      <c r="D10097" t="s">
        <v>7</v>
      </c>
    </row>
    <row r="10098" spans="1:4">
      <c r="A10098" t="s">
        <v>6</v>
      </c>
      <c r="B10098">
        <v>32</v>
      </c>
      <c r="C10098" t="str">
        <f>CHOOSE(MATCH(B10098, {20,25,30,35,40,45,50,55,60,65,70,75,80,85}, 1), "20-24", "25-29", "30-34", "35-39", "40-44", "45-49", "50-54", "55-59", "60-64", "65-69", "70-74", "75-79", "80-84", "85+")</f>
        <v>30-34</v>
      </c>
      <c r="D10098" t="s">
        <v>8</v>
      </c>
    </row>
    <row r="10099" spans="1:4">
      <c r="A10099" t="s">
        <v>6</v>
      </c>
      <c r="B10099">
        <v>26</v>
      </c>
      <c r="C10099" t="str">
        <f>CHOOSE(MATCH(B10099, {20,25,30,35,40,45,50,55,60,65,70,75,80,85}, 1), "20-24", "25-29", "30-34", "35-39", "40-44", "45-49", "50-54", "55-59", "60-64", "65-69", "70-74", "75-79", "80-84", "85+")</f>
        <v>25-29</v>
      </c>
      <c r="D10099" t="s">
        <v>7</v>
      </c>
    </row>
    <row r="10100" spans="1:4">
      <c r="A10100" t="s">
        <v>6</v>
      </c>
      <c r="B10100">
        <v>60</v>
      </c>
      <c r="C10100" t="str">
        <f>CHOOSE(MATCH(B10100, {20,25,30,35,40,45,50,55,60,65,70,75,80,85}, 1), "20-24", "25-29", "30-34", "35-39", "40-44", "45-49", "50-54", "55-59", "60-64", "65-69", "70-74", "75-79", "80-84", "85+")</f>
        <v>60-64</v>
      </c>
      <c r="D10100" t="s">
        <v>8</v>
      </c>
    </row>
    <row r="10101" spans="1:4">
      <c r="A10101" t="s">
        <v>6</v>
      </c>
      <c r="B10101">
        <v>45</v>
      </c>
      <c r="C10101" t="str">
        <f>CHOOSE(MATCH(B10101, {20,25,30,35,40,45,50,55,60,65,70,75,80,85}, 1), "20-24", "25-29", "30-34", "35-39", "40-44", "45-49", "50-54", "55-59", "60-64", "65-69", "70-74", "75-79", "80-84", "85+")</f>
        <v>45-49</v>
      </c>
      <c r="D10101" t="s">
        <v>8</v>
      </c>
    </row>
    <row r="10102" spans="1:4">
      <c r="A10102" t="s">
        <v>6</v>
      </c>
      <c r="B10102">
        <v>60</v>
      </c>
      <c r="C10102" t="str">
        <f>CHOOSE(MATCH(B10102, {20,25,30,35,40,45,50,55,60,65,70,75,80,85}, 1), "20-24", "25-29", "30-34", "35-39", "40-44", "45-49", "50-54", "55-59", "60-64", "65-69", "70-74", "75-79", "80-84", "85+")</f>
        <v>60-64</v>
      </c>
      <c r="D10102" t="s">
        <v>7</v>
      </c>
    </row>
    <row r="10103" spans="1:4">
      <c r="A10103" t="s">
        <v>6</v>
      </c>
      <c r="B10103">
        <v>28</v>
      </c>
      <c r="C10103" t="str">
        <f>CHOOSE(MATCH(B10103, {20,25,30,35,40,45,50,55,60,65,70,75,80,85}, 1), "20-24", "25-29", "30-34", "35-39", "40-44", "45-49", "50-54", "55-59", "60-64", "65-69", "70-74", "75-79", "80-84", "85+")</f>
        <v>25-29</v>
      </c>
      <c r="D10103" t="s">
        <v>7</v>
      </c>
    </row>
    <row r="10104" spans="1:4">
      <c r="A10104" t="s">
        <v>6</v>
      </c>
      <c r="B10104">
        <v>35</v>
      </c>
      <c r="C10104" t="str">
        <f>CHOOSE(MATCH(B10104, {20,25,30,35,40,45,50,55,60,65,70,75,80,85}, 1), "20-24", "25-29", "30-34", "35-39", "40-44", "45-49", "50-54", "55-59", "60-64", "65-69", "70-74", "75-79", "80-84", "85+")</f>
        <v>35-39</v>
      </c>
      <c r="D10104" t="s">
        <v>7</v>
      </c>
    </row>
    <row r="10105" spans="1:4">
      <c r="A10105" t="s">
        <v>6</v>
      </c>
      <c r="B10105">
        <v>37</v>
      </c>
      <c r="C10105" t="str">
        <f>CHOOSE(MATCH(B10105, {20,25,30,35,40,45,50,55,60,65,70,75,80,85}, 1), "20-24", "25-29", "30-34", "35-39", "40-44", "45-49", "50-54", "55-59", "60-64", "65-69", "70-74", "75-79", "80-84", "85+")</f>
        <v>35-39</v>
      </c>
      <c r="D10105" t="s">
        <v>7</v>
      </c>
    </row>
    <row r="10106" spans="1:4">
      <c r="A10106" t="s">
        <v>6</v>
      </c>
      <c r="B10106">
        <v>43</v>
      </c>
      <c r="C10106" t="str">
        <f>CHOOSE(MATCH(B10106, {20,25,30,35,40,45,50,55,60,65,70,75,80,85}, 1), "20-24", "25-29", "30-34", "35-39", "40-44", "45-49", "50-54", "55-59", "60-64", "65-69", "70-74", "75-79", "80-84", "85+")</f>
        <v>40-44</v>
      </c>
      <c r="D10106" t="s">
        <v>8</v>
      </c>
    </row>
    <row r="10107" spans="1:4">
      <c r="A10107" t="s">
        <v>6</v>
      </c>
      <c r="B10107">
        <v>34</v>
      </c>
      <c r="C10107" t="str">
        <f>CHOOSE(MATCH(B10107, {20,25,30,35,40,45,50,55,60,65,70,75,80,85}, 1), "20-24", "25-29", "30-34", "35-39", "40-44", "45-49", "50-54", "55-59", "60-64", "65-69", "70-74", "75-79", "80-84", "85+")</f>
        <v>30-34</v>
      </c>
      <c r="D10107" t="s">
        <v>7</v>
      </c>
    </row>
    <row r="10108" spans="1:4">
      <c r="A10108" t="s">
        <v>6</v>
      </c>
      <c r="B10108">
        <v>40</v>
      </c>
      <c r="C10108" t="str">
        <f>CHOOSE(MATCH(B10108, {20,25,30,35,40,45,50,55,60,65,70,75,80,85}, 1), "20-24", "25-29", "30-34", "35-39", "40-44", "45-49", "50-54", "55-59", "60-64", "65-69", "70-74", "75-79", "80-84", "85+")</f>
        <v>40-44</v>
      </c>
      <c r="D10108" t="s">
        <v>8</v>
      </c>
    </row>
    <row r="10109" spans="1:4">
      <c r="A10109" t="s">
        <v>6</v>
      </c>
      <c r="B10109">
        <v>40</v>
      </c>
      <c r="C10109" t="str">
        <f>CHOOSE(MATCH(B10109, {20,25,30,35,40,45,50,55,60,65,70,75,80,85}, 1), "20-24", "25-29", "30-34", "35-39", "40-44", "45-49", "50-54", "55-59", "60-64", "65-69", "70-74", "75-79", "80-84", "85+")</f>
        <v>40-44</v>
      </c>
      <c r="D10109" t="s">
        <v>8</v>
      </c>
    </row>
    <row r="10110" spans="1:4">
      <c r="A10110" t="s">
        <v>6</v>
      </c>
      <c r="B10110">
        <v>53</v>
      </c>
      <c r="C10110" t="str">
        <f>CHOOSE(MATCH(B10110, {20,25,30,35,40,45,50,55,60,65,70,75,80,85}, 1), "20-24", "25-29", "30-34", "35-39", "40-44", "45-49", "50-54", "55-59", "60-64", "65-69", "70-74", "75-79", "80-84", "85+")</f>
        <v>50-54</v>
      </c>
      <c r="D10110" t="s">
        <v>8</v>
      </c>
    </row>
    <row r="10111" spans="1:4">
      <c r="A10111" t="s">
        <v>6</v>
      </c>
      <c r="B10111">
        <v>46</v>
      </c>
      <c r="C10111" t="str">
        <f>CHOOSE(MATCH(B10111, {20,25,30,35,40,45,50,55,60,65,70,75,80,85}, 1), "20-24", "25-29", "30-34", "35-39", "40-44", "45-49", "50-54", "55-59", "60-64", "65-69", "70-74", "75-79", "80-84", "85+")</f>
        <v>45-49</v>
      </c>
      <c r="D10111" t="s">
        <v>7</v>
      </c>
    </row>
    <row r="10112" spans="1:4">
      <c r="A10112" t="s">
        <v>6</v>
      </c>
      <c r="B10112">
        <v>27</v>
      </c>
      <c r="C10112" t="str">
        <f>CHOOSE(MATCH(B10112, {20,25,30,35,40,45,50,55,60,65,70,75,80,85}, 1), "20-24", "25-29", "30-34", "35-39", "40-44", "45-49", "50-54", "55-59", "60-64", "65-69", "70-74", "75-79", "80-84", "85+")</f>
        <v>25-29</v>
      </c>
      <c r="D10112" t="s">
        <v>7</v>
      </c>
    </row>
    <row r="10113" spans="1:4">
      <c r="A10113" t="s">
        <v>6</v>
      </c>
      <c r="B10113">
        <v>29</v>
      </c>
      <c r="C10113" t="str">
        <f>CHOOSE(MATCH(B10113, {20,25,30,35,40,45,50,55,60,65,70,75,80,85}, 1), "20-24", "25-29", "30-34", "35-39", "40-44", "45-49", "50-54", "55-59", "60-64", "65-69", "70-74", "75-79", "80-84", "85+")</f>
        <v>25-29</v>
      </c>
      <c r="D10113" t="s">
        <v>8</v>
      </c>
    </row>
    <row r="10114" spans="1:4">
      <c r="A10114" t="s">
        <v>6</v>
      </c>
      <c r="B10114">
        <v>48</v>
      </c>
      <c r="C10114" t="str">
        <f>CHOOSE(MATCH(B10114, {20,25,30,35,40,45,50,55,60,65,70,75,80,85}, 1), "20-24", "25-29", "30-34", "35-39", "40-44", "45-49", "50-54", "55-59", "60-64", "65-69", "70-74", "75-79", "80-84", "85+")</f>
        <v>45-49</v>
      </c>
      <c r="D10114" t="s">
        <v>7</v>
      </c>
    </row>
    <row r="10115" spans="1:4">
      <c r="A10115" t="s">
        <v>6</v>
      </c>
      <c r="B10115">
        <v>28</v>
      </c>
      <c r="C10115" t="str">
        <f>CHOOSE(MATCH(B10115, {20,25,30,35,40,45,50,55,60,65,70,75,80,85}, 1), "20-24", "25-29", "30-34", "35-39", "40-44", "45-49", "50-54", "55-59", "60-64", "65-69", "70-74", "75-79", "80-84", "85+")</f>
        <v>25-29</v>
      </c>
      <c r="D10115" t="s">
        <v>8</v>
      </c>
    </row>
    <row r="10116" spans="1:4">
      <c r="A10116" t="s">
        <v>6</v>
      </c>
      <c r="B10116">
        <v>31</v>
      </c>
      <c r="C10116" t="str">
        <f>CHOOSE(MATCH(B10116, {20,25,30,35,40,45,50,55,60,65,70,75,80,85}, 1), "20-24", "25-29", "30-34", "35-39", "40-44", "45-49", "50-54", "55-59", "60-64", "65-69", "70-74", "75-79", "80-84", "85+")</f>
        <v>30-34</v>
      </c>
      <c r="D10116" t="s">
        <v>8</v>
      </c>
    </row>
    <row r="10117" spans="1:4">
      <c r="A10117" t="s">
        <v>6</v>
      </c>
      <c r="B10117">
        <v>88</v>
      </c>
      <c r="C10117" t="str">
        <f>CHOOSE(MATCH(B10117, {20,25,30,35,40,45,50,55,60,65,70,75,80,85}, 1), "20-24", "25-29", "30-34", "35-39", "40-44", "45-49", "50-54", "55-59", "60-64", "65-69", "70-74", "75-79", "80-84", "85+")</f>
        <v>85+</v>
      </c>
      <c r="D10117" t="s">
        <v>8</v>
      </c>
    </row>
    <row r="10118" spans="1:4">
      <c r="A10118" t="s">
        <v>6</v>
      </c>
      <c r="B10118">
        <v>68</v>
      </c>
      <c r="C10118" t="str">
        <f>CHOOSE(MATCH(B10118, {20,25,30,35,40,45,50,55,60,65,70,75,80,85}, 1), "20-24", "25-29", "30-34", "35-39", "40-44", "45-49", "50-54", "55-59", "60-64", "65-69", "70-74", "75-79", "80-84", "85+")</f>
        <v>65-69</v>
      </c>
      <c r="D10118" t="s">
        <v>8</v>
      </c>
    </row>
    <row r="10119" spans="1:4">
      <c r="A10119" t="s">
        <v>6</v>
      </c>
      <c r="B10119">
        <v>44</v>
      </c>
      <c r="C10119" t="str">
        <f>CHOOSE(MATCH(B10119, {20,25,30,35,40,45,50,55,60,65,70,75,80,85}, 1), "20-24", "25-29", "30-34", "35-39", "40-44", "45-49", "50-54", "55-59", "60-64", "65-69", "70-74", "75-79", "80-84", "85+")</f>
        <v>40-44</v>
      </c>
      <c r="D10119" t="s">
        <v>8</v>
      </c>
    </row>
    <row r="10120" spans="1:4">
      <c r="A10120" t="s">
        <v>6</v>
      </c>
      <c r="B10120">
        <v>26</v>
      </c>
      <c r="C10120" t="str">
        <f>CHOOSE(MATCH(B10120, {20,25,30,35,40,45,50,55,60,65,70,75,80,85}, 1), "20-24", "25-29", "30-34", "35-39", "40-44", "45-49", "50-54", "55-59", "60-64", "65-69", "70-74", "75-79", "80-84", "85+")</f>
        <v>25-29</v>
      </c>
      <c r="D10120" t="s">
        <v>8</v>
      </c>
    </row>
    <row r="10121" spans="1:4">
      <c r="A10121" t="s">
        <v>6</v>
      </c>
      <c r="B10121">
        <v>54</v>
      </c>
      <c r="C10121" t="str">
        <f>CHOOSE(MATCH(B10121, {20,25,30,35,40,45,50,55,60,65,70,75,80,85}, 1), "20-24", "25-29", "30-34", "35-39", "40-44", "45-49", "50-54", "55-59", "60-64", "65-69", "70-74", "75-79", "80-84", "85+")</f>
        <v>50-54</v>
      </c>
      <c r="D10121" t="s">
        <v>7</v>
      </c>
    </row>
    <row r="10122" spans="1:4">
      <c r="A10122" t="s">
        <v>6</v>
      </c>
      <c r="B10122">
        <v>59</v>
      </c>
      <c r="C10122" t="str">
        <f>CHOOSE(MATCH(B10122, {20,25,30,35,40,45,50,55,60,65,70,75,80,85}, 1), "20-24", "25-29", "30-34", "35-39", "40-44", "45-49", "50-54", "55-59", "60-64", "65-69", "70-74", "75-79", "80-84", "85+")</f>
        <v>55-59</v>
      </c>
      <c r="D10122" t="s">
        <v>8</v>
      </c>
    </row>
    <row r="10123" spans="1:4">
      <c r="A10123" t="s">
        <v>6</v>
      </c>
      <c r="B10123">
        <v>47</v>
      </c>
      <c r="C10123" t="str">
        <f>CHOOSE(MATCH(B10123, {20,25,30,35,40,45,50,55,60,65,70,75,80,85}, 1), "20-24", "25-29", "30-34", "35-39", "40-44", "45-49", "50-54", "55-59", "60-64", "65-69", "70-74", "75-79", "80-84", "85+")</f>
        <v>45-49</v>
      </c>
      <c r="D10123" t="s">
        <v>8</v>
      </c>
    </row>
    <row r="10124" spans="1:4">
      <c r="A10124" t="s">
        <v>6</v>
      </c>
      <c r="B10124">
        <v>46</v>
      </c>
      <c r="C10124" t="str">
        <f>CHOOSE(MATCH(B10124, {20,25,30,35,40,45,50,55,60,65,70,75,80,85}, 1), "20-24", "25-29", "30-34", "35-39", "40-44", "45-49", "50-54", "55-59", "60-64", "65-69", "70-74", "75-79", "80-84", "85+")</f>
        <v>45-49</v>
      </c>
      <c r="D10124" t="s">
        <v>7</v>
      </c>
    </row>
    <row r="10125" spans="1:4">
      <c r="A10125" t="s">
        <v>6</v>
      </c>
      <c r="B10125">
        <v>66</v>
      </c>
      <c r="C10125" t="str">
        <f>CHOOSE(MATCH(B10125, {20,25,30,35,40,45,50,55,60,65,70,75,80,85}, 1), "20-24", "25-29", "30-34", "35-39", "40-44", "45-49", "50-54", "55-59", "60-64", "65-69", "70-74", "75-79", "80-84", "85+")</f>
        <v>65-69</v>
      </c>
      <c r="D10125" t="s">
        <v>7</v>
      </c>
    </row>
    <row r="10126" spans="1:4">
      <c r="A10126" t="s">
        <v>6</v>
      </c>
      <c r="B10126">
        <v>68</v>
      </c>
      <c r="C10126" t="str">
        <f>CHOOSE(MATCH(B10126, {20,25,30,35,40,45,50,55,60,65,70,75,80,85}, 1), "20-24", "25-29", "30-34", "35-39", "40-44", "45-49", "50-54", "55-59", "60-64", "65-69", "70-74", "75-79", "80-84", "85+")</f>
        <v>65-69</v>
      </c>
      <c r="D10126" t="s">
        <v>7</v>
      </c>
    </row>
    <row r="10127" spans="1:4">
      <c r="A10127" t="s">
        <v>6</v>
      </c>
      <c r="B10127">
        <v>71</v>
      </c>
      <c r="C10127" t="str">
        <f>CHOOSE(MATCH(B10127, {20,25,30,35,40,45,50,55,60,65,70,75,80,85}, 1), "20-24", "25-29", "30-34", "35-39", "40-44", "45-49", "50-54", "55-59", "60-64", "65-69", "70-74", "75-79", "80-84", "85+")</f>
        <v>70-74</v>
      </c>
      <c r="D10127" t="s">
        <v>8</v>
      </c>
    </row>
    <row r="10128" spans="1:4">
      <c r="A10128" t="s">
        <v>6</v>
      </c>
      <c r="B10128">
        <v>33</v>
      </c>
      <c r="C10128" t="str">
        <f>CHOOSE(MATCH(B10128, {20,25,30,35,40,45,50,55,60,65,70,75,80,85}, 1), "20-24", "25-29", "30-34", "35-39", "40-44", "45-49", "50-54", "55-59", "60-64", "65-69", "70-74", "75-79", "80-84", "85+")</f>
        <v>30-34</v>
      </c>
      <c r="D10128" t="s">
        <v>7</v>
      </c>
    </row>
    <row r="10129" spans="1:4">
      <c r="A10129" t="s">
        <v>6</v>
      </c>
      <c r="B10129">
        <v>57</v>
      </c>
      <c r="C10129" t="str">
        <f>CHOOSE(MATCH(B10129, {20,25,30,35,40,45,50,55,60,65,70,75,80,85}, 1), "20-24", "25-29", "30-34", "35-39", "40-44", "45-49", "50-54", "55-59", "60-64", "65-69", "70-74", "75-79", "80-84", "85+")</f>
        <v>55-59</v>
      </c>
      <c r="D10129" t="s">
        <v>7</v>
      </c>
    </row>
    <row r="10130" spans="1:4">
      <c r="A10130" t="s">
        <v>6</v>
      </c>
      <c r="B10130">
        <v>32</v>
      </c>
      <c r="C10130" t="str">
        <f>CHOOSE(MATCH(B10130, {20,25,30,35,40,45,50,55,60,65,70,75,80,85}, 1), "20-24", "25-29", "30-34", "35-39", "40-44", "45-49", "50-54", "55-59", "60-64", "65-69", "70-74", "75-79", "80-84", "85+")</f>
        <v>30-34</v>
      </c>
      <c r="D10130" t="s">
        <v>8</v>
      </c>
    </row>
    <row r="10131" spans="1:4">
      <c r="A10131" t="s">
        <v>6</v>
      </c>
      <c r="B10131">
        <v>61</v>
      </c>
      <c r="C10131" t="str">
        <f>CHOOSE(MATCH(B10131, {20,25,30,35,40,45,50,55,60,65,70,75,80,85}, 1), "20-24", "25-29", "30-34", "35-39", "40-44", "45-49", "50-54", "55-59", "60-64", "65-69", "70-74", "75-79", "80-84", "85+")</f>
        <v>60-64</v>
      </c>
      <c r="D10131" t="s">
        <v>8</v>
      </c>
    </row>
    <row r="10132" spans="1:4">
      <c r="A10132" t="s">
        <v>6</v>
      </c>
      <c r="B10132">
        <v>33</v>
      </c>
      <c r="C10132" t="str">
        <f>CHOOSE(MATCH(B10132, {20,25,30,35,40,45,50,55,60,65,70,75,80,85}, 1), "20-24", "25-29", "30-34", "35-39", "40-44", "45-49", "50-54", "55-59", "60-64", "65-69", "70-74", "75-79", "80-84", "85+")</f>
        <v>30-34</v>
      </c>
      <c r="D10132" t="s">
        <v>7</v>
      </c>
    </row>
    <row r="10133" spans="1:4">
      <c r="A10133" t="s">
        <v>6</v>
      </c>
      <c r="B10133">
        <v>30</v>
      </c>
      <c r="C10133" t="str">
        <f>CHOOSE(MATCH(B10133, {20,25,30,35,40,45,50,55,60,65,70,75,80,85}, 1), "20-24", "25-29", "30-34", "35-39", "40-44", "45-49", "50-54", "55-59", "60-64", "65-69", "70-74", "75-79", "80-84", "85+")</f>
        <v>30-34</v>
      </c>
      <c r="D10133" t="s">
        <v>8</v>
      </c>
    </row>
    <row r="10134" spans="1:4">
      <c r="A10134" t="s">
        <v>6</v>
      </c>
      <c r="B10134">
        <v>38</v>
      </c>
      <c r="C10134" t="str">
        <f>CHOOSE(MATCH(B10134, {20,25,30,35,40,45,50,55,60,65,70,75,80,85}, 1), "20-24", "25-29", "30-34", "35-39", "40-44", "45-49", "50-54", "55-59", "60-64", "65-69", "70-74", "75-79", "80-84", "85+")</f>
        <v>35-39</v>
      </c>
      <c r="D10134" t="s">
        <v>7</v>
      </c>
    </row>
    <row r="10135" spans="1:4">
      <c r="A10135" t="s">
        <v>6</v>
      </c>
      <c r="B10135">
        <v>70</v>
      </c>
      <c r="C10135" t="str">
        <f>CHOOSE(MATCH(B10135, {20,25,30,35,40,45,50,55,60,65,70,75,80,85}, 1), "20-24", "25-29", "30-34", "35-39", "40-44", "45-49", "50-54", "55-59", "60-64", "65-69", "70-74", "75-79", "80-84", "85+")</f>
        <v>70-74</v>
      </c>
      <c r="D10135" t="s">
        <v>8</v>
      </c>
    </row>
    <row r="10136" spans="1:4">
      <c r="A10136" t="s">
        <v>6</v>
      </c>
      <c r="B10136">
        <v>44</v>
      </c>
      <c r="C10136" t="str">
        <f>CHOOSE(MATCH(B10136, {20,25,30,35,40,45,50,55,60,65,70,75,80,85}, 1), "20-24", "25-29", "30-34", "35-39", "40-44", "45-49", "50-54", "55-59", "60-64", "65-69", "70-74", "75-79", "80-84", "85+")</f>
        <v>40-44</v>
      </c>
      <c r="D10136" t="s">
        <v>8</v>
      </c>
    </row>
    <row r="10137" spans="1:4">
      <c r="A10137" t="s">
        <v>6</v>
      </c>
      <c r="B10137">
        <v>69</v>
      </c>
      <c r="C10137" t="str">
        <f>CHOOSE(MATCH(B10137, {20,25,30,35,40,45,50,55,60,65,70,75,80,85}, 1), "20-24", "25-29", "30-34", "35-39", "40-44", "45-49", "50-54", "55-59", "60-64", "65-69", "70-74", "75-79", "80-84", "85+")</f>
        <v>65-69</v>
      </c>
      <c r="D10137" t="s">
        <v>8</v>
      </c>
    </row>
    <row r="10138" spans="1:4">
      <c r="A10138" t="s">
        <v>6</v>
      </c>
      <c r="B10138">
        <v>30</v>
      </c>
      <c r="C10138" t="str">
        <f>CHOOSE(MATCH(B10138, {20,25,30,35,40,45,50,55,60,65,70,75,80,85}, 1), "20-24", "25-29", "30-34", "35-39", "40-44", "45-49", "50-54", "55-59", "60-64", "65-69", "70-74", "75-79", "80-84", "85+")</f>
        <v>30-34</v>
      </c>
      <c r="D10138" t="s">
        <v>7</v>
      </c>
    </row>
    <row r="10139" spans="1:4">
      <c r="A10139" t="s">
        <v>6</v>
      </c>
      <c r="B10139">
        <v>32</v>
      </c>
      <c r="C10139" t="str">
        <f>CHOOSE(MATCH(B10139, {20,25,30,35,40,45,50,55,60,65,70,75,80,85}, 1), "20-24", "25-29", "30-34", "35-39", "40-44", "45-49", "50-54", "55-59", "60-64", "65-69", "70-74", "75-79", "80-84", "85+")</f>
        <v>30-34</v>
      </c>
      <c r="D10139" t="s">
        <v>8</v>
      </c>
    </row>
    <row r="10140" spans="1:4">
      <c r="A10140" t="s">
        <v>6</v>
      </c>
      <c r="B10140">
        <v>37</v>
      </c>
      <c r="C10140" t="str">
        <f>CHOOSE(MATCH(B10140, {20,25,30,35,40,45,50,55,60,65,70,75,80,85}, 1), "20-24", "25-29", "30-34", "35-39", "40-44", "45-49", "50-54", "55-59", "60-64", "65-69", "70-74", "75-79", "80-84", "85+")</f>
        <v>35-39</v>
      </c>
      <c r="D10140" t="s">
        <v>8</v>
      </c>
    </row>
    <row r="10141" spans="1:4">
      <c r="A10141" t="s">
        <v>6</v>
      </c>
      <c r="B10141">
        <v>76</v>
      </c>
      <c r="C10141" t="str">
        <f>CHOOSE(MATCH(B10141, {20,25,30,35,40,45,50,55,60,65,70,75,80,85}, 1), "20-24", "25-29", "30-34", "35-39", "40-44", "45-49", "50-54", "55-59", "60-64", "65-69", "70-74", "75-79", "80-84", "85+")</f>
        <v>75-79</v>
      </c>
      <c r="D10141" t="s">
        <v>7</v>
      </c>
    </row>
    <row r="10142" spans="1:4">
      <c r="A10142" t="s">
        <v>6</v>
      </c>
      <c r="B10142">
        <v>74</v>
      </c>
      <c r="C10142" t="str">
        <f>CHOOSE(MATCH(B10142, {20,25,30,35,40,45,50,55,60,65,70,75,80,85}, 1), "20-24", "25-29", "30-34", "35-39", "40-44", "45-49", "50-54", "55-59", "60-64", "65-69", "70-74", "75-79", "80-84", "85+")</f>
        <v>70-74</v>
      </c>
      <c r="D10142" t="s">
        <v>8</v>
      </c>
    </row>
    <row r="10143" spans="1:4">
      <c r="A10143" t="s">
        <v>6</v>
      </c>
      <c r="B10143">
        <v>60</v>
      </c>
      <c r="C10143" t="str">
        <f>CHOOSE(MATCH(B10143, {20,25,30,35,40,45,50,55,60,65,70,75,80,85}, 1), "20-24", "25-29", "30-34", "35-39", "40-44", "45-49", "50-54", "55-59", "60-64", "65-69", "70-74", "75-79", "80-84", "85+")</f>
        <v>60-64</v>
      </c>
      <c r="D10143" t="s">
        <v>8</v>
      </c>
    </row>
    <row r="10144" spans="1:4">
      <c r="A10144" t="s">
        <v>6</v>
      </c>
      <c r="B10144">
        <v>26</v>
      </c>
      <c r="C10144" t="str">
        <f>CHOOSE(MATCH(B10144, {20,25,30,35,40,45,50,55,60,65,70,75,80,85}, 1), "20-24", "25-29", "30-34", "35-39", "40-44", "45-49", "50-54", "55-59", "60-64", "65-69", "70-74", "75-79", "80-84", "85+")</f>
        <v>25-29</v>
      </c>
      <c r="D10144" t="s">
        <v>8</v>
      </c>
    </row>
    <row r="10145" spans="1:4">
      <c r="A10145" t="s">
        <v>6</v>
      </c>
      <c r="B10145">
        <v>32</v>
      </c>
      <c r="C10145" t="str">
        <f>CHOOSE(MATCH(B10145, {20,25,30,35,40,45,50,55,60,65,70,75,80,85}, 1), "20-24", "25-29", "30-34", "35-39", "40-44", "45-49", "50-54", "55-59", "60-64", "65-69", "70-74", "75-79", "80-84", "85+")</f>
        <v>30-34</v>
      </c>
      <c r="D10145" t="s">
        <v>7</v>
      </c>
    </row>
    <row r="10146" spans="1:4">
      <c r="A10146" t="s">
        <v>6</v>
      </c>
      <c r="B10146">
        <v>29</v>
      </c>
      <c r="C10146" t="str">
        <f>CHOOSE(MATCH(B10146, {20,25,30,35,40,45,50,55,60,65,70,75,80,85}, 1), "20-24", "25-29", "30-34", "35-39", "40-44", "45-49", "50-54", "55-59", "60-64", "65-69", "70-74", "75-79", "80-84", "85+")</f>
        <v>25-29</v>
      </c>
      <c r="D10146" t="s">
        <v>7</v>
      </c>
    </row>
    <row r="10147" spans="1:4">
      <c r="A10147" t="s">
        <v>6</v>
      </c>
      <c r="B10147">
        <v>28</v>
      </c>
      <c r="C10147" t="str">
        <f>CHOOSE(MATCH(B10147, {20,25,30,35,40,45,50,55,60,65,70,75,80,85}, 1), "20-24", "25-29", "30-34", "35-39", "40-44", "45-49", "50-54", "55-59", "60-64", "65-69", "70-74", "75-79", "80-84", "85+")</f>
        <v>25-29</v>
      </c>
      <c r="D10147" t="s">
        <v>7</v>
      </c>
    </row>
    <row r="10148" spans="1:4">
      <c r="A10148" t="s">
        <v>6</v>
      </c>
      <c r="B10148">
        <v>45</v>
      </c>
      <c r="C10148" t="str">
        <f>CHOOSE(MATCH(B10148, {20,25,30,35,40,45,50,55,60,65,70,75,80,85}, 1), "20-24", "25-29", "30-34", "35-39", "40-44", "45-49", "50-54", "55-59", "60-64", "65-69", "70-74", "75-79", "80-84", "85+")</f>
        <v>45-49</v>
      </c>
      <c r="D10148" t="s">
        <v>7</v>
      </c>
    </row>
    <row r="10149" spans="1:4">
      <c r="A10149" t="s">
        <v>6</v>
      </c>
      <c r="B10149">
        <v>32</v>
      </c>
      <c r="C10149" t="str">
        <f>CHOOSE(MATCH(B10149, {20,25,30,35,40,45,50,55,60,65,70,75,80,85}, 1), "20-24", "25-29", "30-34", "35-39", "40-44", "45-49", "50-54", "55-59", "60-64", "65-69", "70-74", "75-79", "80-84", "85+")</f>
        <v>30-34</v>
      </c>
      <c r="D10149" t="s">
        <v>7</v>
      </c>
    </row>
    <row r="10150" spans="1:4">
      <c r="A10150" t="s">
        <v>6</v>
      </c>
      <c r="B10150">
        <v>70</v>
      </c>
      <c r="C10150" t="str">
        <f>CHOOSE(MATCH(B10150, {20,25,30,35,40,45,50,55,60,65,70,75,80,85}, 1), "20-24", "25-29", "30-34", "35-39", "40-44", "45-49", "50-54", "55-59", "60-64", "65-69", "70-74", "75-79", "80-84", "85+")</f>
        <v>70-74</v>
      </c>
      <c r="D10150" t="s">
        <v>8</v>
      </c>
    </row>
    <row r="10151" spans="1:4">
      <c r="A10151" t="s">
        <v>6</v>
      </c>
      <c r="B10151">
        <v>49</v>
      </c>
      <c r="C10151" t="str">
        <f>CHOOSE(MATCH(B10151, {20,25,30,35,40,45,50,55,60,65,70,75,80,85}, 1), "20-24", "25-29", "30-34", "35-39", "40-44", "45-49", "50-54", "55-59", "60-64", "65-69", "70-74", "75-79", "80-84", "85+")</f>
        <v>45-49</v>
      </c>
      <c r="D10151" t="s">
        <v>7</v>
      </c>
    </row>
    <row r="10152" spans="1:4">
      <c r="A10152" t="s">
        <v>6</v>
      </c>
      <c r="B10152">
        <v>30</v>
      </c>
      <c r="C10152" t="str">
        <f>CHOOSE(MATCH(B10152, {20,25,30,35,40,45,50,55,60,65,70,75,80,85}, 1), "20-24", "25-29", "30-34", "35-39", "40-44", "45-49", "50-54", "55-59", "60-64", "65-69", "70-74", "75-79", "80-84", "85+")</f>
        <v>30-34</v>
      </c>
      <c r="D10152" t="s">
        <v>7</v>
      </c>
    </row>
    <row r="10153" spans="1:4">
      <c r="A10153" t="s">
        <v>6</v>
      </c>
      <c r="B10153">
        <v>21</v>
      </c>
      <c r="C10153" t="str">
        <f>CHOOSE(MATCH(B10153, {20,25,30,35,40,45,50,55,60,65,70,75,80,85}, 1), "20-24", "25-29", "30-34", "35-39", "40-44", "45-49", "50-54", "55-59", "60-64", "65-69", "70-74", "75-79", "80-84", "85+")</f>
        <v>20-24</v>
      </c>
      <c r="D10153" t="s">
        <v>8</v>
      </c>
    </row>
    <row r="10154" spans="1:4">
      <c r="A10154" t="s">
        <v>6</v>
      </c>
      <c r="B10154">
        <v>28</v>
      </c>
      <c r="C10154" t="str">
        <f>CHOOSE(MATCH(B10154, {20,25,30,35,40,45,50,55,60,65,70,75,80,85}, 1), "20-24", "25-29", "30-34", "35-39", "40-44", "45-49", "50-54", "55-59", "60-64", "65-69", "70-74", "75-79", "80-84", "85+")</f>
        <v>25-29</v>
      </c>
      <c r="D10154" t="s">
        <v>7</v>
      </c>
    </row>
    <row r="10155" spans="1:4">
      <c r="A10155" t="s">
        <v>6</v>
      </c>
      <c r="B10155">
        <v>42</v>
      </c>
      <c r="C10155" t="str">
        <f>CHOOSE(MATCH(B10155, {20,25,30,35,40,45,50,55,60,65,70,75,80,85}, 1), "20-24", "25-29", "30-34", "35-39", "40-44", "45-49", "50-54", "55-59", "60-64", "65-69", "70-74", "75-79", "80-84", "85+")</f>
        <v>40-44</v>
      </c>
      <c r="D10155" t="s">
        <v>8</v>
      </c>
    </row>
    <row r="10156" spans="1:4">
      <c r="A10156" t="s">
        <v>6</v>
      </c>
      <c r="B10156">
        <v>44</v>
      </c>
      <c r="C10156" t="str">
        <f>CHOOSE(MATCH(B10156, {20,25,30,35,40,45,50,55,60,65,70,75,80,85}, 1), "20-24", "25-29", "30-34", "35-39", "40-44", "45-49", "50-54", "55-59", "60-64", "65-69", "70-74", "75-79", "80-84", "85+")</f>
        <v>40-44</v>
      </c>
      <c r="D10156" t="s">
        <v>8</v>
      </c>
    </row>
    <row r="10157" spans="1:4">
      <c r="A10157" t="s">
        <v>6</v>
      </c>
      <c r="B10157">
        <v>79</v>
      </c>
      <c r="C10157" t="str">
        <f>CHOOSE(MATCH(B10157, {20,25,30,35,40,45,50,55,60,65,70,75,80,85}, 1), "20-24", "25-29", "30-34", "35-39", "40-44", "45-49", "50-54", "55-59", "60-64", "65-69", "70-74", "75-79", "80-84", "85+")</f>
        <v>75-79</v>
      </c>
      <c r="D10157" t="s">
        <v>7</v>
      </c>
    </row>
    <row r="10158" spans="1:4">
      <c r="A10158" t="s">
        <v>6</v>
      </c>
      <c r="B10158">
        <v>28</v>
      </c>
      <c r="C10158" t="str">
        <f>CHOOSE(MATCH(B10158, {20,25,30,35,40,45,50,55,60,65,70,75,80,85}, 1), "20-24", "25-29", "30-34", "35-39", "40-44", "45-49", "50-54", "55-59", "60-64", "65-69", "70-74", "75-79", "80-84", "85+")</f>
        <v>25-29</v>
      </c>
      <c r="D10158" t="s">
        <v>7</v>
      </c>
    </row>
    <row r="10159" spans="1:4">
      <c r="A10159" t="s">
        <v>6</v>
      </c>
      <c r="B10159">
        <v>43</v>
      </c>
      <c r="C10159" t="str">
        <f>CHOOSE(MATCH(B10159, {20,25,30,35,40,45,50,55,60,65,70,75,80,85}, 1), "20-24", "25-29", "30-34", "35-39", "40-44", "45-49", "50-54", "55-59", "60-64", "65-69", "70-74", "75-79", "80-84", "85+")</f>
        <v>40-44</v>
      </c>
      <c r="D10159" t="s">
        <v>7</v>
      </c>
    </row>
    <row r="10160" spans="1:4">
      <c r="A10160" t="s">
        <v>6</v>
      </c>
      <c r="B10160">
        <v>51</v>
      </c>
      <c r="C10160" t="str">
        <f>CHOOSE(MATCH(B10160, {20,25,30,35,40,45,50,55,60,65,70,75,80,85}, 1), "20-24", "25-29", "30-34", "35-39", "40-44", "45-49", "50-54", "55-59", "60-64", "65-69", "70-74", "75-79", "80-84", "85+")</f>
        <v>50-54</v>
      </c>
      <c r="D10160" t="s">
        <v>8</v>
      </c>
    </row>
    <row r="10161" spans="1:4">
      <c r="A10161" t="s">
        <v>6</v>
      </c>
      <c r="B10161">
        <v>32</v>
      </c>
      <c r="C10161" t="str">
        <f>CHOOSE(MATCH(B10161, {20,25,30,35,40,45,50,55,60,65,70,75,80,85}, 1), "20-24", "25-29", "30-34", "35-39", "40-44", "45-49", "50-54", "55-59", "60-64", "65-69", "70-74", "75-79", "80-84", "85+")</f>
        <v>30-34</v>
      </c>
      <c r="D10161" t="s">
        <v>7</v>
      </c>
    </row>
    <row r="10162" spans="1:4">
      <c r="A10162" t="s">
        <v>6</v>
      </c>
      <c r="B10162">
        <v>37</v>
      </c>
      <c r="C10162" t="str">
        <f>CHOOSE(MATCH(B10162, {20,25,30,35,40,45,50,55,60,65,70,75,80,85}, 1), "20-24", "25-29", "30-34", "35-39", "40-44", "45-49", "50-54", "55-59", "60-64", "65-69", "70-74", "75-79", "80-84", "85+")</f>
        <v>35-39</v>
      </c>
      <c r="D10162" t="s">
        <v>8</v>
      </c>
    </row>
    <row r="10163" spans="1:4">
      <c r="A10163" t="s">
        <v>6</v>
      </c>
      <c r="B10163">
        <v>62</v>
      </c>
      <c r="C10163" t="str">
        <f>CHOOSE(MATCH(B10163, {20,25,30,35,40,45,50,55,60,65,70,75,80,85}, 1), "20-24", "25-29", "30-34", "35-39", "40-44", "45-49", "50-54", "55-59", "60-64", "65-69", "70-74", "75-79", "80-84", "85+")</f>
        <v>60-64</v>
      </c>
      <c r="D10163" t="s">
        <v>8</v>
      </c>
    </row>
    <row r="10164" spans="1:4">
      <c r="A10164" t="s">
        <v>6</v>
      </c>
      <c r="B10164">
        <v>26</v>
      </c>
      <c r="C10164" t="str">
        <f>CHOOSE(MATCH(B10164, {20,25,30,35,40,45,50,55,60,65,70,75,80,85}, 1), "20-24", "25-29", "30-34", "35-39", "40-44", "45-49", "50-54", "55-59", "60-64", "65-69", "70-74", "75-79", "80-84", "85+")</f>
        <v>25-29</v>
      </c>
      <c r="D10164" t="s">
        <v>8</v>
      </c>
    </row>
    <row r="10165" spans="1:4">
      <c r="A10165" t="s">
        <v>6</v>
      </c>
      <c r="B10165">
        <v>52</v>
      </c>
      <c r="C10165" t="str">
        <f>CHOOSE(MATCH(B10165, {20,25,30,35,40,45,50,55,60,65,70,75,80,85}, 1), "20-24", "25-29", "30-34", "35-39", "40-44", "45-49", "50-54", "55-59", "60-64", "65-69", "70-74", "75-79", "80-84", "85+")</f>
        <v>50-54</v>
      </c>
      <c r="D10165" t="s">
        <v>8</v>
      </c>
    </row>
    <row r="10166" spans="1:4">
      <c r="A10166" t="s">
        <v>6</v>
      </c>
      <c r="B10166">
        <v>33</v>
      </c>
      <c r="C10166" t="str">
        <f>CHOOSE(MATCH(B10166, {20,25,30,35,40,45,50,55,60,65,70,75,80,85}, 1), "20-24", "25-29", "30-34", "35-39", "40-44", "45-49", "50-54", "55-59", "60-64", "65-69", "70-74", "75-79", "80-84", "85+")</f>
        <v>30-34</v>
      </c>
      <c r="D10166" t="s">
        <v>7</v>
      </c>
    </row>
    <row r="10167" spans="1:4">
      <c r="A10167" t="s">
        <v>6</v>
      </c>
      <c r="B10167">
        <v>22</v>
      </c>
      <c r="C10167" t="str">
        <f>CHOOSE(MATCH(B10167, {20,25,30,35,40,45,50,55,60,65,70,75,80,85}, 1), "20-24", "25-29", "30-34", "35-39", "40-44", "45-49", "50-54", "55-59", "60-64", "65-69", "70-74", "75-79", "80-84", "85+")</f>
        <v>20-24</v>
      </c>
      <c r="D10167" t="s">
        <v>7</v>
      </c>
    </row>
    <row r="10168" spans="1:4">
      <c r="A10168" t="s">
        <v>6</v>
      </c>
      <c r="B10168">
        <v>38</v>
      </c>
      <c r="C10168" t="str">
        <f>CHOOSE(MATCH(B10168, {20,25,30,35,40,45,50,55,60,65,70,75,80,85}, 1), "20-24", "25-29", "30-34", "35-39", "40-44", "45-49", "50-54", "55-59", "60-64", "65-69", "70-74", "75-79", "80-84", "85+")</f>
        <v>35-39</v>
      </c>
      <c r="D10168" t="s">
        <v>7</v>
      </c>
    </row>
    <row r="10169" spans="1:4">
      <c r="A10169" t="s">
        <v>6</v>
      </c>
      <c r="B10169">
        <v>36</v>
      </c>
      <c r="C10169" t="str">
        <f>CHOOSE(MATCH(B10169, {20,25,30,35,40,45,50,55,60,65,70,75,80,85}, 1), "20-24", "25-29", "30-34", "35-39", "40-44", "45-49", "50-54", "55-59", "60-64", "65-69", "70-74", "75-79", "80-84", "85+")</f>
        <v>35-39</v>
      </c>
      <c r="D10169" t="s">
        <v>7</v>
      </c>
    </row>
    <row r="10170" spans="1:4">
      <c r="A10170" t="s">
        <v>6</v>
      </c>
      <c r="B10170">
        <v>56</v>
      </c>
      <c r="C10170" t="str">
        <f>CHOOSE(MATCH(B10170, {20,25,30,35,40,45,50,55,60,65,70,75,80,85}, 1), "20-24", "25-29", "30-34", "35-39", "40-44", "45-49", "50-54", "55-59", "60-64", "65-69", "70-74", "75-79", "80-84", "85+")</f>
        <v>55-59</v>
      </c>
      <c r="D10170" t="s">
        <v>8</v>
      </c>
    </row>
    <row r="10171" spans="1:4">
      <c r="A10171" t="s">
        <v>6</v>
      </c>
      <c r="B10171">
        <v>33</v>
      </c>
      <c r="C10171" t="str">
        <f>CHOOSE(MATCH(B10171, {20,25,30,35,40,45,50,55,60,65,70,75,80,85}, 1), "20-24", "25-29", "30-34", "35-39", "40-44", "45-49", "50-54", "55-59", "60-64", "65-69", "70-74", "75-79", "80-84", "85+")</f>
        <v>30-34</v>
      </c>
      <c r="D10171" t="s">
        <v>8</v>
      </c>
    </row>
    <row r="10172" spans="1:4">
      <c r="A10172" t="s">
        <v>6</v>
      </c>
      <c r="B10172">
        <v>26</v>
      </c>
      <c r="C10172" t="str">
        <f>CHOOSE(MATCH(B10172, {20,25,30,35,40,45,50,55,60,65,70,75,80,85}, 1), "20-24", "25-29", "30-34", "35-39", "40-44", "45-49", "50-54", "55-59", "60-64", "65-69", "70-74", "75-79", "80-84", "85+")</f>
        <v>25-29</v>
      </c>
      <c r="D10172" t="s">
        <v>7</v>
      </c>
    </row>
    <row r="10173" spans="1:4">
      <c r="A10173" t="s">
        <v>6</v>
      </c>
      <c r="B10173">
        <v>80</v>
      </c>
      <c r="C10173" t="str">
        <f>CHOOSE(MATCH(B10173, {20,25,30,35,40,45,50,55,60,65,70,75,80,85}, 1), "20-24", "25-29", "30-34", "35-39", "40-44", "45-49", "50-54", "55-59", "60-64", "65-69", "70-74", "75-79", "80-84", "85+")</f>
        <v>80-84</v>
      </c>
      <c r="D10173" t="s">
        <v>8</v>
      </c>
    </row>
    <row r="10174" spans="1:4">
      <c r="A10174" t="s">
        <v>6</v>
      </c>
      <c r="B10174">
        <v>70</v>
      </c>
      <c r="C10174" t="str">
        <f>CHOOSE(MATCH(B10174, {20,25,30,35,40,45,50,55,60,65,70,75,80,85}, 1), "20-24", "25-29", "30-34", "35-39", "40-44", "45-49", "50-54", "55-59", "60-64", "65-69", "70-74", "75-79", "80-84", "85+")</f>
        <v>70-74</v>
      </c>
      <c r="D10174" t="s">
        <v>7</v>
      </c>
    </row>
    <row r="10175" spans="1:4">
      <c r="A10175" t="s">
        <v>6</v>
      </c>
      <c r="B10175">
        <v>30</v>
      </c>
      <c r="C10175" t="str">
        <f>CHOOSE(MATCH(B10175, {20,25,30,35,40,45,50,55,60,65,70,75,80,85}, 1), "20-24", "25-29", "30-34", "35-39", "40-44", "45-49", "50-54", "55-59", "60-64", "65-69", "70-74", "75-79", "80-84", "85+")</f>
        <v>30-34</v>
      </c>
      <c r="D10175" t="s">
        <v>7</v>
      </c>
    </row>
    <row r="10176" spans="1:4">
      <c r="A10176" t="s">
        <v>6</v>
      </c>
      <c r="B10176">
        <v>30</v>
      </c>
      <c r="C10176" t="str">
        <f>CHOOSE(MATCH(B10176, {20,25,30,35,40,45,50,55,60,65,70,75,80,85}, 1), "20-24", "25-29", "30-34", "35-39", "40-44", "45-49", "50-54", "55-59", "60-64", "65-69", "70-74", "75-79", "80-84", "85+")</f>
        <v>30-34</v>
      </c>
      <c r="D10176" t="s">
        <v>7</v>
      </c>
    </row>
    <row r="10177" spans="1:4">
      <c r="A10177" t="s">
        <v>6</v>
      </c>
      <c r="B10177">
        <v>29</v>
      </c>
      <c r="C10177" t="str">
        <f>CHOOSE(MATCH(B10177, {20,25,30,35,40,45,50,55,60,65,70,75,80,85}, 1), "20-24", "25-29", "30-34", "35-39", "40-44", "45-49", "50-54", "55-59", "60-64", "65-69", "70-74", "75-79", "80-84", "85+")</f>
        <v>25-29</v>
      </c>
      <c r="D10177" t="s">
        <v>7</v>
      </c>
    </row>
    <row r="10178" spans="1:4">
      <c r="A10178" t="s">
        <v>6</v>
      </c>
      <c r="B10178">
        <v>31</v>
      </c>
      <c r="C10178" t="str">
        <f>CHOOSE(MATCH(B10178, {20,25,30,35,40,45,50,55,60,65,70,75,80,85}, 1), "20-24", "25-29", "30-34", "35-39", "40-44", "45-49", "50-54", "55-59", "60-64", "65-69", "70-74", "75-79", "80-84", "85+")</f>
        <v>30-34</v>
      </c>
      <c r="D10178" t="s">
        <v>8</v>
      </c>
    </row>
    <row r="10179" spans="1:4">
      <c r="A10179" t="s">
        <v>6</v>
      </c>
      <c r="B10179">
        <v>49</v>
      </c>
      <c r="C10179" t="str">
        <f>CHOOSE(MATCH(B10179, {20,25,30,35,40,45,50,55,60,65,70,75,80,85}, 1), "20-24", "25-29", "30-34", "35-39", "40-44", "45-49", "50-54", "55-59", "60-64", "65-69", "70-74", "75-79", "80-84", "85+")</f>
        <v>45-49</v>
      </c>
      <c r="D10179" t="s">
        <v>7</v>
      </c>
    </row>
    <row r="10180" spans="1:4">
      <c r="A10180" t="s">
        <v>6</v>
      </c>
      <c r="B10180">
        <v>52</v>
      </c>
      <c r="C10180" t="str">
        <f>CHOOSE(MATCH(B10180, {20,25,30,35,40,45,50,55,60,65,70,75,80,85}, 1), "20-24", "25-29", "30-34", "35-39", "40-44", "45-49", "50-54", "55-59", "60-64", "65-69", "70-74", "75-79", "80-84", "85+")</f>
        <v>50-54</v>
      </c>
      <c r="D10180" t="s">
        <v>8</v>
      </c>
    </row>
    <row r="10181" spans="1:4">
      <c r="A10181" t="s">
        <v>6</v>
      </c>
      <c r="B10181">
        <v>29</v>
      </c>
      <c r="C10181" t="str">
        <f>CHOOSE(MATCH(B10181, {20,25,30,35,40,45,50,55,60,65,70,75,80,85}, 1), "20-24", "25-29", "30-34", "35-39", "40-44", "45-49", "50-54", "55-59", "60-64", "65-69", "70-74", "75-79", "80-84", "85+")</f>
        <v>25-29</v>
      </c>
      <c r="D10181" t="s">
        <v>7</v>
      </c>
    </row>
    <row r="10182" spans="1:4">
      <c r="A10182" t="s">
        <v>6</v>
      </c>
      <c r="B10182">
        <v>25</v>
      </c>
      <c r="C10182" t="str">
        <f>CHOOSE(MATCH(B10182, {20,25,30,35,40,45,50,55,60,65,70,75,80,85}, 1), "20-24", "25-29", "30-34", "35-39", "40-44", "45-49", "50-54", "55-59", "60-64", "65-69", "70-74", "75-79", "80-84", "85+")</f>
        <v>25-29</v>
      </c>
      <c r="D10182" t="s">
        <v>7</v>
      </c>
    </row>
    <row r="10183" spans="1:4">
      <c r="A10183" t="s">
        <v>6</v>
      </c>
      <c r="B10183">
        <v>60</v>
      </c>
      <c r="C10183" t="str">
        <f>CHOOSE(MATCH(B10183, {20,25,30,35,40,45,50,55,60,65,70,75,80,85}, 1), "20-24", "25-29", "30-34", "35-39", "40-44", "45-49", "50-54", "55-59", "60-64", "65-69", "70-74", "75-79", "80-84", "85+")</f>
        <v>60-64</v>
      </c>
      <c r="D10183" t="s">
        <v>7</v>
      </c>
    </row>
    <row r="10184" spans="1:4">
      <c r="A10184" t="s">
        <v>6</v>
      </c>
      <c r="B10184">
        <v>46</v>
      </c>
      <c r="C10184" t="str">
        <f>CHOOSE(MATCH(B10184, {20,25,30,35,40,45,50,55,60,65,70,75,80,85}, 1), "20-24", "25-29", "30-34", "35-39", "40-44", "45-49", "50-54", "55-59", "60-64", "65-69", "70-74", "75-79", "80-84", "85+")</f>
        <v>45-49</v>
      </c>
      <c r="D10184" t="s">
        <v>7</v>
      </c>
    </row>
    <row r="10185" spans="1:4">
      <c r="A10185" t="s">
        <v>6</v>
      </c>
      <c r="B10185">
        <v>73</v>
      </c>
      <c r="C10185" t="str">
        <f>CHOOSE(MATCH(B10185, {20,25,30,35,40,45,50,55,60,65,70,75,80,85}, 1), "20-24", "25-29", "30-34", "35-39", "40-44", "45-49", "50-54", "55-59", "60-64", "65-69", "70-74", "75-79", "80-84", "85+")</f>
        <v>70-74</v>
      </c>
      <c r="D10185" t="s">
        <v>7</v>
      </c>
    </row>
    <row r="10186" spans="1:4">
      <c r="A10186" t="s">
        <v>6</v>
      </c>
      <c r="B10186">
        <v>27</v>
      </c>
      <c r="C10186" t="str">
        <f>CHOOSE(MATCH(B10186, {20,25,30,35,40,45,50,55,60,65,70,75,80,85}, 1), "20-24", "25-29", "30-34", "35-39", "40-44", "45-49", "50-54", "55-59", "60-64", "65-69", "70-74", "75-79", "80-84", "85+")</f>
        <v>25-29</v>
      </c>
      <c r="D10186" t="s">
        <v>8</v>
      </c>
    </row>
    <row r="10187" spans="1:4">
      <c r="A10187" t="s">
        <v>6</v>
      </c>
      <c r="B10187">
        <v>61</v>
      </c>
      <c r="C10187" t="str">
        <f>CHOOSE(MATCH(B10187, {20,25,30,35,40,45,50,55,60,65,70,75,80,85}, 1), "20-24", "25-29", "30-34", "35-39", "40-44", "45-49", "50-54", "55-59", "60-64", "65-69", "70-74", "75-79", "80-84", "85+")</f>
        <v>60-64</v>
      </c>
      <c r="D10187" t="s">
        <v>8</v>
      </c>
    </row>
    <row r="10188" spans="1:4">
      <c r="A10188" t="s">
        <v>6</v>
      </c>
      <c r="B10188">
        <v>29</v>
      </c>
      <c r="C10188" t="str">
        <f>CHOOSE(MATCH(B10188, {20,25,30,35,40,45,50,55,60,65,70,75,80,85}, 1), "20-24", "25-29", "30-34", "35-39", "40-44", "45-49", "50-54", "55-59", "60-64", "65-69", "70-74", "75-79", "80-84", "85+")</f>
        <v>25-29</v>
      </c>
      <c r="D10188" t="s">
        <v>7</v>
      </c>
    </row>
    <row r="10189" spans="1:4">
      <c r="A10189" t="s">
        <v>6</v>
      </c>
      <c r="B10189">
        <v>75</v>
      </c>
      <c r="C10189" t="str">
        <f>CHOOSE(MATCH(B10189, {20,25,30,35,40,45,50,55,60,65,70,75,80,85}, 1), "20-24", "25-29", "30-34", "35-39", "40-44", "45-49", "50-54", "55-59", "60-64", "65-69", "70-74", "75-79", "80-84", "85+")</f>
        <v>75-79</v>
      </c>
      <c r="D10189" t="s">
        <v>7</v>
      </c>
    </row>
    <row r="10190" spans="1:4">
      <c r="A10190" t="s">
        <v>6</v>
      </c>
      <c r="B10190">
        <v>54</v>
      </c>
      <c r="C10190" t="str">
        <f>CHOOSE(MATCH(B10190, {20,25,30,35,40,45,50,55,60,65,70,75,80,85}, 1), "20-24", "25-29", "30-34", "35-39", "40-44", "45-49", "50-54", "55-59", "60-64", "65-69", "70-74", "75-79", "80-84", "85+")</f>
        <v>50-54</v>
      </c>
      <c r="D10190" t="s">
        <v>8</v>
      </c>
    </row>
    <row r="10191" spans="1:4">
      <c r="A10191" t="s">
        <v>6</v>
      </c>
      <c r="B10191">
        <v>53</v>
      </c>
      <c r="C10191" t="str">
        <f>CHOOSE(MATCH(B10191, {20,25,30,35,40,45,50,55,60,65,70,75,80,85}, 1), "20-24", "25-29", "30-34", "35-39", "40-44", "45-49", "50-54", "55-59", "60-64", "65-69", "70-74", "75-79", "80-84", "85+")</f>
        <v>50-54</v>
      </c>
      <c r="D10191" t="s">
        <v>7</v>
      </c>
    </row>
    <row r="10192" spans="1:4">
      <c r="A10192" t="s">
        <v>6</v>
      </c>
      <c r="B10192">
        <v>49</v>
      </c>
      <c r="C10192" t="str">
        <f>CHOOSE(MATCH(B10192, {20,25,30,35,40,45,50,55,60,65,70,75,80,85}, 1), "20-24", "25-29", "30-34", "35-39", "40-44", "45-49", "50-54", "55-59", "60-64", "65-69", "70-74", "75-79", "80-84", "85+")</f>
        <v>45-49</v>
      </c>
      <c r="D10192" t="s">
        <v>7</v>
      </c>
    </row>
    <row r="10193" spans="1:4">
      <c r="A10193" t="s">
        <v>6</v>
      </c>
      <c r="B10193">
        <v>24</v>
      </c>
      <c r="C10193" t="str">
        <f>CHOOSE(MATCH(B10193, {20,25,30,35,40,45,50,55,60,65,70,75,80,85}, 1), "20-24", "25-29", "30-34", "35-39", "40-44", "45-49", "50-54", "55-59", "60-64", "65-69", "70-74", "75-79", "80-84", "85+")</f>
        <v>20-24</v>
      </c>
      <c r="D10193" t="s">
        <v>8</v>
      </c>
    </row>
    <row r="10194" spans="1:4">
      <c r="A10194" t="s">
        <v>6</v>
      </c>
      <c r="B10194">
        <v>42</v>
      </c>
      <c r="C10194" t="str">
        <f>CHOOSE(MATCH(B10194, {20,25,30,35,40,45,50,55,60,65,70,75,80,85}, 1), "20-24", "25-29", "30-34", "35-39", "40-44", "45-49", "50-54", "55-59", "60-64", "65-69", "70-74", "75-79", "80-84", "85+")</f>
        <v>40-44</v>
      </c>
      <c r="D10194" t="s">
        <v>7</v>
      </c>
    </row>
    <row r="10195" spans="1:4">
      <c r="A10195" t="s">
        <v>6</v>
      </c>
      <c r="B10195">
        <v>49</v>
      </c>
      <c r="C10195" t="str">
        <f>CHOOSE(MATCH(B10195, {20,25,30,35,40,45,50,55,60,65,70,75,80,85}, 1), "20-24", "25-29", "30-34", "35-39", "40-44", "45-49", "50-54", "55-59", "60-64", "65-69", "70-74", "75-79", "80-84", "85+")</f>
        <v>45-49</v>
      </c>
      <c r="D10195" t="s">
        <v>7</v>
      </c>
    </row>
    <row r="10196" spans="1:4">
      <c r="A10196" t="s">
        <v>6</v>
      </c>
      <c r="B10196">
        <v>34</v>
      </c>
      <c r="C10196" t="str">
        <f>CHOOSE(MATCH(B10196, {20,25,30,35,40,45,50,55,60,65,70,75,80,85}, 1), "20-24", "25-29", "30-34", "35-39", "40-44", "45-49", "50-54", "55-59", "60-64", "65-69", "70-74", "75-79", "80-84", "85+")</f>
        <v>30-34</v>
      </c>
      <c r="D10196" t="s">
        <v>7</v>
      </c>
    </row>
    <row r="10197" spans="1:4">
      <c r="A10197" t="s">
        <v>6</v>
      </c>
      <c r="B10197">
        <v>36</v>
      </c>
      <c r="C10197" t="str">
        <f>CHOOSE(MATCH(B10197, {20,25,30,35,40,45,50,55,60,65,70,75,80,85}, 1), "20-24", "25-29", "30-34", "35-39", "40-44", "45-49", "50-54", "55-59", "60-64", "65-69", "70-74", "75-79", "80-84", "85+")</f>
        <v>35-39</v>
      </c>
      <c r="D10197" t="s">
        <v>8</v>
      </c>
    </row>
    <row r="10198" spans="1:4">
      <c r="A10198" t="s">
        <v>6</v>
      </c>
      <c r="B10198">
        <v>43</v>
      </c>
      <c r="C10198" t="str">
        <f>CHOOSE(MATCH(B10198, {20,25,30,35,40,45,50,55,60,65,70,75,80,85}, 1), "20-24", "25-29", "30-34", "35-39", "40-44", "45-49", "50-54", "55-59", "60-64", "65-69", "70-74", "75-79", "80-84", "85+")</f>
        <v>40-44</v>
      </c>
      <c r="D10198" t="s">
        <v>8</v>
      </c>
    </row>
    <row r="10199" spans="1:4">
      <c r="A10199" t="s">
        <v>6</v>
      </c>
      <c r="B10199">
        <v>42</v>
      </c>
      <c r="C10199" t="str">
        <f>CHOOSE(MATCH(B10199, {20,25,30,35,40,45,50,55,60,65,70,75,80,85}, 1), "20-24", "25-29", "30-34", "35-39", "40-44", "45-49", "50-54", "55-59", "60-64", "65-69", "70-74", "75-79", "80-84", "85+")</f>
        <v>40-44</v>
      </c>
      <c r="D10199" t="s">
        <v>7</v>
      </c>
    </row>
    <row r="10200" spans="1:4">
      <c r="A10200" t="s">
        <v>6</v>
      </c>
      <c r="B10200">
        <v>31</v>
      </c>
      <c r="C10200" t="str">
        <f>CHOOSE(MATCH(B10200, {20,25,30,35,40,45,50,55,60,65,70,75,80,85}, 1), "20-24", "25-29", "30-34", "35-39", "40-44", "45-49", "50-54", "55-59", "60-64", "65-69", "70-74", "75-79", "80-84", "85+")</f>
        <v>30-34</v>
      </c>
      <c r="D10200" t="s">
        <v>8</v>
      </c>
    </row>
    <row r="10201" spans="1:4">
      <c r="A10201" t="s">
        <v>6</v>
      </c>
      <c r="B10201">
        <v>42</v>
      </c>
      <c r="C10201" t="str">
        <f>CHOOSE(MATCH(B10201, {20,25,30,35,40,45,50,55,60,65,70,75,80,85}, 1), "20-24", "25-29", "30-34", "35-39", "40-44", "45-49", "50-54", "55-59", "60-64", "65-69", "70-74", "75-79", "80-84", "85+")</f>
        <v>40-44</v>
      </c>
      <c r="D10201" t="s">
        <v>7</v>
      </c>
    </row>
    <row r="10202" spans="1:4">
      <c r="A10202" t="s">
        <v>6</v>
      </c>
      <c r="B10202">
        <v>52</v>
      </c>
      <c r="C10202" t="str">
        <f>CHOOSE(MATCH(B10202, {20,25,30,35,40,45,50,55,60,65,70,75,80,85}, 1), "20-24", "25-29", "30-34", "35-39", "40-44", "45-49", "50-54", "55-59", "60-64", "65-69", "70-74", "75-79", "80-84", "85+")</f>
        <v>50-54</v>
      </c>
      <c r="D10202" t="s">
        <v>8</v>
      </c>
    </row>
    <row r="10203" spans="1:4">
      <c r="A10203" t="s">
        <v>6</v>
      </c>
      <c r="B10203">
        <v>66</v>
      </c>
      <c r="C10203" t="str">
        <f>CHOOSE(MATCH(B10203, {20,25,30,35,40,45,50,55,60,65,70,75,80,85}, 1), "20-24", "25-29", "30-34", "35-39", "40-44", "45-49", "50-54", "55-59", "60-64", "65-69", "70-74", "75-79", "80-84", "85+")</f>
        <v>65-69</v>
      </c>
      <c r="D10203" t="s">
        <v>8</v>
      </c>
    </row>
    <row r="10204" spans="1:4">
      <c r="A10204" t="s">
        <v>6</v>
      </c>
      <c r="B10204">
        <v>36</v>
      </c>
      <c r="C10204" t="str">
        <f>CHOOSE(MATCH(B10204, {20,25,30,35,40,45,50,55,60,65,70,75,80,85}, 1), "20-24", "25-29", "30-34", "35-39", "40-44", "45-49", "50-54", "55-59", "60-64", "65-69", "70-74", "75-79", "80-84", "85+")</f>
        <v>35-39</v>
      </c>
      <c r="D10204" t="s">
        <v>8</v>
      </c>
    </row>
    <row r="10205" spans="1:4">
      <c r="A10205" t="s">
        <v>6</v>
      </c>
      <c r="B10205">
        <v>64</v>
      </c>
      <c r="C10205" t="str">
        <f>CHOOSE(MATCH(B10205, {20,25,30,35,40,45,50,55,60,65,70,75,80,85}, 1), "20-24", "25-29", "30-34", "35-39", "40-44", "45-49", "50-54", "55-59", "60-64", "65-69", "70-74", "75-79", "80-84", "85+")</f>
        <v>60-64</v>
      </c>
      <c r="D10205" t="s">
        <v>7</v>
      </c>
    </row>
    <row r="10206" spans="1:4">
      <c r="A10206" t="s">
        <v>6</v>
      </c>
      <c r="B10206">
        <v>33</v>
      </c>
      <c r="C10206" t="str">
        <f>CHOOSE(MATCH(B10206, {20,25,30,35,40,45,50,55,60,65,70,75,80,85}, 1), "20-24", "25-29", "30-34", "35-39", "40-44", "45-49", "50-54", "55-59", "60-64", "65-69", "70-74", "75-79", "80-84", "85+")</f>
        <v>30-34</v>
      </c>
      <c r="D10206" t="s">
        <v>7</v>
      </c>
    </row>
    <row r="10207" spans="1:4">
      <c r="A10207" t="s">
        <v>6</v>
      </c>
      <c r="B10207">
        <v>46</v>
      </c>
      <c r="C10207" t="str">
        <f>CHOOSE(MATCH(B10207, {20,25,30,35,40,45,50,55,60,65,70,75,80,85}, 1), "20-24", "25-29", "30-34", "35-39", "40-44", "45-49", "50-54", "55-59", "60-64", "65-69", "70-74", "75-79", "80-84", "85+")</f>
        <v>45-49</v>
      </c>
      <c r="D10207" t="s">
        <v>7</v>
      </c>
    </row>
    <row r="10208" spans="1:4">
      <c r="A10208" t="s">
        <v>6</v>
      </c>
      <c r="B10208">
        <v>38</v>
      </c>
      <c r="C10208" t="str">
        <f>CHOOSE(MATCH(B10208, {20,25,30,35,40,45,50,55,60,65,70,75,80,85}, 1), "20-24", "25-29", "30-34", "35-39", "40-44", "45-49", "50-54", "55-59", "60-64", "65-69", "70-74", "75-79", "80-84", "85+")</f>
        <v>35-39</v>
      </c>
      <c r="D10208" t="s">
        <v>7</v>
      </c>
    </row>
    <row r="10209" spans="1:4">
      <c r="A10209" t="s">
        <v>6</v>
      </c>
      <c r="B10209">
        <v>46</v>
      </c>
      <c r="C10209" t="str">
        <f>CHOOSE(MATCH(B10209, {20,25,30,35,40,45,50,55,60,65,70,75,80,85}, 1), "20-24", "25-29", "30-34", "35-39", "40-44", "45-49", "50-54", "55-59", "60-64", "65-69", "70-74", "75-79", "80-84", "85+")</f>
        <v>45-49</v>
      </c>
      <c r="D10209" t="s">
        <v>7</v>
      </c>
    </row>
    <row r="10210" spans="1:4">
      <c r="A10210" t="s">
        <v>6</v>
      </c>
      <c r="B10210">
        <v>61</v>
      </c>
      <c r="C10210" t="str">
        <f>CHOOSE(MATCH(B10210, {20,25,30,35,40,45,50,55,60,65,70,75,80,85}, 1), "20-24", "25-29", "30-34", "35-39", "40-44", "45-49", "50-54", "55-59", "60-64", "65-69", "70-74", "75-79", "80-84", "85+")</f>
        <v>60-64</v>
      </c>
      <c r="D10210" t="s">
        <v>7</v>
      </c>
    </row>
    <row r="10211" spans="1:4">
      <c r="A10211" t="s">
        <v>6</v>
      </c>
      <c r="B10211">
        <v>43</v>
      </c>
      <c r="C10211" t="str">
        <f>CHOOSE(MATCH(B10211, {20,25,30,35,40,45,50,55,60,65,70,75,80,85}, 1), "20-24", "25-29", "30-34", "35-39", "40-44", "45-49", "50-54", "55-59", "60-64", "65-69", "70-74", "75-79", "80-84", "85+")</f>
        <v>40-44</v>
      </c>
      <c r="D10211" t="s">
        <v>7</v>
      </c>
    </row>
    <row r="10212" spans="1:4">
      <c r="A10212" t="s">
        <v>6</v>
      </c>
      <c r="B10212">
        <v>30</v>
      </c>
      <c r="C10212" t="str">
        <f>CHOOSE(MATCH(B10212, {20,25,30,35,40,45,50,55,60,65,70,75,80,85}, 1), "20-24", "25-29", "30-34", "35-39", "40-44", "45-49", "50-54", "55-59", "60-64", "65-69", "70-74", "75-79", "80-84", "85+")</f>
        <v>30-34</v>
      </c>
      <c r="D10212" t="s">
        <v>7</v>
      </c>
    </row>
    <row r="10213" spans="1:4">
      <c r="A10213" t="s">
        <v>6</v>
      </c>
      <c r="B10213">
        <v>46</v>
      </c>
      <c r="C10213" t="str">
        <f>CHOOSE(MATCH(B10213, {20,25,30,35,40,45,50,55,60,65,70,75,80,85}, 1), "20-24", "25-29", "30-34", "35-39", "40-44", "45-49", "50-54", "55-59", "60-64", "65-69", "70-74", "75-79", "80-84", "85+")</f>
        <v>45-49</v>
      </c>
      <c r="D10213" t="s">
        <v>7</v>
      </c>
    </row>
    <row r="10214" spans="1:4">
      <c r="A10214" t="s">
        <v>6</v>
      </c>
      <c r="B10214">
        <v>29</v>
      </c>
      <c r="C10214" t="str">
        <f>CHOOSE(MATCH(B10214, {20,25,30,35,40,45,50,55,60,65,70,75,80,85}, 1), "20-24", "25-29", "30-34", "35-39", "40-44", "45-49", "50-54", "55-59", "60-64", "65-69", "70-74", "75-79", "80-84", "85+")</f>
        <v>25-29</v>
      </c>
      <c r="D10214" t="s">
        <v>8</v>
      </c>
    </row>
    <row r="10215" spans="1:4">
      <c r="A10215" t="s">
        <v>6</v>
      </c>
      <c r="B10215">
        <v>74</v>
      </c>
      <c r="C10215" t="str">
        <f>CHOOSE(MATCH(B10215, {20,25,30,35,40,45,50,55,60,65,70,75,80,85}, 1), "20-24", "25-29", "30-34", "35-39", "40-44", "45-49", "50-54", "55-59", "60-64", "65-69", "70-74", "75-79", "80-84", "85+")</f>
        <v>70-74</v>
      </c>
      <c r="D10215" t="s">
        <v>8</v>
      </c>
    </row>
    <row r="10216" spans="1:4">
      <c r="A10216" t="s">
        <v>6</v>
      </c>
      <c r="B10216">
        <v>30</v>
      </c>
      <c r="C10216" t="str">
        <f>CHOOSE(MATCH(B10216, {20,25,30,35,40,45,50,55,60,65,70,75,80,85}, 1), "20-24", "25-29", "30-34", "35-39", "40-44", "45-49", "50-54", "55-59", "60-64", "65-69", "70-74", "75-79", "80-84", "85+")</f>
        <v>30-34</v>
      </c>
      <c r="D10216" t="s">
        <v>7</v>
      </c>
    </row>
    <row r="10217" spans="1:4">
      <c r="A10217" t="s">
        <v>6</v>
      </c>
      <c r="B10217">
        <v>25</v>
      </c>
      <c r="C10217" t="str">
        <f>CHOOSE(MATCH(B10217, {20,25,30,35,40,45,50,55,60,65,70,75,80,85}, 1), "20-24", "25-29", "30-34", "35-39", "40-44", "45-49", "50-54", "55-59", "60-64", "65-69", "70-74", "75-79", "80-84", "85+")</f>
        <v>25-29</v>
      </c>
      <c r="D10217" t="s">
        <v>8</v>
      </c>
    </row>
    <row r="10218" spans="1:4">
      <c r="A10218" t="s">
        <v>6</v>
      </c>
      <c r="B10218">
        <v>26</v>
      </c>
      <c r="C10218" t="str">
        <f>CHOOSE(MATCH(B10218, {20,25,30,35,40,45,50,55,60,65,70,75,80,85}, 1), "20-24", "25-29", "30-34", "35-39", "40-44", "45-49", "50-54", "55-59", "60-64", "65-69", "70-74", "75-79", "80-84", "85+")</f>
        <v>25-29</v>
      </c>
      <c r="D10218" t="s">
        <v>7</v>
      </c>
    </row>
    <row r="10219" spans="1:4">
      <c r="A10219" t="s">
        <v>6</v>
      </c>
      <c r="B10219">
        <v>43</v>
      </c>
      <c r="C10219" t="str">
        <f>CHOOSE(MATCH(B10219, {20,25,30,35,40,45,50,55,60,65,70,75,80,85}, 1), "20-24", "25-29", "30-34", "35-39", "40-44", "45-49", "50-54", "55-59", "60-64", "65-69", "70-74", "75-79", "80-84", "85+")</f>
        <v>40-44</v>
      </c>
      <c r="D10219" t="s">
        <v>7</v>
      </c>
    </row>
    <row r="10220" spans="1:4">
      <c r="A10220" t="s">
        <v>6</v>
      </c>
      <c r="B10220">
        <v>38</v>
      </c>
      <c r="C10220" t="str">
        <f>CHOOSE(MATCH(B10220, {20,25,30,35,40,45,50,55,60,65,70,75,80,85}, 1), "20-24", "25-29", "30-34", "35-39", "40-44", "45-49", "50-54", "55-59", "60-64", "65-69", "70-74", "75-79", "80-84", "85+")</f>
        <v>35-39</v>
      </c>
      <c r="D10220" t="s">
        <v>7</v>
      </c>
    </row>
    <row r="10221" spans="1:4">
      <c r="A10221" t="s">
        <v>6</v>
      </c>
      <c r="B10221">
        <v>46</v>
      </c>
      <c r="C10221" t="str">
        <f>CHOOSE(MATCH(B10221, {20,25,30,35,40,45,50,55,60,65,70,75,80,85}, 1), "20-24", "25-29", "30-34", "35-39", "40-44", "45-49", "50-54", "55-59", "60-64", "65-69", "70-74", "75-79", "80-84", "85+")</f>
        <v>45-49</v>
      </c>
      <c r="D10221" t="s">
        <v>7</v>
      </c>
    </row>
    <row r="10222" spans="1:4">
      <c r="A10222" t="s">
        <v>6</v>
      </c>
      <c r="B10222">
        <v>37</v>
      </c>
      <c r="C10222" t="str">
        <f>CHOOSE(MATCH(B10222, {20,25,30,35,40,45,50,55,60,65,70,75,80,85}, 1), "20-24", "25-29", "30-34", "35-39", "40-44", "45-49", "50-54", "55-59", "60-64", "65-69", "70-74", "75-79", "80-84", "85+")</f>
        <v>35-39</v>
      </c>
      <c r="D10222" t="s">
        <v>8</v>
      </c>
    </row>
    <row r="10223" spans="1:4">
      <c r="A10223" t="s">
        <v>6</v>
      </c>
      <c r="B10223">
        <v>39</v>
      </c>
      <c r="C10223" t="str">
        <f>CHOOSE(MATCH(B10223, {20,25,30,35,40,45,50,55,60,65,70,75,80,85}, 1), "20-24", "25-29", "30-34", "35-39", "40-44", "45-49", "50-54", "55-59", "60-64", "65-69", "70-74", "75-79", "80-84", "85+")</f>
        <v>35-39</v>
      </c>
      <c r="D10223" t="s">
        <v>7</v>
      </c>
    </row>
    <row r="10224" spans="1:4">
      <c r="A10224" t="s">
        <v>6</v>
      </c>
      <c r="B10224">
        <v>20</v>
      </c>
      <c r="C10224" t="str">
        <f>CHOOSE(MATCH(B10224, {20,25,30,35,40,45,50,55,60,65,70,75,80,85}, 1), "20-24", "25-29", "30-34", "35-39", "40-44", "45-49", "50-54", "55-59", "60-64", "65-69", "70-74", "75-79", "80-84", "85+")</f>
        <v>20-24</v>
      </c>
      <c r="D10224" t="s">
        <v>7</v>
      </c>
    </row>
    <row r="10225" spans="1:4">
      <c r="A10225" t="s">
        <v>6</v>
      </c>
      <c r="B10225">
        <v>61</v>
      </c>
      <c r="C10225" t="str">
        <f>CHOOSE(MATCH(B10225, {20,25,30,35,40,45,50,55,60,65,70,75,80,85}, 1), "20-24", "25-29", "30-34", "35-39", "40-44", "45-49", "50-54", "55-59", "60-64", "65-69", "70-74", "75-79", "80-84", "85+")</f>
        <v>60-64</v>
      </c>
      <c r="D10225" t="s">
        <v>7</v>
      </c>
    </row>
    <row r="10226" spans="1:4">
      <c r="A10226" t="s">
        <v>6</v>
      </c>
      <c r="B10226">
        <v>41</v>
      </c>
      <c r="C10226" t="str">
        <f>CHOOSE(MATCH(B10226, {20,25,30,35,40,45,50,55,60,65,70,75,80,85}, 1), "20-24", "25-29", "30-34", "35-39", "40-44", "45-49", "50-54", "55-59", "60-64", "65-69", "70-74", "75-79", "80-84", "85+")</f>
        <v>40-44</v>
      </c>
      <c r="D10226" t="s">
        <v>7</v>
      </c>
    </row>
    <row r="10227" spans="1:4">
      <c r="A10227" t="s">
        <v>6</v>
      </c>
      <c r="B10227">
        <v>31</v>
      </c>
      <c r="C10227" t="str">
        <f>CHOOSE(MATCH(B10227, {20,25,30,35,40,45,50,55,60,65,70,75,80,85}, 1), "20-24", "25-29", "30-34", "35-39", "40-44", "45-49", "50-54", "55-59", "60-64", "65-69", "70-74", "75-79", "80-84", "85+")</f>
        <v>30-34</v>
      </c>
      <c r="D10227" t="s">
        <v>8</v>
      </c>
    </row>
    <row r="10228" spans="1:4">
      <c r="A10228" t="s">
        <v>6</v>
      </c>
      <c r="B10228">
        <v>30</v>
      </c>
      <c r="C10228" t="str">
        <f>CHOOSE(MATCH(B10228, {20,25,30,35,40,45,50,55,60,65,70,75,80,85}, 1), "20-24", "25-29", "30-34", "35-39", "40-44", "45-49", "50-54", "55-59", "60-64", "65-69", "70-74", "75-79", "80-84", "85+")</f>
        <v>30-34</v>
      </c>
      <c r="D10228" t="s">
        <v>7</v>
      </c>
    </row>
    <row r="10229" spans="1:4">
      <c r="A10229" t="s">
        <v>6</v>
      </c>
      <c r="B10229">
        <v>31</v>
      </c>
      <c r="C10229" t="str">
        <f>CHOOSE(MATCH(B10229, {20,25,30,35,40,45,50,55,60,65,70,75,80,85}, 1), "20-24", "25-29", "30-34", "35-39", "40-44", "45-49", "50-54", "55-59", "60-64", "65-69", "70-74", "75-79", "80-84", "85+")</f>
        <v>30-34</v>
      </c>
      <c r="D10229" t="s">
        <v>7</v>
      </c>
    </row>
    <row r="10230" spans="1:4">
      <c r="A10230" t="s">
        <v>6</v>
      </c>
      <c r="B10230">
        <v>30</v>
      </c>
      <c r="C10230" t="str">
        <f>CHOOSE(MATCH(B10230, {20,25,30,35,40,45,50,55,60,65,70,75,80,85}, 1), "20-24", "25-29", "30-34", "35-39", "40-44", "45-49", "50-54", "55-59", "60-64", "65-69", "70-74", "75-79", "80-84", "85+")</f>
        <v>30-34</v>
      </c>
      <c r="D10230" t="s">
        <v>8</v>
      </c>
    </row>
    <row r="10231" spans="1:4">
      <c r="A10231" t="s">
        <v>6</v>
      </c>
      <c r="B10231">
        <v>23</v>
      </c>
      <c r="C10231" t="str">
        <f>CHOOSE(MATCH(B10231, {20,25,30,35,40,45,50,55,60,65,70,75,80,85}, 1), "20-24", "25-29", "30-34", "35-39", "40-44", "45-49", "50-54", "55-59", "60-64", "65-69", "70-74", "75-79", "80-84", "85+")</f>
        <v>20-24</v>
      </c>
      <c r="D10231" t="s">
        <v>7</v>
      </c>
    </row>
    <row r="10232" spans="1:4">
      <c r="A10232" t="s">
        <v>6</v>
      </c>
      <c r="B10232">
        <v>31</v>
      </c>
      <c r="C10232" t="str">
        <f>CHOOSE(MATCH(B10232, {20,25,30,35,40,45,50,55,60,65,70,75,80,85}, 1), "20-24", "25-29", "30-34", "35-39", "40-44", "45-49", "50-54", "55-59", "60-64", "65-69", "70-74", "75-79", "80-84", "85+")</f>
        <v>30-34</v>
      </c>
      <c r="D10232" t="s">
        <v>7</v>
      </c>
    </row>
    <row r="10233" spans="1:4">
      <c r="A10233" t="s">
        <v>6</v>
      </c>
      <c r="B10233">
        <v>44</v>
      </c>
      <c r="C10233" t="str">
        <f>CHOOSE(MATCH(B10233, {20,25,30,35,40,45,50,55,60,65,70,75,80,85}, 1), "20-24", "25-29", "30-34", "35-39", "40-44", "45-49", "50-54", "55-59", "60-64", "65-69", "70-74", "75-79", "80-84", "85+")</f>
        <v>40-44</v>
      </c>
      <c r="D10233" t="s">
        <v>8</v>
      </c>
    </row>
    <row r="10234" spans="1:4">
      <c r="A10234" t="s">
        <v>6</v>
      </c>
      <c r="B10234">
        <v>58</v>
      </c>
      <c r="C10234" t="str">
        <f>CHOOSE(MATCH(B10234, {20,25,30,35,40,45,50,55,60,65,70,75,80,85}, 1), "20-24", "25-29", "30-34", "35-39", "40-44", "45-49", "50-54", "55-59", "60-64", "65-69", "70-74", "75-79", "80-84", "85+")</f>
        <v>55-59</v>
      </c>
      <c r="D10234" t="s">
        <v>8</v>
      </c>
    </row>
    <row r="10235" spans="1:4">
      <c r="A10235" t="s">
        <v>6</v>
      </c>
      <c r="B10235">
        <v>25</v>
      </c>
      <c r="C10235" t="str">
        <f>CHOOSE(MATCH(B10235, {20,25,30,35,40,45,50,55,60,65,70,75,80,85}, 1), "20-24", "25-29", "30-34", "35-39", "40-44", "45-49", "50-54", "55-59", "60-64", "65-69", "70-74", "75-79", "80-84", "85+")</f>
        <v>25-29</v>
      </c>
      <c r="D10235" t="s">
        <v>8</v>
      </c>
    </row>
    <row r="10236" spans="1:4">
      <c r="A10236" t="s">
        <v>6</v>
      </c>
      <c r="B10236">
        <v>30</v>
      </c>
      <c r="C10236" t="str">
        <f>CHOOSE(MATCH(B10236, {20,25,30,35,40,45,50,55,60,65,70,75,80,85}, 1), "20-24", "25-29", "30-34", "35-39", "40-44", "45-49", "50-54", "55-59", "60-64", "65-69", "70-74", "75-79", "80-84", "85+")</f>
        <v>30-34</v>
      </c>
      <c r="D10236" t="s">
        <v>7</v>
      </c>
    </row>
    <row r="10237" spans="1:4">
      <c r="A10237" t="s">
        <v>6</v>
      </c>
      <c r="B10237">
        <v>45</v>
      </c>
      <c r="C10237" t="str">
        <f>CHOOSE(MATCH(B10237, {20,25,30,35,40,45,50,55,60,65,70,75,80,85}, 1), "20-24", "25-29", "30-34", "35-39", "40-44", "45-49", "50-54", "55-59", "60-64", "65-69", "70-74", "75-79", "80-84", "85+")</f>
        <v>45-49</v>
      </c>
      <c r="D10237" t="s">
        <v>7</v>
      </c>
    </row>
    <row r="10238" spans="1:4">
      <c r="A10238" t="s">
        <v>6</v>
      </c>
      <c r="B10238">
        <v>26</v>
      </c>
      <c r="C10238" t="str">
        <f>CHOOSE(MATCH(B10238, {20,25,30,35,40,45,50,55,60,65,70,75,80,85}, 1), "20-24", "25-29", "30-34", "35-39", "40-44", "45-49", "50-54", "55-59", "60-64", "65-69", "70-74", "75-79", "80-84", "85+")</f>
        <v>25-29</v>
      </c>
      <c r="D10238" t="s">
        <v>7</v>
      </c>
    </row>
    <row r="10239" spans="1:4">
      <c r="A10239" t="s">
        <v>6</v>
      </c>
      <c r="B10239">
        <v>59</v>
      </c>
      <c r="C10239" t="str">
        <f>CHOOSE(MATCH(B10239, {20,25,30,35,40,45,50,55,60,65,70,75,80,85}, 1), "20-24", "25-29", "30-34", "35-39", "40-44", "45-49", "50-54", "55-59", "60-64", "65-69", "70-74", "75-79", "80-84", "85+")</f>
        <v>55-59</v>
      </c>
      <c r="D10239" t="s">
        <v>8</v>
      </c>
    </row>
    <row r="10240" spans="1:4">
      <c r="A10240" t="s">
        <v>6</v>
      </c>
      <c r="B10240">
        <v>53</v>
      </c>
      <c r="C10240" t="str">
        <f>CHOOSE(MATCH(B10240, {20,25,30,35,40,45,50,55,60,65,70,75,80,85}, 1), "20-24", "25-29", "30-34", "35-39", "40-44", "45-49", "50-54", "55-59", "60-64", "65-69", "70-74", "75-79", "80-84", "85+")</f>
        <v>50-54</v>
      </c>
      <c r="D10240" t="s">
        <v>7</v>
      </c>
    </row>
    <row r="10241" spans="1:4">
      <c r="A10241" t="s">
        <v>6</v>
      </c>
      <c r="B10241">
        <v>35</v>
      </c>
      <c r="C10241" t="str">
        <f>CHOOSE(MATCH(B10241, {20,25,30,35,40,45,50,55,60,65,70,75,80,85}, 1), "20-24", "25-29", "30-34", "35-39", "40-44", "45-49", "50-54", "55-59", "60-64", "65-69", "70-74", "75-79", "80-84", "85+")</f>
        <v>35-39</v>
      </c>
      <c r="D10241" t="s">
        <v>7</v>
      </c>
    </row>
    <row r="10242" spans="1:4">
      <c r="A10242" t="s">
        <v>6</v>
      </c>
      <c r="B10242">
        <v>33</v>
      </c>
      <c r="C10242" t="str">
        <f>CHOOSE(MATCH(B10242, {20,25,30,35,40,45,50,55,60,65,70,75,80,85}, 1), "20-24", "25-29", "30-34", "35-39", "40-44", "45-49", "50-54", "55-59", "60-64", "65-69", "70-74", "75-79", "80-84", "85+")</f>
        <v>30-34</v>
      </c>
      <c r="D10242" t="s">
        <v>8</v>
      </c>
    </row>
    <row r="10243" spans="1:4">
      <c r="A10243" t="s">
        <v>6</v>
      </c>
      <c r="B10243">
        <v>31</v>
      </c>
      <c r="C10243" t="str">
        <f>CHOOSE(MATCH(B10243, {20,25,30,35,40,45,50,55,60,65,70,75,80,85}, 1), "20-24", "25-29", "30-34", "35-39", "40-44", "45-49", "50-54", "55-59", "60-64", "65-69", "70-74", "75-79", "80-84", "85+")</f>
        <v>30-34</v>
      </c>
      <c r="D10243" t="s">
        <v>7</v>
      </c>
    </row>
    <row r="10244" spans="1:4">
      <c r="A10244" t="s">
        <v>6</v>
      </c>
      <c r="B10244">
        <v>36</v>
      </c>
      <c r="C10244" t="str">
        <f>CHOOSE(MATCH(B10244, {20,25,30,35,40,45,50,55,60,65,70,75,80,85}, 1), "20-24", "25-29", "30-34", "35-39", "40-44", "45-49", "50-54", "55-59", "60-64", "65-69", "70-74", "75-79", "80-84", "85+")</f>
        <v>35-39</v>
      </c>
      <c r="D10244" t="s">
        <v>8</v>
      </c>
    </row>
    <row r="10245" spans="1:4">
      <c r="A10245" t="s">
        <v>6</v>
      </c>
      <c r="B10245">
        <v>25</v>
      </c>
      <c r="C10245" t="str">
        <f>CHOOSE(MATCH(B10245, {20,25,30,35,40,45,50,55,60,65,70,75,80,85}, 1), "20-24", "25-29", "30-34", "35-39", "40-44", "45-49", "50-54", "55-59", "60-64", "65-69", "70-74", "75-79", "80-84", "85+")</f>
        <v>25-29</v>
      </c>
      <c r="D10245" t="s">
        <v>8</v>
      </c>
    </row>
    <row r="10246" spans="1:4">
      <c r="A10246" t="s">
        <v>6</v>
      </c>
      <c r="B10246">
        <v>37</v>
      </c>
      <c r="C10246" t="str">
        <f>CHOOSE(MATCH(B10246, {20,25,30,35,40,45,50,55,60,65,70,75,80,85}, 1), "20-24", "25-29", "30-34", "35-39", "40-44", "45-49", "50-54", "55-59", "60-64", "65-69", "70-74", "75-79", "80-84", "85+")</f>
        <v>35-39</v>
      </c>
      <c r="D10246" t="s">
        <v>8</v>
      </c>
    </row>
    <row r="10247" spans="1:4">
      <c r="A10247" t="s">
        <v>6</v>
      </c>
      <c r="B10247">
        <v>28</v>
      </c>
      <c r="C10247" t="str">
        <f>CHOOSE(MATCH(B10247, {20,25,30,35,40,45,50,55,60,65,70,75,80,85}, 1), "20-24", "25-29", "30-34", "35-39", "40-44", "45-49", "50-54", "55-59", "60-64", "65-69", "70-74", "75-79", "80-84", "85+")</f>
        <v>25-29</v>
      </c>
      <c r="D10247" t="s">
        <v>7</v>
      </c>
    </row>
    <row r="10248" spans="1:4">
      <c r="A10248" t="s">
        <v>6</v>
      </c>
      <c r="B10248">
        <v>41</v>
      </c>
      <c r="C10248" t="str">
        <f>CHOOSE(MATCH(B10248, {20,25,30,35,40,45,50,55,60,65,70,75,80,85}, 1), "20-24", "25-29", "30-34", "35-39", "40-44", "45-49", "50-54", "55-59", "60-64", "65-69", "70-74", "75-79", "80-84", "85+")</f>
        <v>40-44</v>
      </c>
      <c r="D10248" t="s">
        <v>7</v>
      </c>
    </row>
    <row r="10249" spans="1:4">
      <c r="A10249" t="s">
        <v>6</v>
      </c>
      <c r="B10249">
        <v>46</v>
      </c>
      <c r="C10249" t="str">
        <f>CHOOSE(MATCH(B10249, {20,25,30,35,40,45,50,55,60,65,70,75,80,85}, 1), "20-24", "25-29", "30-34", "35-39", "40-44", "45-49", "50-54", "55-59", "60-64", "65-69", "70-74", "75-79", "80-84", "85+")</f>
        <v>45-49</v>
      </c>
      <c r="D10249" t="s">
        <v>7</v>
      </c>
    </row>
    <row r="10250" spans="1:4">
      <c r="A10250" t="s">
        <v>6</v>
      </c>
      <c r="B10250">
        <v>33</v>
      </c>
      <c r="C10250" t="str">
        <f>CHOOSE(MATCH(B10250, {20,25,30,35,40,45,50,55,60,65,70,75,80,85}, 1), "20-24", "25-29", "30-34", "35-39", "40-44", "45-49", "50-54", "55-59", "60-64", "65-69", "70-74", "75-79", "80-84", "85+")</f>
        <v>30-34</v>
      </c>
      <c r="D10250" t="s">
        <v>7</v>
      </c>
    </row>
    <row r="10251" spans="1:4">
      <c r="A10251" t="s">
        <v>6</v>
      </c>
      <c r="B10251">
        <v>53</v>
      </c>
      <c r="C10251" t="str">
        <f>CHOOSE(MATCH(B10251, {20,25,30,35,40,45,50,55,60,65,70,75,80,85}, 1), "20-24", "25-29", "30-34", "35-39", "40-44", "45-49", "50-54", "55-59", "60-64", "65-69", "70-74", "75-79", "80-84", "85+")</f>
        <v>50-54</v>
      </c>
      <c r="D10251" t="s">
        <v>8</v>
      </c>
    </row>
    <row r="10252" spans="1:4">
      <c r="A10252" t="s">
        <v>6</v>
      </c>
      <c r="B10252">
        <v>45</v>
      </c>
      <c r="C10252" t="str">
        <f>CHOOSE(MATCH(B10252, {20,25,30,35,40,45,50,55,60,65,70,75,80,85}, 1), "20-24", "25-29", "30-34", "35-39", "40-44", "45-49", "50-54", "55-59", "60-64", "65-69", "70-74", "75-79", "80-84", "85+")</f>
        <v>45-49</v>
      </c>
      <c r="D10252" t="s">
        <v>7</v>
      </c>
    </row>
    <row r="10253" spans="1:4">
      <c r="A10253" t="s">
        <v>6</v>
      </c>
      <c r="B10253">
        <v>57</v>
      </c>
      <c r="C10253" t="str">
        <f>CHOOSE(MATCH(B10253, {20,25,30,35,40,45,50,55,60,65,70,75,80,85}, 1), "20-24", "25-29", "30-34", "35-39", "40-44", "45-49", "50-54", "55-59", "60-64", "65-69", "70-74", "75-79", "80-84", "85+")</f>
        <v>55-59</v>
      </c>
      <c r="D10253" t="s">
        <v>8</v>
      </c>
    </row>
    <row r="10254" spans="1:4">
      <c r="A10254" t="s">
        <v>6</v>
      </c>
      <c r="B10254">
        <v>64</v>
      </c>
      <c r="C10254" t="str">
        <f>CHOOSE(MATCH(B10254, {20,25,30,35,40,45,50,55,60,65,70,75,80,85}, 1), "20-24", "25-29", "30-34", "35-39", "40-44", "45-49", "50-54", "55-59", "60-64", "65-69", "70-74", "75-79", "80-84", "85+")</f>
        <v>60-64</v>
      </c>
      <c r="D10254" t="s">
        <v>8</v>
      </c>
    </row>
    <row r="10255" spans="1:4">
      <c r="A10255" t="s">
        <v>6</v>
      </c>
      <c r="B10255">
        <v>47</v>
      </c>
      <c r="C10255" t="str">
        <f>CHOOSE(MATCH(B10255, {20,25,30,35,40,45,50,55,60,65,70,75,80,85}, 1), "20-24", "25-29", "30-34", "35-39", "40-44", "45-49", "50-54", "55-59", "60-64", "65-69", "70-74", "75-79", "80-84", "85+")</f>
        <v>45-49</v>
      </c>
      <c r="D10255" t="s">
        <v>7</v>
      </c>
    </row>
    <row r="10256" spans="1:4">
      <c r="A10256" t="s">
        <v>6</v>
      </c>
      <c r="B10256">
        <v>46</v>
      </c>
      <c r="C10256" t="str">
        <f>CHOOSE(MATCH(B10256, {20,25,30,35,40,45,50,55,60,65,70,75,80,85}, 1), "20-24", "25-29", "30-34", "35-39", "40-44", "45-49", "50-54", "55-59", "60-64", "65-69", "70-74", "75-79", "80-84", "85+")</f>
        <v>45-49</v>
      </c>
      <c r="D10256" t="s">
        <v>8</v>
      </c>
    </row>
    <row r="10257" spans="1:4">
      <c r="A10257" t="s">
        <v>6</v>
      </c>
      <c r="B10257">
        <v>41</v>
      </c>
      <c r="C10257" t="str">
        <f>CHOOSE(MATCH(B10257, {20,25,30,35,40,45,50,55,60,65,70,75,80,85}, 1), "20-24", "25-29", "30-34", "35-39", "40-44", "45-49", "50-54", "55-59", "60-64", "65-69", "70-74", "75-79", "80-84", "85+")</f>
        <v>40-44</v>
      </c>
      <c r="D10257" t="s">
        <v>8</v>
      </c>
    </row>
    <row r="10258" spans="1:4">
      <c r="A10258" t="s">
        <v>6</v>
      </c>
      <c r="B10258">
        <v>37</v>
      </c>
      <c r="C10258" t="str">
        <f>CHOOSE(MATCH(B10258, {20,25,30,35,40,45,50,55,60,65,70,75,80,85}, 1), "20-24", "25-29", "30-34", "35-39", "40-44", "45-49", "50-54", "55-59", "60-64", "65-69", "70-74", "75-79", "80-84", "85+")</f>
        <v>35-39</v>
      </c>
      <c r="D10258" t="s">
        <v>7</v>
      </c>
    </row>
    <row r="10259" spans="1:4">
      <c r="A10259" t="s">
        <v>6</v>
      </c>
      <c r="B10259">
        <v>36</v>
      </c>
      <c r="C10259" t="str">
        <f>CHOOSE(MATCH(B10259, {20,25,30,35,40,45,50,55,60,65,70,75,80,85}, 1), "20-24", "25-29", "30-34", "35-39", "40-44", "45-49", "50-54", "55-59", "60-64", "65-69", "70-74", "75-79", "80-84", "85+")</f>
        <v>35-39</v>
      </c>
      <c r="D10259" t="s">
        <v>8</v>
      </c>
    </row>
    <row r="10260" spans="1:4">
      <c r="A10260" t="s">
        <v>6</v>
      </c>
      <c r="B10260">
        <v>33</v>
      </c>
      <c r="C10260" t="str">
        <f>CHOOSE(MATCH(B10260, {20,25,30,35,40,45,50,55,60,65,70,75,80,85}, 1), "20-24", "25-29", "30-34", "35-39", "40-44", "45-49", "50-54", "55-59", "60-64", "65-69", "70-74", "75-79", "80-84", "85+")</f>
        <v>30-34</v>
      </c>
      <c r="D10260" t="s">
        <v>7</v>
      </c>
    </row>
    <row r="10261" spans="1:4">
      <c r="A10261" t="s">
        <v>6</v>
      </c>
      <c r="B10261">
        <v>29</v>
      </c>
      <c r="C10261" t="str">
        <f>CHOOSE(MATCH(B10261, {20,25,30,35,40,45,50,55,60,65,70,75,80,85}, 1), "20-24", "25-29", "30-34", "35-39", "40-44", "45-49", "50-54", "55-59", "60-64", "65-69", "70-74", "75-79", "80-84", "85+")</f>
        <v>25-29</v>
      </c>
      <c r="D10261" t="s">
        <v>8</v>
      </c>
    </row>
    <row r="10262" spans="1:4">
      <c r="A10262" t="s">
        <v>6</v>
      </c>
      <c r="B10262">
        <v>49</v>
      </c>
      <c r="C10262" t="str">
        <f>CHOOSE(MATCH(B10262, {20,25,30,35,40,45,50,55,60,65,70,75,80,85}, 1), "20-24", "25-29", "30-34", "35-39", "40-44", "45-49", "50-54", "55-59", "60-64", "65-69", "70-74", "75-79", "80-84", "85+")</f>
        <v>45-49</v>
      </c>
      <c r="D10262" t="s">
        <v>7</v>
      </c>
    </row>
    <row r="10263" spans="1:4">
      <c r="A10263" t="s">
        <v>6</v>
      </c>
      <c r="B10263">
        <v>36</v>
      </c>
      <c r="C10263" t="str">
        <f>CHOOSE(MATCH(B10263, {20,25,30,35,40,45,50,55,60,65,70,75,80,85}, 1), "20-24", "25-29", "30-34", "35-39", "40-44", "45-49", "50-54", "55-59", "60-64", "65-69", "70-74", "75-79", "80-84", "85+")</f>
        <v>35-39</v>
      </c>
      <c r="D10263" t="s">
        <v>7</v>
      </c>
    </row>
    <row r="10264" spans="1:4">
      <c r="A10264" t="s">
        <v>6</v>
      </c>
      <c r="B10264">
        <v>30</v>
      </c>
      <c r="C10264" t="str">
        <f>CHOOSE(MATCH(B10264, {20,25,30,35,40,45,50,55,60,65,70,75,80,85}, 1), "20-24", "25-29", "30-34", "35-39", "40-44", "45-49", "50-54", "55-59", "60-64", "65-69", "70-74", "75-79", "80-84", "85+")</f>
        <v>30-34</v>
      </c>
      <c r="D10264" t="s">
        <v>8</v>
      </c>
    </row>
    <row r="10265" spans="1:4">
      <c r="A10265" t="s">
        <v>6</v>
      </c>
      <c r="B10265">
        <v>41</v>
      </c>
      <c r="C10265" t="str">
        <f>CHOOSE(MATCH(B10265, {20,25,30,35,40,45,50,55,60,65,70,75,80,85}, 1), "20-24", "25-29", "30-34", "35-39", "40-44", "45-49", "50-54", "55-59", "60-64", "65-69", "70-74", "75-79", "80-84", "85+")</f>
        <v>40-44</v>
      </c>
      <c r="D10265" t="s">
        <v>7</v>
      </c>
    </row>
    <row r="10266" spans="1:4">
      <c r="A10266" t="s">
        <v>6</v>
      </c>
      <c r="B10266">
        <v>41</v>
      </c>
      <c r="C10266" t="str">
        <f>CHOOSE(MATCH(B10266, {20,25,30,35,40,45,50,55,60,65,70,75,80,85}, 1), "20-24", "25-29", "30-34", "35-39", "40-44", "45-49", "50-54", "55-59", "60-64", "65-69", "70-74", "75-79", "80-84", "85+")</f>
        <v>40-44</v>
      </c>
      <c r="D10266" t="s">
        <v>8</v>
      </c>
    </row>
    <row r="10267" spans="1:4">
      <c r="A10267" t="s">
        <v>6</v>
      </c>
      <c r="B10267">
        <v>21</v>
      </c>
      <c r="C10267" t="str">
        <f>CHOOSE(MATCH(B10267, {20,25,30,35,40,45,50,55,60,65,70,75,80,85}, 1), "20-24", "25-29", "30-34", "35-39", "40-44", "45-49", "50-54", "55-59", "60-64", "65-69", "70-74", "75-79", "80-84", "85+")</f>
        <v>20-24</v>
      </c>
      <c r="D10267" t="s">
        <v>7</v>
      </c>
    </row>
    <row r="10268" spans="1:4">
      <c r="A10268" t="s">
        <v>6</v>
      </c>
      <c r="B10268">
        <v>52</v>
      </c>
      <c r="C10268" t="str">
        <f>CHOOSE(MATCH(B10268, {20,25,30,35,40,45,50,55,60,65,70,75,80,85}, 1), "20-24", "25-29", "30-34", "35-39", "40-44", "45-49", "50-54", "55-59", "60-64", "65-69", "70-74", "75-79", "80-84", "85+")</f>
        <v>50-54</v>
      </c>
      <c r="D10268" t="s">
        <v>7</v>
      </c>
    </row>
    <row r="10269" spans="1:4">
      <c r="A10269" t="s">
        <v>6</v>
      </c>
      <c r="B10269">
        <v>62</v>
      </c>
      <c r="C10269" t="str">
        <f>CHOOSE(MATCH(B10269, {20,25,30,35,40,45,50,55,60,65,70,75,80,85}, 1), "20-24", "25-29", "30-34", "35-39", "40-44", "45-49", "50-54", "55-59", "60-64", "65-69", "70-74", "75-79", "80-84", "85+")</f>
        <v>60-64</v>
      </c>
      <c r="D10269" t="s">
        <v>7</v>
      </c>
    </row>
    <row r="10270" spans="1:4">
      <c r="A10270" t="s">
        <v>6</v>
      </c>
      <c r="B10270">
        <v>33</v>
      </c>
      <c r="C10270" t="str">
        <f>CHOOSE(MATCH(B10270, {20,25,30,35,40,45,50,55,60,65,70,75,80,85}, 1), "20-24", "25-29", "30-34", "35-39", "40-44", "45-49", "50-54", "55-59", "60-64", "65-69", "70-74", "75-79", "80-84", "85+")</f>
        <v>30-34</v>
      </c>
      <c r="D10270" t="s">
        <v>7</v>
      </c>
    </row>
    <row r="10271" spans="1:4">
      <c r="A10271" t="s">
        <v>6</v>
      </c>
      <c r="B10271">
        <v>38</v>
      </c>
      <c r="C10271" t="str">
        <f>CHOOSE(MATCH(B10271, {20,25,30,35,40,45,50,55,60,65,70,75,80,85}, 1), "20-24", "25-29", "30-34", "35-39", "40-44", "45-49", "50-54", "55-59", "60-64", "65-69", "70-74", "75-79", "80-84", "85+")</f>
        <v>35-39</v>
      </c>
      <c r="D10271" t="s">
        <v>7</v>
      </c>
    </row>
    <row r="10272" spans="1:4">
      <c r="A10272" t="s">
        <v>6</v>
      </c>
      <c r="B10272">
        <v>32</v>
      </c>
      <c r="C10272" t="str">
        <f>CHOOSE(MATCH(B10272, {20,25,30,35,40,45,50,55,60,65,70,75,80,85}, 1), "20-24", "25-29", "30-34", "35-39", "40-44", "45-49", "50-54", "55-59", "60-64", "65-69", "70-74", "75-79", "80-84", "85+")</f>
        <v>30-34</v>
      </c>
      <c r="D10272" t="s">
        <v>7</v>
      </c>
    </row>
    <row r="10273" spans="1:4">
      <c r="A10273" t="s">
        <v>6</v>
      </c>
      <c r="B10273">
        <v>47</v>
      </c>
      <c r="C10273" t="str">
        <f>CHOOSE(MATCH(B10273, {20,25,30,35,40,45,50,55,60,65,70,75,80,85}, 1), "20-24", "25-29", "30-34", "35-39", "40-44", "45-49", "50-54", "55-59", "60-64", "65-69", "70-74", "75-79", "80-84", "85+")</f>
        <v>45-49</v>
      </c>
      <c r="D10273" t="s">
        <v>7</v>
      </c>
    </row>
    <row r="10274" spans="1:4">
      <c r="A10274" t="s">
        <v>6</v>
      </c>
      <c r="B10274">
        <v>23</v>
      </c>
      <c r="C10274" t="str">
        <f>CHOOSE(MATCH(B10274, {20,25,30,35,40,45,50,55,60,65,70,75,80,85}, 1), "20-24", "25-29", "30-34", "35-39", "40-44", "45-49", "50-54", "55-59", "60-64", "65-69", "70-74", "75-79", "80-84", "85+")</f>
        <v>20-24</v>
      </c>
      <c r="D10274" t="s">
        <v>7</v>
      </c>
    </row>
    <row r="10275" spans="1:4">
      <c r="A10275" t="s">
        <v>6</v>
      </c>
      <c r="B10275">
        <v>38</v>
      </c>
      <c r="C10275" t="str">
        <f>CHOOSE(MATCH(B10275, {20,25,30,35,40,45,50,55,60,65,70,75,80,85}, 1), "20-24", "25-29", "30-34", "35-39", "40-44", "45-49", "50-54", "55-59", "60-64", "65-69", "70-74", "75-79", "80-84", "85+")</f>
        <v>35-39</v>
      </c>
      <c r="D10275" t="s">
        <v>7</v>
      </c>
    </row>
    <row r="10276" spans="1:4">
      <c r="A10276" t="s">
        <v>6</v>
      </c>
      <c r="B10276">
        <v>65</v>
      </c>
      <c r="C10276" t="str">
        <f>CHOOSE(MATCH(B10276, {20,25,30,35,40,45,50,55,60,65,70,75,80,85}, 1), "20-24", "25-29", "30-34", "35-39", "40-44", "45-49", "50-54", "55-59", "60-64", "65-69", "70-74", "75-79", "80-84", "85+")</f>
        <v>65-69</v>
      </c>
      <c r="D10276" t="s">
        <v>8</v>
      </c>
    </row>
    <row r="10277" spans="1:4">
      <c r="A10277" t="s">
        <v>6</v>
      </c>
      <c r="B10277">
        <v>55</v>
      </c>
      <c r="C10277" t="str">
        <f>CHOOSE(MATCH(B10277, {20,25,30,35,40,45,50,55,60,65,70,75,80,85}, 1), "20-24", "25-29", "30-34", "35-39", "40-44", "45-49", "50-54", "55-59", "60-64", "65-69", "70-74", "75-79", "80-84", "85+")</f>
        <v>55-59</v>
      </c>
      <c r="D10277" t="s">
        <v>8</v>
      </c>
    </row>
    <row r="10278" spans="1:4">
      <c r="A10278" t="s">
        <v>6</v>
      </c>
      <c r="B10278">
        <v>80</v>
      </c>
      <c r="C10278" t="str">
        <f>CHOOSE(MATCH(B10278, {20,25,30,35,40,45,50,55,60,65,70,75,80,85}, 1), "20-24", "25-29", "30-34", "35-39", "40-44", "45-49", "50-54", "55-59", "60-64", "65-69", "70-74", "75-79", "80-84", "85+")</f>
        <v>80-84</v>
      </c>
      <c r="D10278" t="s">
        <v>8</v>
      </c>
    </row>
    <row r="10279" spans="1:4">
      <c r="A10279" t="s">
        <v>6</v>
      </c>
      <c r="B10279">
        <v>45</v>
      </c>
      <c r="C10279" t="str">
        <f>CHOOSE(MATCH(B10279, {20,25,30,35,40,45,50,55,60,65,70,75,80,85}, 1), "20-24", "25-29", "30-34", "35-39", "40-44", "45-49", "50-54", "55-59", "60-64", "65-69", "70-74", "75-79", "80-84", "85+")</f>
        <v>45-49</v>
      </c>
      <c r="D10279" t="s">
        <v>7</v>
      </c>
    </row>
    <row r="10280" spans="1:4">
      <c r="A10280" t="s">
        <v>6</v>
      </c>
      <c r="B10280">
        <v>35</v>
      </c>
      <c r="C10280" t="str">
        <f>CHOOSE(MATCH(B10280, {20,25,30,35,40,45,50,55,60,65,70,75,80,85}, 1), "20-24", "25-29", "30-34", "35-39", "40-44", "45-49", "50-54", "55-59", "60-64", "65-69", "70-74", "75-79", "80-84", "85+")</f>
        <v>35-39</v>
      </c>
      <c r="D10280" t="s">
        <v>7</v>
      </c>
    </row>
    <row r="10281" spans="1:4">
      <c r="A10281" t="s">
        <v>6</v>
      </c>
      <c r="B10281">
        <v>50</v>
      </c>
      <c r="C10281" t="str">
        <f>CHOOSE(MATCH(B10281, {20,25,30,35,40,45,50,55,60,65,70,75,80,85}, 1), "20-24", "25-29", "30-34", "35-39", "40-44", "45-49", "50-54", "55-59", "60-64", "65-69", "70-74", "75-79", "80-84", "85+")</f>
        <v>50-54</v>
      </c>
      <c r="D10281" t="s">
        <v>8</v>
      </c>
    </row>
    <row r="10282" spans="1:4">
      <c r="A10282" t="s">
        <v>6</v>
      </c>
      <c r="B10282">
        <v>39</v>
      </c>
      <c r="C10282" t="str">
        <f>CHOOSE(MATCH(B10282, {20,25,30,35,40,45,50,55,60,65,70,75,80,85}, 1), "20-24", "25-29", "30-34", "35-39", "40-44", "45-49", "50-54", "55-59", "60-64", "65-69", "70-74", "75-79", "80-84", "85+")</f>
        <v>35-39</v>
      </c>
      <c r="D10282" t="s">
        <v>7</v>
      </c>
    </row>
    <row r="10283" spans="1:4">
      <c r="A10283" t="s">
        <v>6</v>
      </c>
      <c r="B10283">
        <v>40</v>
      </c>
      <c r="C10283" t="str">
        <f>CHOOSE(MATCH(B10283, {20,25,30,35,40,45,50,55,60,65,70,75,80,85}, 1), "20-24", "25-29", "30-34", "35-39", "40-44", "45-49", "50-54", "55-59", "60-64", "65-69", "70-74", "75-79", "80-84", "85+")</f>
        <v>40-44</v>
      </c>
      <c r="D10283" t="s">
        <v>8</v>
      </c>
    </row>
    <row r="10284" spans="1:4">
      <c r="A10284" t="s">
        <v>6</v>
      </c>
      <c r="B10284">
        <v>69</v>
      </c>
      <c r="C10284" t="str">
        <f>CHOOSE(MATCH(B10284, {20,25,30,35,40,45,50,55,60,65,70,75,80,85}, 1), "20-24", "25-29", "30-34", "35-39", "40-44", "45-49", "50-54", "55-59", "60-64", "65-69", "70-74", "75-79", "80-84", "85+")</f>
        <v>65-69</v>
      </c>
      <c r="D10284" t="s">
        <v>7</v>
      </c>
    </row>
    <row r="10285" spans="1:4">
      <c r="A10285" t="s">
        <v>6</v>
      </c>
      <c r="B10285">
        <v>50</v>
      </c>
      <c r="C10285" t="str">
        <f>CHOOSE(MATCH(B10285, {20,25,30,35,40,45,50,55,60,65,70,75,80,85}, 1), "20-24", "25-29", "30-34", "35-39", "40-44", "45-49", "50-54", "55-59", "60-64", "65-69", "70-74", "75-79", "80-84", "85+")</f>
        <v>50-54</v>
      </c>
      <c r="D10285" t="s">
        <v>8</v>
      </c>
    </row>
    <row r="10286" spans="1:4">
      <c r="A10286" t="s">
        <v>6</v>
      </c>
      <c r="B10286">
        <v>27</v>
      </c>
      <c r="C10286" t="str">
        <f>CHOOSE(MATCH(B10286, {20,25,30,35,40,45,50,55,60,65,70,75,80,85}, 1), "20-24", "25-29", "30-34", "35-39", "40-44", "45-49", "50-54", "55-59", "60-64", "65-69", "70-74", "75-79", "80-84", "85+")</f>
        <v>25-29</v>
      </c>
      <c r="D10286" t="s">
        <v>7</v>
      </c>
    </row>
    <row r="10287" spans="1:4">
      <c r="A10287" t="s">
        <v>6</v>
      </c>
      <c r="B10287">
        <v>45</v>
      </c>
      <c r="C10287" t="str">
        <f>CHOOSE(MATCH(B10287, {20,25,30,35,40,45,50,55,60,65,70,75,80,85}, 1), "20-24", "25-29", "30-34", "35-39", "40-44", "45-49", "50-54", "55-59", "60-64", "65-69", "70-74", "75-79", "80-84", "85+")</f>
        <v>45-49</v>
      </c>
      <c r="D10287" t="s">
        <v>8</v>
      </c>
    </row>
    <row r="10288" spans="1:4">
      <c r="A10288" t="s">
        <v>6</v>
      </c>
      <c r="B10288">
        <v>34</v>
      </c>
      <c r="C10288" t="str">
        <f>CHOOSE(MATCH(B10288, {20,25,30,35,40,45,50,55,60,65,70,75,80,85}, 1), "20-24", "25-29", "30-34", "35-39", "40-44", "45-49", "50-54", "55-59", "60-64", "65-69", "70-74", "75-79", "80-84", "85+")</f>
        <v>30-34</v>
      </c>
      <c r="D10288" t="s">
        <v>8</v>
      </c>
    </row>
    <row r="10289" spans="1:4">
      <c r="A10289" t="s">
        <v>6</v>
      </c>
      <c r="B10289">
        <v>39</v>
      </c>
      <c r="C10289" t="str">
        <f>CHOOSE(MATCH(B10289, {20,25,30,35,40,45,50,55,60,65,70,75,80,85}, 1), "20-24", "25-29", "30-34", "35-39", "40-44", "45-49", "50-54", "55-59", "60-64", "65-69", "70-74", "75-79", "80-84", "85+")</f>
        <v>35-39</v>
      </c>
      <c r="D10289" t="s">
        <v>7</v>
      </c>
    </row>
    <row r="10290" spans="1:4">
      <c r="A10290" t="s">
        <v>6</v>
      </c>
      <c r="B10290">
        <v>49</v>
      </c>
      <c r="C10290" t="str">
        <f>CHOOSE(MATCH(B10290, {20,25,30,35,40,45,50,55,60,65,70,75,80,85}, 1), "20-24", "25-29", "30-34", "35-39", "40-44", "45-49", "50-54", "55-59", "60-64", "65-69", "70-74", "75-79", "80-84", "85+")</f>
        <v>45-49</v>
      </c>
      <c r="D10290" t="s">
        <v>7</v>
      </c>
    </row>
    <row r="10291" spans="1:4">
      <c r="A10291" t="s">
        <v>6</v>
      </c>
      <c r="B10291">
        <v>45</v>
      </c>
      <c r="C10291" t="str">
        <f>CHOOSE(MATCH(B10291, {20,25,30,35,40,45,50,55,60,65,70,75,80,85}, 1), "20-24", "25-29", "30-34", "35-39", "40-44", "45-49", "50-54", "55-59", "60-64", "65-69", "70-74", "75-79", "80-84", "85+")</f>
        <v>45-49</v>
      </c>
      <c r="D10291" t="s">
        <v>8</v>
      </c>
    </row>
    <row r="10292" spans="1:4">
      <c r="A10292" t="s">
        <v>6</v>
      </c>
      <c r="B10292">
        <v>28</v>
      </c>
      <c r="C10292" t="str">
        <f>CHOOSE(MATCH(B10292, {20,25,30,35,40,45,50,55,60,65,70,75,80,85}, 1), "20-24", "25-29", "30-34", "35-39", "40-44", "45-49", "50-54", "55-59", "60-64", "65-69", "70-74", "75-79", "80-84", "85+")</f>
        <v>25-29</v>
      </c>
      <c r="D10292" t="s">
        <v>7</v>
      </c>
    </row>
    <row r="10293" spans="1:4">
      <c r="A10293" t="s">
        <v>6</v>
      </c>
      <c r="B10293">
        <v>74</v>
      </c>
      <c r="C10293" t="str">
        <f>CHOOSE(MATCH(B10293, {20,25,30,35,40,45,50,55,60,65,70,75,80,85}, 1), "20-24", "25-29", "30-34", "35-39", "40-44", "45-49", "50-54", "55-59", "60-64", "65-69", "70-74", "75-79", "80-84", "85+")</f>
        <v>70-74</v>
      </c>
      <c r="D10293" t="s">
        <v>7</v>
      </c>
    </row>
    <row r="10294" spans="1:4">
      <c r="A10294" t="s">
        <v>6</v>
      </c>
      <c r="B10294">
        <v>49</v>
      </c>
      <c r="C10294" t="str">
        <f>CHOOSE(MATCH(B10294, {20,25,30,35,40,45,50,55,60,65,70,75,80,85}, 1), "20-24", "25-29", "30-34", "35-39", "40-44", "45-49", "50-54", "55-59", "60-64", "65-69", "70-74", "75-79", "80-84", "85+")</f>
        <v>45-49</v>
      </c>
      <c r="D10294" t="s">
        <v>8</v>
      </c>
    </row>
    <row r="10295" spans="1:4">
      <c r="A10295" t="s">
        <v>6</v>
      </c>
      <c r="B10295">
        <v>46</v>
      </c>
      <c r="C10295" t="str">
        <f>CHOOSE(MATCH(B10295, {20,25,30,35,40,45,50,55,60,65,70,75,80,85}, 1), "20-24", "25-29", "30-34", "35-39", "40-44", "45-49", "50-54", "55-59", "60-64", "65-69", "70-74", "75-79", "80-84", "85+")</f>
        <v>45-49</v>
      </c>
      <c r="D10295" t="s">
        <v>8</v>
      </c>
    </row>
    <row r="10296" spans="1:4">
      <c r="A10296" t="s">
        <v>6</v>
      </c>
      <c r="B10296">
        <v>25</v>
      </c>
      <c r="C10296" t="str">
        <f>CHOOSE(MATCH(B10296, {20,25,30,35,40,45,50,55,60,65,70,75,80,85}, 1), "20-24", "25-29", "30-34", "35-39", "40-44", "45-49", "50-54", "55-59", "60-64", "65-69", "70-74", "75-79", "80-84", "85+")</f>
        <v>25-29</v>
      </c>
      <c r="D10296" t="s">
        <v>7</v>
      </c>
    </row>
    <row r="10297" spans="1:4">
      <c r="A10297" t="s">
        <v>6</v>
      </c>
      <c r="B10297">
        <v>31</v>
      </c>
      <c r="C10297" t="str">
        <f>CHOOSE(MATCH(B10297, {20,25,30,35,40,45,50,55,60,65,70,75,80,85}, 1), "20-24", "25-29", "30-34", "35-39", "40-44", "45-49", "50-54", "55-59", "60-64", "65-69", "70-74", "75-79", "80-84", "85+")</f>
        <v>30-34</v>
      </c>
      <c r="D10297" t="s">
        <v>7</v>
      </c>
    </row>
    <row r="10298" spans="1:4">
      <c r="A10298" t="s">
        <v>6</v>
      </c>
      <c r="B10298">
        <v>24</v>
      </c>
      <c r="C10298" t="str">
        <f>CHOOSE(MATCH(B10298, {20,25,30,35,40,45,50,55,60,65,70,75,80,85}, 1), "20-24", "25-29", "30-34", "35-39", "40-44", "45-49", "50-54", "55-59", "60-64", "65-69", "70-74", "75-79", "80-84", "85+")</f>
        <v>20-24</v>
      </c>
      <c r="D10298" t="s">
        <v>8</v>
      </c>
    </row>
    <row r="10299" spans="1:4">
      <c r="A10299" t="s">
        <v>6</v>
      </c>
      <c r="B10299">
        <v>65</v>
      </c>
      <c r="C10299" t="str">
        <f>CHOOSE(MATCH(B10299, {20,25,30,35,40,45,50,55,60,65,70,75,80,85}, 1), "20-24", "25-29", "30-34", "35-39", "40-44", "45-49", "50-54", "55-59", "60-64", "65-69", "70-74", "75-79", "80-84", "85+")</f>
        <v>65-69</v>
      </c>
      <c r="D10299" t="s">
        <v>7</v>
      </c>
    </row>
    <row r="10300" spans="1:4">
      <c r="A10300" t="s">
        <v>6</v>
      </c>
      <c r="B10300">
        <v>63</v>
      </c>
      <c r="C10300" t="str">
        <f>CHOOSE(MATCH(B10300, {20,25,30,35,40,45,50,55,60,65,70,75,80,85}, 1), "20-24", "25-29", "30-34", "35-39", "40-44", "45-49", "50-54", "55-59", "60-64", "65-69", "70-74", "75-79", "80-84", "85+")</f>
        <v>60-64</v>
      </c>
      <c r="D10300" t="s">
        <v>7</v>
      </c>
    </row>
    <row r="10301" spans="1:4">
      <c r="A10301" t="s">
        <v>6</v>
      </c>
      <c r="B10301">
        <v>50</v>
      </c>
      <c r="C10301" t="str">
        <f>CHOOSE(MATCH(B10301, {20,25,30,35,40,45,50,55,60,65,70,75,80,85}, 1), "20-24", "25-29", "30-34", "35-39", "40-44", "45-49", "50-54", "55-59", "60-64", "65-69", "70-74", "75-79", "80-84", "85+")</f>
        <v>50-54</v>
      </c>
      <c r="D10301" t="s">
        <v>8</v>
      </c>
    </row>
    <row r="10302" spans="1:4">
      <c r="A10302" t="s">
        <v>6</v>
      </c>
      <c r="B10302">
        <v>46</v>
      </c>
      <c r="C10302" t="str">
        <f>CHOOSE(MATCH(B10302, {20,25,30,35,40,45,50,55,60,65,70,75,80,85}, 1), "20-24", "25-29", "30-34", "35-39", "40-44", "45-49", "50-54", "55-59", "60-64", "65-69", "70-74", "75-79", "80-84", "85+")</f>
        <v>45-49</v>
      </c>
      <c r="D10302" t="s">
        <v>7</v>
      </c>
    </row>
    <row r="10303" spans="1:4">
      <c r="A10303" t="s">
        <v>6</v>
      </c>
      <c r="B10303">
        <v>29</v>
      </c>
      <c r="C10303" t="str">
        <f>CHOOSE(MATCH(B10303, {20,25,30,35,40,45,50,55,60,65,70,75,80,85}, 1), "20-24", "25-29", "30-34", "35-39", "40-44", "45-49", "50-54", "55-59", "60-64", "65-69", "70-74", "75-79", "80-84", "85+")</f>
        <v>25-29</v>
      </c>
      <c r="D10303" t="s">
        <v>7</v>
      </c>
    </row>
    <row r="10304" spans="1:4">
      <c r="A10304" t="s">
        <v>6</v>
      </c>
      <c r="B10304">
        <v>40</v>
      </c>
      <c r="C10304" t="str">
        <f>CHOOSE(MATCH(B10304, {20,25,30,35,40,45,50,55,60,65,70,75,80,85}, 1), "20-24", "25-29", "30-34", "35-39", "40-44", "45-49", "50-54", "55-59", "60-64", "65-69", "70-74", "75-79", "80-84", "85+")</f>
        <v>40-44</v>
      </c>
      <c r="D10304" t="s">
        <v>7</v>
      </c>
    </row>
    <row r="10305" spans="1:4">
      <c r="A10305" t="s">
        <v>6</v>
      </c>
      <c r="B10305">
        <v>28</v>
      </c>
      <c r="C10305" t="str">
        <f>CHOOSE(MATCH(B10305, {20,25,30,35,40,45,50,55,60,65,70,75,80,85}, 1), "20-24", "25-29", "30-34", "35-39", "40-44", "45-49", "50-54", "55-59", "60-64", "65-69", "70-74", "75-79", "80-84", "85+")</f>
        <v>25-29</v>
      </c>
      <c r="D10305" t="s">
        <v>7</v>
      </c>
    </row>
    <row r="10306" spans="1:4">
      <c r="A10306" t="s">
        <v>6</v>
      </c>
      <c r="B10306">
        <v>27</v>
      </c>
      <c r="C10306" t="str">
        <f>CHOOSE(MATCH(B10306, {20,25,30,35,40,45,50,55,60,65,70,75,80,85}, 1), "20-24", "25-29", "30-34", "35-39", "40-44", "45-49", "50-54", "55-59", "60-64", "65-69", "70-74", "75-79", "80-84", "85+")</f>
        <v>25-29</v>
      </c>
      <c r="D10306" t="s">
        <v>7</v>
      </c>
    </row>
    <row r="10307" spans="1:4">
      <c r="A10307" t="s">
        <v>6</v>
      </c>
      <c r="B10307">
        <v>55</v>
      </c>
      <c r="C10307" t="str">
        <f>CHOOSE(MATCH(B10307, {20,25,30,35,40,45,50,55,60,65,70,75,80,85}, 1), "20-24", "25-29", "30-34", "35-39", "40-44", "45-49", "50-54", "55-59", "60-64", "65-69", "70-74", "75-79", "80-84", "85+")</f>
        <v>55-59</v>
      </c>
      <c r="D10307" t="s">
        <v>7</v>
      </c>
    </row>
    <row r="10308" spans="1:4">
      <c r="A10308" t="s">
        <v>6</v>
      </c>
      <c r="B10308">
        <v>51</v>
      </c>
      <c r="C10308" t="str">
        <f>CHOOSE(MATCH(B10308, {20,25,30,35,40,45,50,55,60,65,70,75,80,85}, 1), "20-24", "25-29", "30-34", "35-39", "40-44", "45-49", "50-54", "55-59", "60-64", "65-69", "70-74", "75-79", "80-84", "85+")</f>
        <v>50-54</v>
      </c>
      <c r="D10308" t="s">
        <v>7</v>
      </c>
    </row>
    <row r="10309" spans="1:4">
      <c r="A10309" t="s">
        <v>6</v>
      </c>
      <c r="B10309">
        <v>24</v>
      </c>
      <c r="C10309" t="str">
        <f>CHOOSE(MATCH(B10309, {20,25,30,35,40,45,50,55,60,65,70,75,80,85}, 1), "20-24", "25-29", "30-34", "35-39", "40-44", "45-49", "50-54", "55-59", "60-64", "65-69", "70-74", "75-79", "80-84", "85+")</f>
        <v>20-24</v>
      </c>
      <c r="D10309" t="s">
        <v>7</v>
      </c>
    </row>
    <row r="10310" spans="1:4">
      <c r="A10310" t="s">
        <v>6</v>
      </c>
      <c r="B10310">
        <v>48</v>
      </c>
      <c r="C10310" t="str">
        <f>CHOOSE(MATCH(B10310, {20,25,30,35,40,45,50,55,60,65,70,75,80,85}, 1), "20-24", "25-29", "30-34", "35-39", "40-44", "45-49", "50-54", "55-59", "60-64", "65-69", "70-74", "75-79", "80-84", "85+")</f>
        <v>45-49</v>
      </c>
      <c r="D10310" t="s">
        <v>7</v>
      </c>
    </row>
    <row r="10311" spans="1:4">
      <c r="A10311" t="s">
        <v>6</v>
      </c>
      <c r="B10311">
        <v>43</v>
      </c>
      <c r="C10311" t="str">
        <f>CHOOSE(MATCH(B10311, {20,25,30,35,40,45,50,55,60,65,70,75,80,85}, 1), "20-24", "25-29", "30-34", "35-39", "40-44", "45-49", "50-54", "55-59", "60-64", "65-69", "70-74", "75-79", "80-84", "85+")</f>
        <v>40-44</v>
      </c>
      <c r="D10311" t="s">
        <v>8</v>
      </c>
    </row>
    <row r="10312" spans="1:4">
      <c r="A10312" t="s">
        <v>6</v>
      </c>
      <c r="B10312">
        <v>86</v>
      </c>
      <c r="C10312" t="str">
        <f>CHOOSE(MATCH(B10312, {20,25,30,35,40,45,50,55,60,65,70,75,80,85}, 1), "20-24", "25-29", "30-34", "35-39", "40-44", "45-49", "50-54", "55-59", "60-64", "65-69", "70-74", "75-79", "80-84", "85+")</f>
        <v>85+</v>
      </c>
      <c r="D10312" t="s">
        <v>8</v>
      </c>
    </row>
    <row r="10313" spans="1:4">
      <c r="A10313" t="s">
        <v>6</v>
      </c>
      <c r="B10313">
        <v>26</v>
      </c>
      <c r="C10313" t="str">
        <f>CHOOSE(MATCH(B10313, {20,25,30,35,40,45,50,55,60,65,70,75,80,85}, 1), "20-24", "25-29", "30-34", "35-39", "40-44", "45-49", "50-54", "55-59", "60-64", "65-69", "70-74", "75-79", "80-84", "85+")</f>
        <v>25-29</v>
      </c>
      <c r="D10313" t="s">
        <v>8</v>
      </c>
    </row>
    <row r="10314" spans="1:4">
      <c r="A10314" t="s">
        <v>6</v>
      </c>
      <c r="B10314">
        <v>37</v>
      </c>
      <c r="C10314" t="str">
        <f>CHOOSE(MATCH(B10314, {20,25,30,35,40,45,50,55,60,65,70,75,80,85}, 1), "20-24", "25-29", "30-34", "35-39", "40-44", "45-49", "50-54", "55-59", "60-64", "65-69", "70-74", "75-79", "80-84", "85+")</f>
        <v>35-39</v>
      </c>
      <c r="D10314" t="s">
        <v>7</v>
      </c>
    </row>
    <row r="10315" spans="1:4">
      <c r="A10315" t="s">
        <v>6</v>
      </c>
      <c r="B10315">
        <v>48</v>
      </c>
      <c r="C10315" t="str">
        <f>CHOOSE(MATCH(B10315, {20,25,30,35,40,45,50,55,60,65,70,75,80,85}, 1), "20-24", "25-29", "30-34", "35-39", "40-44", "45-49", "50-54", "55-59", "60-64", "65-69", "70-74", "75-79", "80-84", "85+")</f>
        <v>45-49</v>
      </c>
      <c r="D10315" t="s">
        <v>7</v>
      </c>
    </row>
    <row r="10316" spans="1:4">
      <c r="A10316" t="s">
        <v>6</v>
      </c>
      <c r="B10316">
        <v>24</v>
      </c>
      <c r="C10316" t="str">
        <f>CHOOSE(MATCH(B10316, {20,25,30,35,40,45,50,55,60,65,70,75,80,85}, 1), "20-24", "25-29", "30-34", "35-39", "40-44", "45-49", "50-54", "55-59", "60-64", "65-69", "70-74", "75-79", "80-84", "85+")</f>
        <v>20-24</v>
      </c>
      <c r="D10316" t="s">
        <v>7</v>
      </c>
    </row>
    <row r="10317" spans="1:4">
      <c r="A10317" t="s">
        <v>6</v>
      </c>
      <c r="B10317">
        <v>54</v>
      </c>
      <c r="C10317" t="str">
        <f>CHOOSE(MATCH(B10317, {20,25,30,35,40,45,50,55,60,65,70,75,80,85}, 1), "20-24", "25-29", "30-34", "35-39", "40-44", "45-49", "50-54", "55-59", "60-64", "65-69", "70-74", "75-79", "80-84", "85+")</f>
        <v>50-54</v>
      </c>
      <c r="D10317" t="s">
        <v>7</v>
      </c>
    </row>
    <row r="10318" spans="1:4">
      <c r="A10318" t="s">
        <v>6</v>
      </c>
      <c r="B10318">
        <v>36</v>
      </c>
      <c r="C10318" t="str">
        <f>CHOOSE(MATCH(B10318, {20,25,30,35,40,45,50,55,60,65,70,75,80,85}, 1), "20-24", "25-29", "30-34", "35-39", "40-44", "45-49", "50-54", "55-59", "60-64", "65-69", "70-74", "75-79", "80-84", "85+")</f>
        <v>35-39</v>
      </c>
      <c r="D10318" t="s">
        <v>8</v>
      </c>
    </row>
    <row r="10319" spans="1:4">
      <c r="A10319" t="s">
        <v>6</v>
      </c>
      <c r="B10319">
        <v>29</v>
      </c>
      <c r="C10319" t="str">
        <f>CHOOSE(MATCH(B10319, {20,25,30,35,40,45,50,55,60,65,70,75,80,85}, 1), "20-24", "25-29", "30-34", "35-39", "40-44", "45-49", "50-54", "55-59", "60-64", "65-69", "70-74", "75-79", "80-84", "85+")</f>
        <v>25-29</v>
      </c>
      <c r="D10319" t="s">
        <v>7</v>
      </c>
    </row>
    <row r="10320" spans="1:4">
      <c r="A10320" t="s">
        <v>6</v>
      </c>
      <c r="B10320">
        <v>79</v>
      </c>
      <c r="C10320" t="str">
        <f>CHOOSE(MATCH(B10320, {20,25,30,35,40,45,50,55,60,65,70,75,80,85}, 1), "20-24", "25-29", "30-34", "35-39", "40-44", "45-49", "50-54", "55-59", "60-64", "65-69", "70-74", "75-79", "80-84", "85+")</f>
        <v>75-79</v>
      </c>
      <c r="D10320" t="s">
        <v>7</v>
      </c>
    </row>
    <row r="10321" spans="1:4">
      <c r="A10321" t="s">
        <v>6</v>
      </c>
      <c r="B10321">
        <v>27</v>
      </c>
      <c r="C10321" t="str">
        <f>CHOOSE(MATCH(B10321, {20,25,30,35,40,45,50,55,60,65,70,75,80,85}, 1), "20-24", "25-29", "30-34", "35-39", "40-44", "45-49", "50-54", "55-59", "60-64", "65-69", "70-74", "75-79", "80-84", "85+")</f>
        <v>25-29</v>
      </c>
      <c r="D10321" t="s">
        <v>7</v>
      </c>
    </row>
    <row r="10322" spans="1:4">
      <c r="A10322" t="s">
        <v>6</v>
      </c>
      <c r="B10322">
        <v>52</v>
      </c>
      <c r="C10322" t="str">
        <f>CHOOSE(MATCH(B10322, {20,25,30,35,40,45,50,55,60,65,70,75,80,85}, 1), "20-24", "25-29", "30-34", "35-39", "40-44", "45-49", "50-54", "55-59", "60-64", "65-69", "70-74", "75-79", "80-84", "85+")</f>
        <v>50-54</v>
      </c>
      <c r="D10322" t="s">
        <v>8</v>
      </c>
    </row>
    <row r="10323" spans="1:4">
      <c r="A10323" t="s">
        <v>6</v>
      </c>
      <c r="B10323">
        <v>33</v>
      </c>
      <c r="C10323" t="str">
        <f>CHOOSE(MATCH(B10323, {20,25,30,35,40,45,50,55,60,65,70,75,80,85}, 1), "20-24", "25-29", "30-34", "35-39", "40-44", "45-49", "50-54", "55-59", "60-64", "65-69", "70-74", "75-79", "80-84", "85+")</f>
        <v>30-34</v>
      </c>
      <c r="D10323" t="s">
        <v>7</v>
      </c>
    </row>
    <row r="10324" spans="1:4">
      <c r="A10324" t="s">
        <v>6</v>
      </c>
      <c r="B10324">
        <v>71</v>
      </c>
      <c r="C10324" t="str">
        <f>CHOOSE(MATCH(B10324, {20,25,30,35,40,45,50,55,60,65,70,75,80,85}, 1), "20-24", "25-29", "30-34", "35-39", "40-44", "45-49", "50-54", "55-59", "60-64", "65-69", "70-74", "75-79", "80-84", "85+")</f>
        <v>70-74</v>
      </c>
      <c r="D10324" t="s">
        <v>7</v>
      </c>
    </row>
    <row r="10325" spans="1:4">
      <c r="A10325" t="s">
        <v>6</v>
      </c>
      <c r="B10325">
        <v>83</v>
      </c>
      <c r="C10325" t="str">
        <f>CHOOSE(MATCH(B10325, {20,25,30,35,40,45,50,55,60,65,70,75,80,85}, 1), "20-24", "25-29", "30-34", "35-39", "40-44", "45-49", "50-54", "55-59", "60-64", "65-69", "70-74", "75-79", "80-84", "85+")</f>
        <v>80-84</v>
      </c>
      <c r="D10325" t="s">
        <v>8</v>
      </c>
    </row>
    <row r="10326" spans="1:4">
      <c r="A10326" t="s">
        <v>6</v>
      </c>
      <c r="B10326">
        <v>31</v>
      </c>
      <c r="C10326" t="str">
        <f>CHOOSE(MATCH(B10326, {20,25,30,35,40,45,50,55,60,65,70,75,80,85}, 1), "20-24", "25-29", "30-34", "35-39", "40-44", "45-49", "50-54", "55-59", "60-64", "65-69", "70-74", "75-79", "80-84", "85+")</f>
        <v>30-34</v>
      </c>
      <c r="D10326" t="s">
        <v>8</v>
      </c>
    </row>
    <row r="10327" spans="1:4">
      <c r="A10327" t="s">
        <v>6</v>
      </c>
      <c r="B10327">
        <v>53</v>
      </c>
      <c r="C10327" t="str">
        <f>CHOOSE(MATCH(B10327, {20,25,30,35,40,45,50,55,60,65,70,75,80,85}, 1), "20-24", "25-29", "30-34", "35-39", "40-44", "45-49", "50-54", "55-59", "60-64", "65-69", "70-74", "75-79", "80-84", "85+")</f>
        <v>50-54</v>
      </c>
      <c r="D10327" t="s">
        <v>8</v>
      </c>
    </row>
    <row r="10328" spans="1:4">
      <c r="A10328" t="s">
        <v>6</v>
      </c>
      <c r="B10328">
        <v>38</v>
      </c>
      <c r="C10328" t="str">
        <f>CHOOSE(MATCH(B10328, {20,25,30,35,40,45,50,55,60,65,70,75,80,85}, 1), "20-24", "25-29", "30-34", "35-39", "40-44", "45-49", "50-54", "55-59", "60-64", "65-69", "70-74", "75-79", "80-84", "85+")</f>
        <v>35-39</v>
      </c>
      <c r="D10328" t="s">
        <v>7</v>
      </c>
    </row>
    <row r="10329" spans="1:4">
      <c r="A10329" t="s">
        <v>6</v>
      </c>
      <c r="B10329">
        <v>58</v>
      </c>
      <c r="C10329" t="str">
        <f>CHOOSE(MATCH(B10329, {20,25,30,35,40,45,50,55,60,65,70,75,80,85}, 1), "20-24", "25-29", "30-34", "35-39", "40-44", "45-49", "50-54", "55-59", "60-64", "65-69", "70-74", "75-79", "80-84", "85+")</f>
        <v>55-59</v>
      </c>
      <c r="D10329" t="s">
        <v>8</v>
      </c>
    </row>
    <row r="10330" spans="1:4">
      <c r="A10330" t="s">
        <v>6</v>
      </c>
      <c r="B10330">
        <v>45</v>
      </c>
      <c r="C10330" t="str">
        <f>CHOOSE(MATCH(B10330, {20,25,30,35,40,45,50,55,60,65,70,75,80,85}, 1), "20-24", "25-29", "30-34", "35-39", "40-44", "45-49", "50-54", "55-59", "60-64", "65-69", "70-74", "75-79", "80-84", "85+")</f>
        <v>45-49</v>
      </c>
      <c r="D10330" t="s">
        <v>7</v>
      </c>
    </row>
    <row r="10331" spans="1:4">
      <c r="A10331" t="s">
        <v>6</v>
      </c>
      <c r="B10331">
        <v>36</v>
      </c>
      <c r="C10331" t="str">
        <f>CHOOSE(MATCH(B10331, {20,25,30,35,40,45,50,55,60,65,70,75,80,85}, 1), "20-24", "25-29", "30-34", "35-39", "40-44", "45-49", "50-54", "55-59", "60-64", "65-69", "70-74", "75-79", "80-84", "85+")</f>
        <v>35-39</v>
      </c>
      <c r="D10331" t="s">
        <v>7</v>
      </c>
    </row>
    <row r="10332" spans="1:4">
      <c r="A10332" t="s">
        <v>6</v>
      </c>
      <c r="B10332">
        <v>50</v>
      </c>
      <c r="C10332" t="str">
        <f>CHOOSE(MATCH(B10332, {20,25,30,35,40,45,50,55,60,65,70,75,80,85}, 1), "20-24", "25-29", "30-34", "35-39", "40-44", "45-49", "50-54", "55-59", "60-64", "65-69", "70-74", "75-79", "80-84", "85+")</f>
        <v>50-54</v>
      </c>
      <c r="D10332" t="s">
        <v>7</v>
      </c>
    </row>
    <row r="10333" spans="1:4">
      <c r="A10333" t="s">
        <v>6</v>
      </c>
      <c r="B10333">
        <v>51</v>
      </c>
      <c r="C10333" t="str">
        <f>CHOOSE(MATCH(B10333, {20,25,30,35,40,45,50,55,60,65,70,75,80,85}, 1), "20-24", "25-29", "30-34", "35-39", "40-44", "45-49", "50-54", "55-59", "60-64", "65-69", "70-74", "75-79", "80-84", "85+")</f>
        <v>50-54</v>
      </c>
      <c r="D10333" t="s">
        <v>8</v>
      </c>
    </row>
    <row r="10334" spans="1:4">
      <c r="A10334" t="s">
        <v>6</v>
      </c>
      <c r="B10334">
        <v>86</v>
      </c>
      <c r="C10334" t="str">
        <f>CHOOSE(MATCH(B10334, {20,25,30,35,40,45,50,55,60,65,70,75,80,85}, 1), "20-24", "25-29", "30-34", "35-39", "40-44", "45-49", "50-54", "55-59", "60-64", "65-69", "70-74", "75-79", "80-84", "85+")</f>
        <v>85+</v>
      </c>
      <c r="D10334" t="s">
        <v>7</v>
      </c>
    </row>
    <row r="10335" spans="1:4">
      <c r="A10335" t="s">
        <v>6</v>
      </c>
      <c r="B10335">
        <v>62</v>
      </c>
      <c r="C10335" t="str">
        <f>CHOOSE(MATCH(B10335, {20,25,30,35,40,45,50,55,60,65,70,75,80,85}, 1), "20-24", "25-29", "30-34", "35-39", "40-44", "45-49", "50-54", "55-59", "60-64", "65-69", "70-74", "75-79", "80-84", "85+")</f>
        <v>60-64</v>
      </c>
      <c r="D10335" t="s">
        <v>8</v>
      </c>
    </row>
    <row r="10336" spans="1:4">
      <c r="A10336" t="s">
        <v>6</v>
      </c>
      <c r="B10336">
        <v>89</v>
      </c>
      <c r="C10336" t="str">
        <f>CHOOSE(MATCH(B10336, {20,25,30,35,40,45,50,55,60,65,70,75,80,85}, 1), "20-24", "25-29", "30-34", "35-39", "40-44", "45-49", "50-54", "55-59", "60-64", "65-69", "70-74", "75-79", "80-84", "85+")</f>
        <v>85+</v>
      </c>
      <c r="D10336" t="s">
        <v>8</v>
      </c>
    </row>
    <row r="10337" spans="1:4">
      <c r="A10337" t="s">
        <v>6</v>
      </c>
      <c r="B10337">
        <v>41</v>
      </c>
      <c r="C10337" t="str">
        <f>CHOOSE(MATCH(B10337, {20,25,30,35,40,45,50,55,60,65,70,75,80,85}, 1), "20-24", "25-29", "30-34", "35-39", "40-44", "45-49", "50-54", "55-59", "60-64", "65-69", "70-74", "75-79", "80-84", "85+")</f>
        <v>40-44</v>
      </c>
      <c r="D10337" t="s">
        <v>7</v>
      </c>
    </row>
    <row r="10338" spans="1:4">
      <c r="A10338" t="s">
        <v>6</v>
      </c>
      <c r="B10338">
        <v>46</v>
      </c>
      <c r="C10338" t="str">
        <f>CHOOSE(MATCH(B10338, {20,25,30,35,40,45,50,55,60,65,70,75,80,85}, 1), "20-24", "25-29", "30-34", "35-39", "40-44", "45-49", "50-54", "55-59", "60-64", "65-69", "70-74", "75-79", "80-84", "85+")</f>
        <v>45-49</v>
      </c>
      <c r="D10338" t="s">
        <v>7</v>
      </c>
    </row>
    <row r="10339" spans="1:4">
      <c r="A10339" t="s">
        <v>6</v>
      </c>
      <c r="B10339">
        <v>27</v>
      </c>
      <c r="C10339" t="str">
        <f>CHOOSE(MATCH(B10339, {20,25,30,35,40,45,50,55,60,65,70,75,80,85}, 1), "20-24", "25-29", "30-34", "35-39", "40-44", "45-49", "50-54", "55-59", "60-64", "65-69", "70-74", "75-79", "80-84", "85+")</f>
        <v>25-29</v>
      </c>
      <c r="D10339" t="s">
        <v>7</v>
      </c>
    </row>
    <row r="10340" spans="1:4">
      <c r="A10340" t="s">
        <v>6</v>
      </c>
      <c r="B10340">
        <v>76</v>
      </c>
      <c r="C10340" t="str">
        <f>CHOOSE(MATCH(B10340, {20,25,30,35,40,45,50,55,60,65,70,75,80,85}, 1), "20-24", "25-29", "30-34", "35-39", "40-44", "45-49", "50-54", "55-59", "60-64", "65-69", "70-74", "75-79", "80-84", "85+")</f>
        <v>75-79</v>
      </c>
      <c r="D10340" t="s">
        <v>8</v>
      </c>
    </row>
    <row r="10341" spans="1:4">
      <c r="A10341" t="s">
        <v>6</v>
      </c>
      <c r="B10341">
        <v>37</v>
      </c>
      <c r="C10341" t="str">
        <f>CHOOSE(MATCH(B10341, {20,25,30,35,40,45,50,55,60,65,70,75,80,85}, 1), "20-24", "25-29", "30-34", "35-39", "40-44", "45-49", "50-54", "55-59", "60-64", "65-69", "70-74", "75-79", "80-84", "85+")</f>
        <v>35-39</v>
      </c>
      <c r="D10341" t="s">
        <v>7</v>
      </c>
    </row>
    <row r="10342" spans="1:4">
      <c r="A10342" t="s">
        <v>6</v>
      </c>
      <c r="B10342">
        <v>33</v>
      </c>
      <c r="C10342" t="str">
        <f>CHOOSE(MATCH(B10342, {20,25,30,35,40,45,50,55,60,65,70,75,80,85}, 1), "20-24", "25-29", "30-34", "35-39", "40-44", "45-49", "50-54", "55-59", "60-64", "65-69", "70-74", "75-79", "80-84", "85+")</f>
        <v>30-34</v>
      </c>
      <c r="D10342" t="s">
        <v>8</v>
      </c>
    </row>
    <row r="10343" spans="1:4">
      <c r="A10343" t="s">
        <v>6</v>
      </c>
      <c r="B10343">
        <v>28</v>
      </c>
      <c r="C10343" t="str">
        <f>CHOOSE(MATCH(B10343, {20,25,30,35,40,45,50,55,60,65,70,75,80,85}, 1), "20-24", "25-29", "30-34", "35-39", "40-44", "45-49", "50-54", "55-59", "60-64", "65-69", "70-74", "75-79", "80-84", "85+")</f>
        <v>25-29</v>
      </c>
      <c r="D10343" t="s">
        <v>7</v>
      </c>
    </row>
    <row r="10344" spans="1:4">
      <c r="A10344" t="s">
        <v>6</v>
      </c>
      <c r="B10344">
        <v>47</v>
      </c>
      <c r="C10344" t="str">
        <f>CHOOSE(MATCH(B10344, {20,25,30,35,40,45,50,55,60,65,70,75,80,85}, 1), "20-24", "25-29", "30-34", "35-39", "40-44", "45-49", "50-54", "55-59", "60-64", "65-69", "70-74", "75-79", "80-84", "85+")</f>
        <v>45-49</v>
      </c>
      <c r="D10344" t="s">
        <v>7</v>
      </c>
    </row>
    <row r="10345" spans="1:4">
      <c r="A10345" t="s">
        <v>6</v>
      </c>
      <c r="B10345">
        <v>27</v>
      </c>
      <c r="C10345" t="str">
        <f>CHOOSE(MATCH(B10345, {20,25,30,35,40,45,50,55,60,65,70,75,80,85}, 1), "20-24", "25-29", "30-34", "35-39", "40-44", "45-49", "50-54", "55-59", "60-64", "65-69", "70-74", "75-79", "80-84", "85+")</f>
        <v>25-29</v>
      </c>
      <c r="D10345" t="s">
        <v>7</v>
      </c>
    </row>
    <row r="10346" spans="1:4">
      <c r="A10346" t="s">
        <v>6</v>
      </c>
      <c r="B10346">
        <v>37</v>
      </c>
      <c r="C10346" t="str">
        <f>CHOOSE(MATCH(B10346, {20,25,30,35,40,45,50,55,60,65,70,75,80,85}, 1), "20-24", "25-29", "30-34", "35-39", "40-44", "45-49", "50-54", "55-59", "60-64", "65-69", "70-74", "75-79", "80-84", "85+")</f>
        <v>35-39</v>
      </c>
      <c r="D10346" t="s">
        <v>8</v>
      </c>
    </row>
    <row r="10347" spans="1:4">
      <c r="A10347" t="s">
        <v>6</v>
      </c>
      <c r="B10347">
        <v>34</v>
      </c>
      <c r="C10347" t="str">
        <f>CHOOSE(MATCH(B10347, {20,25,30,35,40,45,50,55,60,65,70,75,80,85}, 1), "20-24", "25-29", "30-34", "35-39", "40-44", "45-49", "50-54", "55-59", "60-64", "65-69", "70-74", "75-79", "80-84", "85+")</f>
        <v>30-34</v>
      </c>
      <c r="D10347" t="s">
        <v>7</v>
      </c>
    </row>
    <row r="10348" spans="1:4">
      <c r="A10348" t="s">
        <v>6</v>
      </c>
      <c r="B10348">
        <v>32</v>
      </c>
      <c r="C10348" t="str">
        <f>CHOOSE(MATCH(B10348, {20,25,30,35,40,45,50,55,60,65,70,75,80,85}, 1), "20-24", "25-29", "30-34", "35-39", "40-44", "45-49", "50-54", "55-59", "60-64", "65-69", "70-74", "75-79", "80-84", "85+")</f>
        <v>30-34</v>
      </c>
      <c r="D10348" t="s">
        <v>7</v>
      </c>
    </row>
    <row r="10349" spans="1:4">
      <c r="A10349" t="s">
        <v>6</v>
      </c>
      <c r="B10349">
        <v>76</v>
      </c>
      <c r="C10349" t="str">
        <f>CHOOSE(MATCH(B10349, {20,25,30,35,40,45,50,55,60,65,70,75,80,85}, 1), "20-24", "25-29", "30-34", "35-39", "40-44", "45-49", "50-54", "55-59", "60-64", "65-69", "70-74", "75-79", "80-84", "85+")</f>
        <v>75-79</v>
      </c>
      <c r="D10349" t="s">
        <v>8</v>
      </c>
    </row>
    <row r="10350" spans="1:4">
      <c r="A10350" t="s">
        <v>6</v>
      </c>
      <c r="B10350">
        <v>53</v>
      </c>
      <c r="C10350" t="str">
        <f>CHOOSE(MATCH(B10350, {20,25,30,35,40,45,50,55,60,65,70,75,80,85}, 1), "20-24", "25-29", "30-34", "35-39", "40-44", "45-49", "50-54", "55-59", "60-64", "65-69", "70-74", "75-79", "80-84", "85+")</f>
        <v>50-54</v>
      </c>
      <c r="D10350" t="s">
        <v>8</v>
      </c>
    </row>
    <row r="10351" spans="1:4">
      <c r="A10351" t="s">
        <v>6</v>
      </c>
      <c r="B10351">
        <v>49</v>
      </c>
      <c r="C10351" t="str">
        <f>CHOOSE(MATCH(B10351, {20,25,30,35,40,45,50,55,60,65,70,75,80,85}, 1), "20-24", "25-29", "30-34", "35-39", "40-44", "45-49", "50-54", "55-59", "60-64", "65-69", "70-74", "75-79", "80-84", "85+")</f>
        <v>45-49</v>
      </c>
      <c r="D10351" t="s">
        <v>7</v>
      </c>
    </row>
    <row r="10352" spans="1:4">
      <c r="A10352" t="s">
        <v>6</v>
      </c>
      <c r="B10352">
        <v>82</v>
      </c>
      <c r="C10352" t="str">
        <f>CHOOSE(MATCH(B10352, {20,25,30,35,40,45,50,55,60,65,70,75,80,85}, 1), "20-24", "25-29", "30-34", "35-39", "40-44", "45-49", "50-54", "55-59", "60-64", "65-69", "70-74", "75-79", "80-84", "85+")</f>
        <v>80-84</v>
      </c>
      <c r="D10352" t="s">
        <v>7</v>
      </c>
    </row>
    <row r="10353" spans="1:4">
      <c r="A10353" t="s">
        <v>6</v>
      </c>
      <c r="B10353">
        <v>60</v>
      </c>
      <c r="C10353" t="str">
        <f>CHOOSE(MATCH(B10353, {20,25,30,35,40,45,50,55,60,65,70,75,80,85}, 1), "20-24", "25-29", "30-34", "35-39", "40-44", "45-49", "50-54", "55-59", "60-64", "65-69", "70-74", "75-79", "80-84", "85+")</f>
        <v>60-64</v>
      </c>
      <c r="D10353" t="s">
        <v>7</v>
      </c>
    </row>
    <row r="10354" spans="1:4">
      <c r="A10354" t="s">
        <v>6</v>
      </c>
      <c r="B10354">
        <v>49</v>
      </c>
      <c r="C10354" t="str">
        <f>CHOOSE(MATCH(B10354, {20,25,30,35,40,45,50,55,60,65,70,75,80,85}, 1), "20-24", "25-29", "30-34", "35-39", "40-44", "45-49", "50-54", "55-59", "60-64", "65-69", "70-74", "75-79", "80-84", "85+")</f>
        <v>45-49</v>
      </c>
      <c r="D10354" t="s">
        <v>8</v>
      </c>
    </row>
    <row r="10355" spans="1:4">
      <c r="A10355" t="s">
        <v>6</v>
      </c>
      <c r="B10355">
        <v>41</v>
      </c>
      <c r="C10355" t="str">
        <f>CHOOSE(MATCH(B10355, {20,25,30,35,40,45,50,55,60,65,70,75,80,85}, 1), "20-24", "25-29", "30-34", "35-39", "40-44", "45-49", "50-54", "55-59", "60-64", "65-69", "70-74", "75-79", "80-84", "85+")</f>
        <v>40-44</v>
      </c>
      <c r="D10355" t="s">
        <v>7</v>
      </c>
    </row>
    <row r="10356" spans="1:4">
      <c r="A10356" t="s">
        <v>6</v>
      </c>
      <c r="B10356">
        <v>42</v>
      </c>
      <c r="C10356" t="str">
        <f>CHOOSE(MATCH(B10356, {20,25,30,35,40,45,50,55,60,65,70,75,80,85}, 1), "20-24", "25-29", "30-34", "35-39", "40-44", "45-49", "50-54", "55-59", "60-64", "65-69", "70-74", "75-79", "80-84", "85+")</f>
        <v>40-44</v>
      </c>
      <c r="D10356" t="s">
        <v>7</v>
      </c>
    </row>
    <row r="10357" spans="1:4">
      <c r="A10357" t="s">
        <v>6</v>
      </c>
      <c r="B10357">
        <v>50</v>
      </c>
      <c r="C10357" t="str">
        <f>CHOOSE(MATCH(B10357, {20,25,30,35,40,45,50,55,60,65,70,75,80,85}, 1), "20-24", "25-29", "30-34", "35-39", "40-44", "45-49", "50-54", "55-59", "60-64", "65-69", "70-74", "75-79", "80-84", "85+")</f>
        <v>50-54</v>
      </c>
      <c r="D10357" t="s">
        <v>7</v>
      </c>
    </row>
    <row r="10358" spans="1:4">
      <c r="A10358" t="s">
        <v>6</v>
      </c>
      <c r="B10358">
        <v>33</v>
      </c>
      <c r="C10358" t="str">
        <f>CHOOSE(MATCH(B10358, {20,25,30,35,40,45,50,55,60,65,70,75,80,85}, 1), "20-24", "25-29", "30-34", "35-39", "40-44", "45-49", "50-54", "55-59", "60-64", "65-69", "70-74", "75-79", "80-84", "85+")</f>
        <v>30-34</v>
      </c>
      <c r="D10358" t="s">
        <v>7</v>
      </c>
    </row>
    <row r="10359" spans="1:4">
      <c r="A10359" t="s">
        <v>6</v>
      </c>
      <c r="B10359">
        <v>37</v>
      </c>
      <c r="C10359" t="str">
        <f>CHOOSE(MATCH(B10359, {20,25,30,35,40,45,50,55,60,65,70,75,80,85}, 1), "20-24", "25-29", "30-34", "35-39", "40-44", "45-49", "50-54", "55-59", "60-64", "65-69", "70-74", "75-79", "80-84", "85+")</f>
        <v>35-39</v>
      </c>
      <c r="D10359" t="s">
        <v>8</v>
      </c>
    </row>
    <row r="10360" spans="1:4">
      <c r="A10360" t="s">
        <v>6</v>
      </c>
      <c r="B10360">
        <v>35</v>
      </c>
      <c r="C10360" t="str">
        <f>CHOOSE(MATCH(B10360, {20,25,30,35,40,45,50,55,60,65,70,75,80,85}, 1), "20-24", "25-29", "30-34", "35-39", "40-44", "45-49", "50-54", "55-59", "60-64", "65-69", "70-74", "75-79", "80-84", "85+")</f>
        <v>35-39</v>
      </c>
      <c r="D10360" t="s">
        <v>8</v>
      </c>
    </row>
    <row r="10361" spans="1:4">
      <c r="A10361" t="s">
        <v>6</v>
      </c>
      <c r="B10361">
        <v>38</v>
      </c>
      <c r="C10361" t="str">
        <f>CHOOSE(MATCH(B10361, {20,25,30,35,40,45,50,55,60,65,70,75,80,85}, 1), "20-24", "25-29", "30-34", "35-39", "40-44", "45-49", "50-54", "55-59", "60-64", "65-69", "70-74", "75-79", "80-84", "85+")</f>
        <v>35-39</v>
      </c>
      <c r="D10361" t="s">
        <v>8</v>
      </c>
    </row>
    <row r="10362" spans="1:4">
      <c r="A10362" t="s">
        <v>6</v>
      </c>
      <c r="B10362">
        <v>37</v>
      </c>
      <c r="C10362" t="str">
        <f>CHOOSE(MATCH(B10362, {20,25,30,35,40,45,50,55,60,65,70,75,80,85}, 1), "20-24", "25-29", "30-34", "35-39", "40-44", "45-49", "50-54", "55-59", "60-64", "65-69", "70-74", "75-79", "80-84", "85+")</f>
        <v>35-39</v>
      </c>
      <c r="D10362" t="s">
        <v>8</v>
      </c>
    </row>
    <row r="10363" spans="1:4">
      <c r="A10363" t="s">
        <v>6</v>
      </c>
      <c r="B10363">
        <v>52</v>
      </c>
      <c r="C10363" t="str">
        <f>CHOOSE(MATCH(B10363, {20,25,30,35,40,45,50,55,60,65,70,75,80,85}, 1), "20-24", "25-29", "30-34", "35-39", "40-44", "45-49", "50-54", "55-59", "60-64", "65-69", "70-74", "75-79", "80-84", "85+")</f>
        <v>50-54</v>
      </c>
      <c r="D10363" t="s">
        <v>7</v>
      </c>
    </row>
    <row r="10364" spans="1:4">
      <c r="A10364" t="s">
        <v>6</v>
      </c>
      <c r="B10364">
        <v>52</v>
      </c>
      <c r="C10364" t="str">
        <f>CHOOSE(MATCH(B10364, {20,25,30,35,40,45,50,55,60,65,70,75,80,85}, 1), "20-24", "25-29", "30-34", "35-39", "40-44", "45-49", "50-54", "55-59", "60-64", "65-69", "70-74", "75-79", "80-84", "85+")</f>
        <v>50-54</v>
      </c>
      <c r="D10364" t="s">
        <v>7</v>
      </c>
    </row>
    <row r="10365" spans="1:4">
      <c r="A10365" t="s">
        <v>6</v>
      </c>
      <c r="B10365">
        <v>44</v>
      </c>
      <c r="C10365" t="str">
        <f>CHOOSE(MATCH(B10365, {20,25,30,35,40,45,50,55,60,65,70,75,80,85}, 1), "20-24", "25-29", "30-34", "35-39", "40-44", "45-49", "50-54", "55-59", "60-64", "65-69", "70-74", "75-79", "80-84", "85+")</f>
        <v>40-44</v>
      </c>
      <c r="D10365" t="s">
        <v>7</v>
      </c>
    </row>
    <row r="10366" spans="1:4">
      <c r="A10366" t="s">
        <v>6</v>
      </c>
      <c r="B10366">
        <v>45</v>
      </c>
      <c r="C10366" t="str">
        <f>CHOOSE(MATCH(B10366, {20,25,30,35,40,45,50,55,60,65,70,75,80,85}, 1), "20-24", "25-29", "30-34", "35-39", "40-44", "45-49", "50-54", "55-59", "60-64", "65-69", "70-74", "75-79", "80-84", "85+")</f>
        <v>45-49</v>
      </c>
      <c r="D10366" t="s">
        <v>7</v>
      </c>
    </row>
    <row r="10367" spans="1:4">
      <c r="A10367" t="s">
        <v>6</v>
      </c>
      <c r="B10367">
        <v>34</v>
      </c>
      <c r="C10367" t="str">
        <f>CHOOSE(MATCH(B10367, {20,25,30,35,40,45,50,55,60,65,70,75,80,85}, 1), "20-24", "25-29", "30-34", "35-39", "40-44", "45-49", "50-54", "55-59", "60-64", "65-69", "70-74", "75-79", "80-84", "85+")</f>
        <v>30-34</v>
      </c>
      <c r="D10367" t="s">
        <v>7</v>
      </c>
    </row>
    <row r="10368" spans="1:4">
      <c r="A10368" t="s">
        <v>6</v>
      </c>
      <c r="B10368">
        <v>30</v>
      </c>
      <c r="C10368" t="str">
        <f>CHOOSE(MATCH(B10368, {20,25,30,35,40,45,50,55,60,65,70,75,80,85}, 1), "20-24", "25-29", "30-34", "35-39", "40-44", "45-49", "50-54", "55-59", "60-64", "65-69", "70-74", "75-79", "80-84", "85+")</f>
        <v>30-34</v>
      </c>
      <c r="D10368" t="s">
        <v>8</v>
      </c>
    </row>
    <row r="10369" spans="1:4">
      <c r="A10369" t="s">
        <v>6</v>
      </c>
      <c r="B10369">
        <v>20</v>
      </c>
      <c r="C10369" t="str">
        <f>CHOOSE(MATCH(B10369, {20,25,30,35,40,45,50,55,60,65,70,75,80,85}, 1), "20-24", "25-29", "30-34", "35-39", "40-44", "45-49", "50-54", "55-59", "60-64", "65-69", "70-74", "75-79", "80-84", "85+")</f>
        <v>20-24</v>
      </c>
      <c r="D10369" t="s">
        <v>8</v>
      </c>
    </row>
    <row r="10370" spans="1:4">
      <c r="A10370" t="s">
        <v>6</v>
      </c>
      <c r="B10370">
        <v>51</v>
      </c>
      <c r="C10370" t="str">
        <f>CHOOSE(MATCH(B10370, {20,25,30,35,40,45,50,55,60,65,70,75,80,85}, 1), "20-24", "25-29", "30-34", "35-39", "40-44", "45-49", "50-54", "55-59", "60-64", "65-69", "70-74", "75-79", "80-84", "85+")</f>
        <v>50-54</v>
      </c>
      <c r="D10370" t="s">
        <v>8</v>
      </c>
    </row>
    <row r="10371" spans="1:4">
      <c r="A10371" t="s">
        <v>6</v>
      </c>
      <c r="B10371">
        <v>46</v>
      </c>
      <c r="C10371" t="str">
        <f>CHOOSE(MATCH(B10371, {20,25,30,35,40,45,50,55,60,65,70,75,80,85}, 1), "20-24", "25-29", "30-34", "35-39", "40-44", "45-49", "50-54", "55-59", "60-64", "65-69", "70-74", "75-79", "80-84", "85+")</f>
        <v>45-49</v>
      </c>
      <c r="D10371" t="s">
        <v>8</v>
      </c>
    </row>
    <row r="10372" spans="1:4">
      <c r="A10372" t="s">
        <v>6</v>
      </c>
      <c r="B10372">
        <v>36</v>
      </c>
      <c r="C10372" t="str">
        <f>CHOOSE(MATCH(B10372, {20,25,30,35,40,45,50,55,60,65,70,75,80,85}, 1), "20-24", "25-29", "30-34", "35-39", "40-44", "45-49", "50-54", "55-59", "60-64", "65-69", "70-74", "75-79", "80-84", "85+")</f>
        <v>35-39</v>
      </c>
      <c r="D10372" t="s">
        <v>7</v>
      </c>
    </row>
    <row r="10373" spans="1:4">
      <c r="A10373" t="s">
        <v>6</v>
      </c>
      <c r="B10373">
        <v>54</v>
      </c>
      <c r="C10373" t="str">
        <f>CHOOSE(MATCH(B10373, {20,25,30,35,40,45,50,55,60,65,70,75,80,85}, 1), "20-24", "25-29", "30-34", "35-39", "40-44", "45-49", "50-54", "55-59", "60-64", "65-69", "70-74", "75-79", "80-84", "85+")</f>
        <v>50-54</v>
      </c>
      <c r="D10373" t="s">
        <v>7</v>
      </c>
    </row>
    <row r="10374" spans="1:4">
      <c r="A10374" t="s">
        <v>6</v>
      </c>
      <c r="B10374">
        <v>56</v>
      </c>
      <c r="C10374" t="str">
        <f>CHOOSE(MATCH(B10374, {20,25,30,35,40,45,50,55,60,65,70,75,80,85}, 1), "20-24", "25-29", "30-34", "35-39", "40-44", "45-49", "50-54", "55-59", "60-64", "65-69", "70-74", "75-79", "80-84", "85+")</f>
        <v>55-59</v>
      </c>
      <c r="D10374" t="s">
        <v>7</v>
      </c>
    </row>
    <row r="10375" spans="1:4">
      <c r="A10375" t="s">
        <v>6</v>
      </c>
      <c r="B10375">
        <v>36</v>
      </c>
      <c r="C10375" t="str">
        <f>CHOOSE(MATCH(B10375, {20,25,30,35,40,45,50,55,60,65,70,75,80,85}, 1), "20-24", "25-29", "30-34", "35-39", "40-44", "45-49", "50-54", "55-59", "60-64", "65-69", "70-74", "75-79", "80-84", "85+")</f>
        <v>35-39</v>
      </c>
      <c r="D10375" t="s">
        <v>8</v>
      </c>
    </row>
    <row r="10376" spans="1:4">
      <c r="A10376" t="s">
        <v>6</v>
      </c>
      <c r="B10376">
        <v>30</v>
      </c>
      <c r="C10376" t="str">
        <f>CHOOSE(MATCH(B10376, {20,25,30,35,40,45,50,55,60,65,70,75,80,85}, 1), "20-24", "25-29", "30-34", "35-39", "40-44", "45-49", "50-54", "55-59", "60-64", "65-69", "70-74", "75-79", "80-84", "85+")</f>
        <v>30-34</v>
      </c>
      <c r="D10376" t="s">
        <v>7</v>
      </c>
    </row>
    <row r="10377" spans="1:4">
      <c r="A10377" t="s">
        <v>6</v>
      </c>
      <c r="B10377">
        <v>23</v>
      </c>
      <c r="C10377" t="str">
        <f>CHOOSE(MATCH(B10377, {20,25,30,35,40,45,50,55,60,65,70,75,80,85}, 1), "20-24", "25-29", "30-34", "35-39", "40-44", "45-49", "50-54", "55-59", "60-64", "65-69", "70-74", "75-79", "80-84", "85+")</f>
        <v>20-24</v>
      </c>
      <c r="D10377" t="s">
        <v>7</v>
      </c>
    </row>
    <row r="10378" spans="1:4">
      <c r="A10378" t="s">
        <v>6</v>
      </c>
      <c r="B10378">
        <v>64</v>
      </c>
      <c r="C10378" t="str">
        <f>CHOOSE(MATCH(B10378, {20,25,30,35,40,45,50,55,60,65,70,75,80,85}, 1), "20-24", "25-29", "30-34", "35-39", "40-44", "45-49", "50-54", "55-59", "60-64", "65-69", "70-74", "75-79", "80-84", "85+")</f>
        <v>60-64</v>
      </c>
      <c r="D10378" t="s">
        <v>7</v>
      </c>
    </row>
    <row r="10379" spans="1:4">
      <c r="A10379" t="s">
        <v>6</v>
      </c>
      <c r="B10379">
        <v>41</v>
      </c>
      <c r="C10379" t="str">
        <f>CHOOSE(MATCH(B10379, {20,25,30,35,40,45,50,55,60,65,70,75,80,85}, 1), "20-24", "25-29", "30-34", "35-39", "40-44", "45-49", "50-54", "55-59", "60-64", "65-69", "70-74", "75-79", "80-84", "85+")</f>
        <v>40-44</v>
      </c>
      <c r="D10379" t="s">
        <v>7</v>
      </c>
    </row>
    <row r="10380" spans="1:4">
      <c r="A10380" t="s">
        <v>6</v>
      </c>
      <c r="B10380">
        <v>34</v>
      </c>
      <c r="C10380" t="str">
        <f>CHOOSE(MATCH(B10380, {20,25,30,35,40,45,50,55,60,65,70,75,80,85}, 1), "20-24", "25-29", "30-34", "35-39", "40-44", "45-49", "50-54", "55-59", "60-64", "65-69", "70-74", "75-79", "80-84", "85+")</f>
        <v>30-34</v>
      </c>
      <c r="D10380" t="s">
        <v>7</v>
      </c>
    </row>
    <row r="10381" spans="1:4">
      <c r="A10381" t="s">
        <v>6</v>
      </c>
      <c r="B10381">
        <v>33</v>
      </c>
      <c r="C10381" t="str">
        <f>CHOOSE(MATCH(B10381, {20,25,30,35,40,45,50,55,60,65,70,75,80,85}, 1), "20-24", "25-29", "30-34", "35-39", "40-44", "45-49", "50-54", "55-59", "60-64", "65-69", "70-74", "75-79", "80-84", "85+")</f>
        <v>30-34</v>
      </c>
      <c r="D10381" t="s">
        <v>7</v>
      </c>
    </row>
    <row r="10382" spans="1:4">
      <c r="A10382" t="s">
        <v>6</v>
      </c>
      <c r="B10382">
        <v>33</v>
      </c>
      <c r="C10382" t="str">
        <f>CHOOSE(MATCH(B10382, {20,25,30,35,40,45,50,55,60,65,70,75,80,85}, 1), "20-24", "25-29", "30-34", "35-39", "40-44", "45-49", "50-54", "55-59", "60-64", "65-69", "70-74", "75-79", "80-84", "85+")</f>
        <v>30-34</v>
      </c>
      <c r="D10382" t="s">
        <v>8</v>
      </c>
    </row>
    <row r="10383" spans="1:4">
      <c r="A10383" t="s">
        <v>6</v>
      </c>
      <c r="B10383">
        <v>36</v>
      </c>
      <c r="C10383" t="str">
        <f>CHOOSE(MATCH(B10383, {20,25,30,35,40,45,50,55,60,65,70,75,80,85}, 1), "20-24", "25-29", "30-34", "35-39", "40-44", "45-49", "50-54", "55-59", "60-64", "65-69", "70-74", "75-79", "80-84", "85+")</f>
        <v>35-39</v>
      </c>
      <c r="D10383" t="s">
        <v>7</v>
      </c>
    </row>
    <row r="10384" spans="1:4">
      <c r="A10384" t="s">
        <v>6</v>
      </c>
      <c r="B10384">
        <v>39</v>
      </c>
      <c r="C10384" t="str">
        <f>CHOOSE(MATCH(B10384, {20,25,30,35,40,45,50,55,60,65,70,75,80,85}, 1), "20-24", "25-29", "30-34", "35-39", "40-44", "45-49", "50-54", "55-59", "60-64", "65-69", "70-74", "75-79", "80-84", "85+")</f>
        <v>35-39</v>
      </c>
      <c r="D10384" t="s">
        <v>7</v>
      </c>
    </row>
    <row r="10385" spans="1:4">
      <c r="A10385" t="s">
        <v>6</v>
      </c>
      <c r="B10385">
        <v>32</v>
      </c>
      <c r="C10385" t="str">
        <f>CHOOSE(MATCH(B10385, {20,25,30,35,40,45,50,55,60,65,70,75,80,85}, 1), "20-24", "25-29", "30-34", "35-39", "40-44", "45-49", "50-54", "55-59", "60-64", "65-69", "70-74", "75-79", "80-84", "85+")</f>
        <v>30-34</v>
      </c>
      <c r="D10385" t="s">
        <v>7</v>
      </c>
    </row>
    <row r="10386" spans="1:4">
      <c r="A10386" t="s">
        <v>6</v>
      </c>
      <c r="B10386">
        <v>45</v>
      </c>
      <c r="C10386" t="str">
        <f>CHOOSE(MATCH(B10386, {20,25,30,35,40,45,50,55,60,65,70,75,80,85}, 1), "20-24", "25-29", "30-34", "35-39", "40-44", "45-49", "50-54", "55-59", "60-64", "65-69", "70-74", "75-79", "80-84", "85+")</f>
        <v>45-49</v>
      </c>
      <c r="D10386" t="s">
        <v>8</v>
      </c>
    </row>
    <row r="10387" spans="1:4">
      <c r="A10387" t="s">
        <v>6</v>
      </c>
      <c r="B10387">
        <v>58</v>
      </c>
      <c r="C10387" t="str">
        <f>CHOOSE(MATCH(B10387, {20,25,30,35,40,45,50,55,60,65,70,75,80,85}, 1), "20-24", "25-29", "30-34", "35-39", "40-44", "45-49", "50-54", "55-59", "60-64", "65-69", "70-74", "75-79", "80-84", "85+")</f>
        <v>55-59</v>
      </c>
      <c r="D10387" t="s">
        <v>7</v>
      </c>
    </row>
    <row r="10388" spans="1:4">
      <c r="A10388" t="s">
        <v>6</v>
      </c>
      <c r="B10388">
        <v>35</v>
      </c>
      <c r="C10388" t="str">
        <f>CHOOSE(MATCH(B10388, {20,25,30,35,40,45,50,55,60,65,70,75,80,85}, 1), "20-24", "25-29", "30-34", "35-39", "40-44", "45-49", "50-54", "55-59", "60-64", "65-69", "70-74", "75-79", "80-84", "85+")</f>
        <v>35-39</v>
      </c>
      <c r="D10388" t="s">
        <v>8</v>
      </c>
    </row>
    <row r="10389" spans="1:4">
      <c r="A10389" t="s">
        <v>6</v>
      </c>
      <c r="B10389">
        <v>69</v>
      </c>
      <c r="C10389" t="str">
        <f>CHOOSE(MATCH(B10389, {20,25,30,35,40,45,50,55,60,65,70,75,80,85}, 1), "20-24", "25-29", "30-34", "35-39", "40-44", "45-49", "50-54", "55-59", "60-64", "65-69", "70-74", "75-79", "80-84", "85+")</f>
        <v>65-69</v>
      </c>
      <c r="D10389" t="s">
        <v>8</v>
      </c>
    </row>
    <row r="10390" spans="1:4">
      <c r="A10390" t="s">
        <v>6</v>
      </c>
      <c r="B10390">
        <v>35</v>
      </c>
      <c r="C10390" t="str">
        <f>CHOOSE(MATCH(B10390, {20,25,30,35,40,45,50,55,60,65,70,75,80,85}, 1), "20-24", "25-29", "30-34", "35-39", "40-44", "45-49", "50-54", "55-59", "60-64", "65-69", "70-74", "75-79", "80-84", "85+")</f>
        <v>35-39</v>
      </c>
      <c r="D10390" t="s">
        <v>7</v>
      </c>
    </row>
    <row r="10391" spans="1:4">
      <c r="A10391" t="s">
        <v>6</v>
      </c>
      <c r="B10391">
        <v>52</v>
      </c>
      <c r="C10391" t="str">
        <f>CHOOSE(MATCH(B10391, {20,25,30,35,40,45,50,55,60,65,70,75,80,85}, 1), "20-24", "25-29", "30-34", "35-39", "40-44", "45-49", "50-54", "55-59", "60-64", "65-69", "70-74", "75-79", "80-84", "85+")</f>
        <v>50-54</v>
      </c>
      <c r="D10391" t="s">
        <v>7</v>
      </c>
    </row>
    <row r="10392" spans="1:4">
      <c r="A10392" t="s">
        <v>6</v>
      </c>
      <c r="B10392">
        <v>31</v>
      </c>
      <c r="C10392" t="str">
        <f>CHOOSE(MATCH(B10392, {20,25,30,35,40,45,50,55,60,65,70,75,80,85}, 1), "20-24", "25-29", "30-34", "35-39", "40-44", "45-49", "50-54", "55-59", "60-64", "65-69", "70-74", "75-79", "80-84", "85+")</f>
        <v>30-34</v>
      </c>
      <c r="D10392" t="s">
        <v>8</v>
      </c>
    </row>
    <row r="10393" spans="1:4">
      <c r="A10393" t="s">
        <v>6</v>
      </c>
      <c r="B10393">
        <v>57</v>
      </c>
      <c r="C10393" t="str">
        <f>CHOOSE(MATCH(B10393, {20,25,30,35,40,45,50,55,60,65,70,75,80,85}, 1), "20-24", "25-29", "30-34", "35-39", "40-44", "45-49", "50-54", "55-59", "60-64", "65-69", "70-74", "75-79", "80-84", "85+")</f>
        <v>55-59</v>
      </c>
      <c r="D10393" t="s">
        <v>8</v>
      </c>
    </row>
    <row r="10394" spans="1:4">
      <c r="A10394" t="s">
        <v>6</v>
      </c>
      <c r="B10394">
        <v>32</v>
      </c>
      <c r="C10394" t="str">
        <f>CHOOSE(MATCH(B10394, {20,25,30,35,40,45,50,55,60,65,70,75,80,85}, 1), "20-24", "25-29", "30-34", "35-39", "40-44", "45-49", "50-54", "55-59", "60-64", "65-69", "70-74", "75-79", "80-84", "85+")</f>
        <v>30-34</v>
      </c>
      <c r="D10394" t="s">
        <v>7</v>
      </c>
    </row>
    <row r="10395" spans="1:4">
      <c r="A10395" t="s">
        <v>6</v>
      </c>
      <c r="B10395">
        <v>44</v>
      </c>
      <c r="C10395" t="str">
        <f>CHOOSE(MATCH(B10395, {20,25,30,35,40,45,50,55,60,65,70,75,80,85}, 1), "20-24", "25-29", "30-34", "35-39", "40-44", "45-49", "50-54", "55-59", "60-64", "65-69", "70-74", "75-79", "80-84", "85+")</f>
        <v>40-44</v>
      </c>
      <c r="D10395" t="s">
        <v>7</v>
      </c>
    </row>
    <row r="10396" spans="1:4">
      <c r="A10396" t="s">
        <v>6</v>
      </c>
      <c r="B10396">
        <v>26</v>
      </c>
      <c r="C10396" t="str">
        <f>CHOOSE(MATCH(B10396, {20,25,30,35,40,45,50,55,60,65,70,75,80,85}, 1), "20-24", "25-29", "30-34", "35-39", "40-44", "45-49", "50-54", "55-59", "60-64", "65-69", "70-74", "75-79", "80-84", "85+")</f>
        <v>25-29</v>
      </c>
      <c r="D10396" t="s">
        <v>8</v>
      </c>
    </row>
    <row r="10397" spans="1:4">
      <c r="A10397" t="s">
        <v>6</v>
      </c>
      <c r="B10397">
        <v>69</v>
      </c>
      <c r="C10397" t="str">
        <f>CHOOSE(MATCH(B10397, {20,25,30,35,40,45,50,55,60,65,70,75,80,85}, 1), "20-24", "25-29", "30-34", "35-39", "40-44", "45-49", "50-54", "55-59", "60-64", "65-69", "70-74", "75-79", "80-84", "85+")</f>
        <v>65-69</v>
      </c>
      <c r="D10397" t="s">
        <v>7</v>
      </c>
    </row>
    <row r="10398" spans="1:4">
      <c r="A10398" t="s">
        <v>6</v>
      </c>
      <c r="B10398">
        <v>48</v>
      </c>
      <c r="C10398" t="str">
        <f>CHOOSE(MATCH(B10398, {20,25,30,35,40,45,50,55,60,65,70,75,80,85}, 1), "20-24", "25-29", "30-34", "35-39", "40-44", "45-49", "50-54", "55-59", "60-64", "65-69", "70-74", "75-79", "80-84", "85+")</f>
        <v>45-49</v>
      </c>
      <c r="D10398" t="s">
        <v>8</v>
      </c>
    </row>
    <row r="10399" spans="1:4">
      <c r="A10399" t="s">
        <v>6</v>
      </c>
      <c r="B10399">
        <v>21</v>
      </c>
      <c r="C10399" t="str">
        <f>CHOOSE(MATCH(B10399, {20,25,30,35,40,45,50,55,60,65,70,75,80,85}, 1), "20-24", "25-29", "30-34", "35-39", "40-44", "45-49", "50-54", "55-59", "60-64", "65-69", "70-74", "75-79", "80-84", "85+")</f>
        <v>20-24</v>
      </c>
      <c r="D10399" t="s">
        <v>7</v>
      </c>
    </row>
    <row r="10400" spans="1:4">
      <c r="A10400" t="s">
        <v>6</v>
      </c>
      <c r="B10400">
        <v>25</v>
      </c>
      <c r="C10400" t="str">
        <f>CHOOSE(MATCH(B10400, {20,25,30,35,40,45,50,55,60,65,70,75,80,85}, 1), "20-24", "25-29", "30-34", "35-39", "40-44", "45-49", "50-54", "55-59", "60-64", "65-69", "70-74", "75-79", "80-84", "85+")</f>
        <v>25-29</v>
      </c>
      <c r="D10400" t="s">
        <v>7</v>
      </c>
    </row>
    <row r="10401" spans="1:4">
      <c r="A10401" t="s">
        <v>6</v>
      </c>
      <c r="B10401">
        <v>64</v>
      </c>
      <c r="C10401" t="str">
        <f>CHOOSE(MATCH(B10401, {20,25,30,35,40,45,50,55,60,65,70,75,80,85}, 1), "20-24", "25-29", "30-34", "35-39", "40-44", "45-49", "50-54", "55-59", "60-64", "65-69", "70-74", "75-79", "80-84", "85+")</f>
        <v>60-64</v>
      </c>
      <c r="D10401" t="s">
        <v>7</v>
      </c>
    </row>
    <row r="10402" spans="1:4">
      <c r="A10402" t="s">
        <v>6</v>
      </c>
      <c r="B10402">
        <v>53</v>
      </c>
      <c r="C10402" t="str">
        <f>CHOOSE(MATCH(B10402, {20,25,30,35,40,45,50,55,60,65,70,75,80,85}, 1), "20-24", "25-29", "30-34", "35-39", "40-44", "45-49", "50-54", "55-59", "60-64", "65-69", "70-74", "75-79", "80-84", "85+")</f>
        <v>50-54</v>
      </c>
      <c r="D10402" t="s">
        <v>8</v>
      </c>
    </row>
    <row r="10403" spans="1:4">
      <c r="A10403" t="s">
        <v>6</v>
      </c>
      <c r="B10403">
        <v>55</v>
      </c>
      <c r="C10403" t="str">
        <f>CHOOSE(MATCH(B10403, {20,25,30,35,40,45,50,55,60,65,70,75,80,85}, 1), "20-24", "25-29", "30-34", "35-39", "40-44", "45-49", "50-54", "55-59", "60-64", "65-69", "70-74", "75-79", "80-84", "85+")</f>
        <v>55-59</v>
      </c>
      <c r="D10403" t="s">
        <v>7</v>
      </c>
    </row>
    <row r="10404" spans="1:4">
      <c r="A10404" t="s">
        <v>6</v>
      </c>
      <c r="B10404">
        <v>80</v>
      </c>
      <c r="C10404" t="str">
        <f>CHOOSE(MATCH(B10404, {20,25,30,35,40,45,50,55,60,65,70,75,80,85}, 1), "20-24", "25-29", "30-34", "35-39", "40-44", "45-49", "50-54", "55-59", "60-64", "65-69", "70-74", "75-79", "80-84", "85+")</f>
        <v>80-84</v>
      </c>
      <c r="D10404" t="s">
        <v>7</v>
      </c>
    </row>
    <row r="10405" spans="1:4">
      <c r="A10405" t="s">
        <v>6</v>
      </c>
      <c r="B10405">
        <v>39</v>
      </c>
      <c r="C10405" t="str">
        <f>CHOOSE(MATCH(B10405, {20,25,30,35,40,45,50,55,60,65,70,75,80,85}, 1), "20-24", "25-29", "30-34", "35-39", "40-44", "45-49", "50-54", "55-59", "60-64", "65-69", "70-74", "75-79", "80-84", "85+")</f>
        <v>35-39</v>
      </c>
      <c r="D10405" t="s">
        <v>8</v>
      </c>
    </row>
    <row r="10406" spans="1:4">
      <c r="A10406" t="s">
        <v>6</v>
      </c>
      <c r="B10406">
        <v>51</v>
      </c>
      <c r="C10406" t="str">
        <f>CHOOSE(MATCH(B10406, {20,25,30,35,40,45,50,55,60,65,70,75,80,85}, 1), "20-24", "25-29", "30-34", "35-39", "40-44", "45-49", "50-54", "55-59", "60-64", "65-69", "70-74", "75-79", "80-84", "85+")</f>
        <v>50-54</v>
      </c>
      <c r="D10406" t="s">
        <v>7</v>
      </c>
    </row>
    <row r="10407" spans="1:4">
      <c r="A10407" t="s">
        <v>6</v>
      </c>
      <c r="B10407">
        <v>52</v>
      </c>
      <c r="C10407" t="str">
        <f>CHOOSE(MATCH(B10407, {20,25,30,35,40,45,50,55,60,65,70,75,80,85}, 1), "20-24", "25-29", "30-34", "35-39", "40-44", "45-49", "50-54", "55-59", "60-64", "65-69", "70-74", "75-79", "80-84", "85+")</f>
        <v>50-54</v>
      </c>
      <c r="D10407" t="s">
        <v>8</v>
      </c>
    </row>
    <row r="10408" spans="1:4">
      <c r="A10408" t="s">
        <v>6</v>
      </c>
      <c r="B10408">
        <v>35</v>
      </c>
      <c r="C10408" t="str">
        <f>CHOOSE(MATCH(B10408, {20,25,30,35,40,45,50,55,60,65,70,75,80,85}, 1), "20-24", "25-29", "30-34", "35-39", "40-44", "45-49", "50-54", "55-59", "60-64", "65-69", "70-74", "75-79", "80-84", "85+")</f>
        <v>35-39</v>
      </c>
      <c r="D10408" t="s">
        <v>8</v>
      </c>
    </row>
    <row r="10409" spans="1:4">
      <c r="A10409" t="s">
        <v>6</v>
      </c>
      <c r="B10409">
        <v>52</v>
      </c>
      <c r="C10409" t="str">
        <f>CHOOSE(MATCH(B10409, {20,25,30,35,40,45,50,55,60,65,70,75,80,85}, 1), "20-24", "25-29", "30-34", "35-39", "40-44", "45-49", "50-54", "55-59", "60-64", "65-69", "70-74", "75-79", "80-84", "85+")</f>
        <v>50-54</v>
      </c>
      <c r="D10409" t="s">
        <v>8</v>
      </c>
    </row>
    <row r="10410" spans="1:4">
      <c r="A10410" t="s">
        <v>6</v>
      </c>
      <c r="B10410">
        <v>74</v>
      </c>
      <c r="C10410" t="str">
        <f>CHOOSE(MATCH(B10410, {20,25,30,35,40,45,50,55,60,65,70,75,80,85}, 1), "20-24", "25-29", "30-34", "35-39", "40-44", "45-49", "50-54", "55-59", "60-64", "65-69", "70-74", "75-79", "80-84", "85+")</f>
        <v>70-74</v>
      </c>
      <c r="D10410" t="s">
        <v>7</v>
      </c>
    </row>
    <row r="10411" spans="1:4">
      <c r="A10411" t="s">
        <v>6</v>
      </c>
      <c r="B10411">
        <v>34</v>
      </c>
      <c r="C10411" t="str">
        <f>CHOOSE(MATCH(B10411, {20,25,30,35,40,45,50,55,60,65,70,75,80,85}, 1), "20-24", "25-29", "30-34", "35-39", "40-44", "45-49", "50-54", "55-59", "60-64", "65-69", "70-74", "75-79", "80-84", "85+")</f>
        <v>30-34</v>
      </c>
      <c r="D10411" t="s">
        <v>7</v>
      </c>
    </row>
    <row r="10412" spans="1:4">
      <c r="A10412" t="s">
        <v>6</v>
      </c>
      <c r="B10412">
        <v>33</v>
      </c>
      <c r="C10412" t="str">
        <f>CHOOSE(MATCH(B10412, {20,25,30,35,40,45,50,55,60,65,70,75,80,85}, 1), "20-24", "25-29", "30-34", "35-39", "40-44", "45-49", "50-54", "55-59", "60-64", "65-69", "70-74", "75-79", "80-84", "85+")</f>
        <v>30-34</v>
      </c>
      <c r="D10412" t="s">
        <v>7</v>
      </c>
    </row>
    <row r="10413" spans="1:4">
      <c r="A10413" t="s">
        <v>6</v>
      </c>
      <c r="B10413">
        <v>29</v>
      </c>
      <c r="C10413" t="str">
        <f>CHOOSE(MATCH(B10413, {20,25,30,35,40,45,50,55,60,65,70,75,80,85}, 1), "20-24", "25-29", "30-34", "35-39", "40-44", "45-49", "50-54", "55-59", "60-64", "65-69", "70-74", "75-79", "80-84", "85+")</f>
        <v>25-29</v>
      </c>
      <c r="D10413" t="s">
        <v>7</v>
      </c>
    </row>
    <row r="10414" spans="1:4">
      <c r="A10414" t="s">
        <v>6</v>
      </c>
      <c r="B10414">
        <v>63</v>
      </c>
      <c r="C10414" t="str">
        <f>CHOOSE(MATCH(B10414, {20,25,30,35,40,45,50,55,60,65,70,75,80,85}, 1), "20-24", "25-29", "30-34", "35-39", "40-44", "45-49", "50-54", "55-59", "60-64", "65-69", "70-74", "75-79", "80-84", "85+")</f>
        <v>60-64</v>
      </c>
      <c r="D10414" t="s">
        <v>7</v>
      </c>
    </row>
    <row r="10415" spans="1:4">
      <c r="A10415" t="s">
        <v>6</v>
      </c>
      <c r="B10415">
        <v>22</v>
      </c>
      <c r="C10415" t="str">
        <f>CHOOSE(MATCH(B10415, {20,25,30,35,40,45,50,55,60,65,70,75,80,85}, 1), "20-24", "25-29", "30-34", "35-39", "40-44", "45-49", "50-54", "55-59", "60-64", "65-69", "70-74", "75-79", "80-84", "85+")</f>
        <v>20-24</v>
      </c>
      <c r="D10415" t="s">
        <v>8</v>
      </c>
    </row>
    <row r="10416" spans="1:4">
      <c r="A10416" t="s">
        <v>6</v>
      </c>
      <c r="B10416">
        <v>37</v>
      </c>
      <c r="C10416" t="str">
        <f>CHOOSE(MATCH(B10416, {20,25,30,35,40,45,50,55,60,65,70,75,80,85}, 1), "20-24", "25-29", "30-34", "35-39", "40-44", "45-49", "50-54", "55-59", "60-64", "65-69", "70-74", "75-79", "80-84", "85+")</f>
        <v>35-39</v>
      </c>
      <c r="D10416" t="s">
        <v>7</v>
      </c>
    </row>
    <row r="10417" spans="1:4">
      <c r="A10417" t="s">
        <v>6</v>
      </c>
      <c r="B10417">
        <v>91</v>
      </c>
      <c r="C10417" t="str">
        <f>CHOOSE(MATCH(B10417, {20,25,30,35,40,45,50,55,60,65,70,75,80,85}, 1), "20-24", "25-29", "30-34", "35-39", "40-44", "45-49", "50-54", "55-59", "60-64", "65-69", "70-74", "75-79", "80-84", "85+")</f>
        <v>85+</v>
      </c>
      <c r="D10417" t="s">
        <v>7</v>
      </c>
    </row>
    <row r="10418" spans="1:4">
      <c r="A10418" t="s">
        <v>6</v>
      </c>
      <c r="B10418">
        <v>45</v>
      </c>
      <c r="C10418" t="str">
        <f>CHOOSE(MATCH(B10418, {20,25,30,35,40,45,50,55,60,65,70,75,80,85}, 1), "20-24", "25-29", "30-34", "35-39", "40-44", "45-49", "50-54", "55-59", "60-64", "65-69", "70-74", "75-79", "80-84", "85+")</f>
        <v>45-49</v>
      </c>
      <c r="D10418" t="s">
        <v>7</v>
      </c>
    </row>
    <row r="10419" spans="1:4">
      <c r="A10419" t="s">
        <v>6</v>
      </c>
      <c r="B10419">
        <v>55</v>
      </c>
      <c r="C10419" t="str">
        <f>CHOOSE(MATCH(B10419, {20,25,30,35,40,45,50,55,60,65,70,75,80,85}, 1), "20-24", "25-29", "30-34", "35-39", "40-44", "45-49", "50-54", "55-59", "60-64", "65-69", "70-74", "75-79", "80-84", "85+")</f>
        <v>55-59</v>
      </c>
      <c r="D10419" t="s">
        <v>8</v>
      </c>
    </row>
    <row r="10420" spans="1:4">
      <c r="A10420" t="s">
        <v>6</v>
      </c>
      <c r="B10420">
        <v>43</v>
      </c>
      <c r="C10420" t="str">
        <f>CHOOSE(MATCH(B10420, {20,25,30,35,40,45,50,55,60,65,70,75,80,85}, 1), "20-24", "25-29", "30-34", "35-39", "40-44", "45-49", "50-54", "55-59", "60-64", "65-69", "70-74", "75-79", "80-84", "85+")</f>
        <v>40-44</v>
      </c>
      <c r="D10420" t="s">
        <v>8</v>
      </c>
    </row>
    <row r="10421" spans="1:4">
      <c r="A10421" t="s">
        <v>6</v>
      </c>
      <c r="B10421">
        <v>69</v>
      </c>
      <c r="C10421" t="str">
        <f>CHOOSE(MATCH(B10421, {20,25,30,35,40,45,50,55,60,65,70,75,80,85}, 1), "20-24", "25-29", "30-34", "35-39", "40-44", "45-49", "50-54", "55-59", "60-64", "65-69", "70-74", "75-79", "80-84", "85+")</f>
        <v>65-69</v>
      </c>
      <c r="D10421" t="s">
        <v>7</v>
      </c>
    </row>
    <row r="10422" spans="1:4">
      <c r="A10422" t="s">
        <v>6</v>
      </c>
      <c r="B10422">
        <v>69</v>
      </c>
      <c r="C10422" t="str">
        <f>CHOOSE(MATCH(B10422, {20,25,30,35,40,45,50,55,60,65,70,75,80,85}, 1), "20-24", "25-29", "30-34", "35-39", "40-44", "45-49", "50-54", "55-59", "60-64", "65-69", "70-74", "75-79", "80-84", "85+")</f>
        <v>65-69</v>
      </c>
      <c r="D10422" t="s">
        <v>7</v>
      </c>
    </row>
    <row r="10423" spans="1:4">
      <c r="A10423" t="s">
        <v>6</v>
      </c>
      <c r="B10423">
        <v>57</v>
      </c>
      <c r="C10423" t="str">
        <f>CHOOSE(MATCH(B10423, {20,25,30,35,40,45,50,55,60,65,70,75,80,85}, 1), "20-24", "25-29", "30-34", "35-39", "40-44", "45-49", "50-54", "55-59", "60-64", "65-69", "70-74", "75-79", "80-84", "85+")</f>
        <v>55-59</v>
      </c>
      <c r="D10423" t="s">
        <v>7</v>
      </c>
    </row>
    <row r="10424" spans="1:4">
      <c r="A10424" t="s">
        <v>6</v>
      </c>
      <c r="B10424">
        <v>34</v>
      </c>
      <c r="C10424" t="str">
        <f>CHOOSE(MATCH(B10424, {20,25,30,35,40,45,50,55,60,65,70,75,80,85}, 1), "20-24", "25-29", "30-34", "35-39", "40-44", "45-49", "50-54", "55-59", "60-64", "65-69", "70-74", "75-79", "80-84", "85+")</f>
        <v>30-34</v>
      </c>
      <c r="D10424" t="s">
        <v>7</v>
      </c>
    </row>
    <row r="10425" spans="1:4">
      <c r="A10425" t="s">
        <v>6</v>
      </c>
      <c r="B10425">
        <v>32</v>
      </c>
      <c r="C10425" t="str">
        <f>CHOOSE(MATCH(B10425, {20,25,30,35,40,45,50,55,60,65,70,75,80,85}, 1), "20-24", "25-29", "30-34", "35-39", "40-44", "45-49", "50-54", "55-59", "60-64", "65-69", "70-74", "75-79", "80-84", "85+")</f>
        <v>30-34</v>
      </c>
      <c r="D10425" t="s">
        <v>7</v>
      </c>
    </row>
    <row r="10426" spans="1:4">
      <c r="A10426" t="s">
        <v>6</v>
      </c>
      <c r="B10426">
        <v>60</v>
      </c>
      <c r="C10426" t="str">
        <f>CHOOSE(MATCH(B10426, {20,25,30,35,40,45,50,55,60,65,70,75,80,85}, 1), "20-24", "25-29", "30-34", "35-39", "40-44", "45-49", "50-54", "55-59", "60-64", "65-69", "70-74", "75-79", "80-84", "85+")</f>
        <v>60-64</v>
      </c>
      <c r="D10426" t="s">
        <v>7</v>
      </c>
    </row>
    <row r="10427" spans="1:4">
      <c r="A10427" t="s">
        <v>6</v>
      </c>
      <c r="B10427">
        <v>35</v>
      </c>
      <c r="C10427" t="str">
        <f>CHOOSE(MATCH(B10427, {20,25,30,35,40,45,50,55,60,65,70,75,80,85}, 1), "20-24", "25-29", "30-34", "35-39", "40-44", "45-49", "50-54", "55-59", "60-64", "65-69", "70-74", "75-79", "80-84", "85+")</f>
        <v>35-39</v>
      </c>
      <c r="D10427" t="s">
        <v>7</v>
      </c>
    </row>
    <row r="10428" spans="1:4">
      <c r="A10428" t="s">
        <v>6</v>
      </c>
      <c r="B10428">
        <v>30</v>
      </c>
      <c r="C10428" t="str">
        <f>CHOOSE(MATCH(B10428, {20,25,30,35,40,45,50,55,60,65,70,75,80,85}, 1), "20-24", "25-29", "30-34", "35-39", "40-44", "45-49", "50-54", "55-59", "60-64", "65-69", "70-74", "75-79", "80-84", "85+")</f>
        <v>30-34</v>
      </c>
      <c r="D10428" t="s">
        <v>8</v>
      </c>
    </row>
    <row r="10429" spans="1:4">
      <c r="A10429" t="s">
        <v>6</v>
      </c>
      <c r="B10429">
        <v>27</v>
      </c>
      <c r="C10429" t="str">
        <f>CHOOSE(MATCH(B10429, {20,25,30,35,40,45,50,55,60,65,70,75,80,85}, 1), "20-24", "25-29", "30-34", "35-39", "40-44", "45-49", "50-54", "55-59", "60-64", "65-69", "70-74", "75-79", "80-84", "85+")</f>
        <v>25-29</v>
      </c>
      <c r="D10429" t="s">
        <v>7</v>
      </c>
    </row>
    <row r="10430" spans="1:4">
      <c r="A10430" t="s">
        <v>6</v>
      </c>
      <c r="B10430">
        <v>55</v>
      </c>
      <c r="C10430" t="str">
        <f>CHOOSE(MATCH(B10430, {20,25,30,35,40,45,50,55,60,65,70,75,80,85}, 1), "20-24", "25-29", "30-34", "35-39", "40-44", "45-49", "50-54", "55-59", "60-64", "65-69", "70-74", "75-79", "80-84", "85+")</f>
        <v>55-59</v>
      </c>
      <c r="D10430" t="s">
        <v>7</v>
      </c>
    </row>
    <row r="10431" spans="1:4">
      <c r="A10431" t="s">
        <v>6</v>
      </c>
      <c r="B10431">
        <v>34</v>
      </c>
      <c r="C10431" t="str">
        <f>CHOOSE(MATCH(B10431, {20,25,30,35,40,45,50,55,60,65,70,75,80,85}, 1), "20-24", "25-29", "30-34", "35-39", "40-44", "45-49", "50-54", "55-59", "60-64", "65-69", "70-74", "75-79", "80-84", "85+")</f>
        <v>30-34</v>
      </c>
      <c r="D10431" t="s">
        <v>7</v>
      </c>
    </row>
    <row r="10432" spans="1:4">
      <c r="A10432" t="s">
        <v>6</v>
      </c>
      <c r="B10432">
        <v>39</v>
      </c>
      <c r="C10432" t="str">
        <f>CHOOSE(MATCH(B10432, {20,25,30,35,40,45,50,55,60,65,70,75,80,85}, 1), "20-24", "25-29", "30-34", "35-39", "40-44", "45-49", "50-54", "55-59", "60-64", "65-69", "70-74", "75-79", "80-84", "85+")</f>
        <v>35-39</v>
      </c>
      <c r="D10432" t="s">
        <v>8</v>
      </c>
    </row>
    <row r="10433" spans="1:4">
      <c r="A10433" t="s">
        <v>6</v>
      </c>
      <c r="B10433">
        <v>34</v>
      </c>
      <c r="C10433" t="str">
        <f>CHOOSE(MATCH(B10433, {20,25,30,35,40,45,50,55,60,65,70,75,80,85}, 1), "20-24", "25-29", "30-34", "35-39", "40-44", "45-49", "50-54", "55-59", "60-64", "65-69", "70-74", "75-79", "80-84", "85+")</f>
        <v>30-34</v>
      </c>
      <c r="D10433" t="s">
        <v>7</v>
      </c>
    </row>
    <row r="10434" spans="1:4">
      <c r="A10434" t="s">
        <v>6</v>
      </c>
      <c r="B10434">
        <v>23</v>
      </c>
      <c r="C10434" t="str">
        <f>CHOOSE(MATCH(B10434, {20,25,30,35,40,45,50,55,60,65,70,75,80,85}, 1), "20-24", "25-29", "30-34", "35-39", "40-44", "45-49", "50-54", "55-59", "60-64", "65-69", "70-74", "75-79", "80-84", "85+")</f>
        <v>20-24</v>
      </c>
      <c r="D10434" t="s">
        <v>8</v>
      </c>
    </row>
    <row r="10435" spans="1:4">
      <c r="A10435" t="s">
        <v>6</v>
      </c>
      <c r="B10435">
        <v>73</v>
      </c>
      <c r="C10435" t="str">
        <f>CHOOSE(MATCH(B10435, {20,25,30,35,40,45,50,55,60,65,70,75,80,85}, 1), "20-24", "25-29", "30-34", "35-39", "40-44", "45-49", "50-54", "55-59", "60-64", "65-69", "70-74", "75-79", "80-84", "85+")</f>
        <v>70-74</v>
      </c>
      <c r="D10435" t="s">
        <v>8</v>
      </c>
    </row>
    <row r="10436" spans="1:4">
      <c r="A10436" t="s">
        <v>6</v>
      </c>
      <c r="B10436">
        <v>77</v>
      </c>
      <c r="C10436" t="str">
        <f>CHOOSE(MATCH(B10436, {20,25,30,35,40,45,50,55,60,65,70,75,80,85}, 1), "20-24", "25-29", "30-34", "35-39", "40-44", "45-49", "50-54", "55-59", "60-64", "65-69", "70-74", "75-79", "80-84", "85+")</f>
        <v>75-79</v>
      </c>
      <c r="D10436" t="s">
        <v>7</v>
      </c>
    </row>
    <row r="10437" spans="1:4">
      <c r="A10437" t="s">
        <v>6</v>
      </c>
      <c r="B10437">
        <v>39</v>
      </c>
      <c r="C10437" t="str">
        <f>CHOOSE(MATCH(B10437, {20,25,30,35,40,45,50,55,60,65,70,75,80,85}, 1), "20-24", "25-29", "30-34", "35-39", "40-44", "45-49", "50-54", "55-59", "60-64", "65-69", "70-74", "75-79", "80-84", "85+")</f>
        <v>35-39</v>
      </c>
      <c r="D10437" t="s">
        <v>7</v>
      </c>
    </row>
    <row r="10438" spans="1:4">
      <c r="A10438" t="s">
        <v>6</v>
      </c>
      <c r="B10438">
        <v>26</v>
      </c>
      <c r="C10438" t="str">
        <f>CHOOSE(MATCH(B10438, {20,25,30,35,40,45,50,55,60,65,70,75,80,85}, 1), "20-24", "25-29", "30-34", "35-39", "40-44", "45-49", "50-54", "55-59", "60-64", "65-69", "70-74", "75-79", "80-84", "85+")</f>
        <v>25-29</v>
      </c>
      <c r="D10438" t="s">
        <v>7</v>
      </c>
    </row>
    <row r="10439" spans="1:4">
      <c r="A10439" t="s">
        <v>6</v>
      </c>
      <c r="B10439">
        <v>30</v>
      </c>
      <c r="C10439" t="str">
        <f>CHOOSE(MATCH(B10439, {20,25,30,35,40,45,50,55,60,65,70,75,80,85}, 1), "20-24", "25-29", "30-34", "35-39", "40-44", "45-49", "50-54", "55-59", "60-64", "65-69", "70-74", "75-79", "80-84", "85+")</f>
        <v>30-34</v>
      </c>
      <c r="D10439" t="s">
        <v>8</v>
      </c>
    </row>
    <row r="10440" spans="1:4">
      <c r="A10440" t="s">
        <v>6</v>
      </c>
      <c r="B10440">
        <v>27</v>
      </c>
      <c r="C10440" t="str">
        <f>CHOOSE(MATCH(B10440, {20,25,30,35,40,45,50,55,60,65,70,75,80,85}, 1), "20-24", "25-29", "30-34", "35-39", "40-44", "45-49", "50-54", "55-59", "60-64", "65-69", "70-74", "75-79", "80-84", "85+")</f>
        <v>25-29</v>
      </c>
      <c r="D10440" t="s">
        <v>7</v>
      </c>
    </row>
    <row r="10441" spans="1:4">
      <c r="A10441" t="s">
        <v>6</v>
      </c>
      <c r="B10441">
        <v>24</v>
      </c>
      <c r="C10441" t="str">
        <f>CHOOSE(MATCH(B10441, {20,25,30,35,40,45,50,55,60,65,70,75,80,85}, 1), "20-24", "25-29", "30-34", "35-39", "40-44", "45-49", "50-54", "55-59", "60-64", "65-69", "70-74", "75-79", "80-84", "85+")</f>
        <v>20-24</v>
      </c>
      <c r="D10441" t="s">
        <v>7</v>
      </c>
    </row>
    <row r="10442" spans="1:4">
      <c r="A10442" t="s">
        <v>6</v>
      </c>
      <c r="B10442">
        <v>35</v>
      </c>
      <c r="C10442" t="str">
        <f>CHOOSE(MATCH(B10442, {20,25,30,35,40,45,50,55,60,65,70,75,80,85}, 1), "20-24", "25-29", "30-34", "35-39", "40-44", "45-49", "50-54", "55-59", "60-64", "65-69", "70-74", "75-79", "80-84", "85+")</f>
        <v>35-39</v>
      </c>
      <c r="D10442" t="s">
        <v>8</v>
      </c>
    </row>
    <row r="10443" spans="1:4">
      <c r="A10443" t="s">
        <v>6</v>
      </c>
      <c r="B10443">
        <v>34</v>
      </c>
      <c r="C10443" t="str">
        <f>CHOOSE(MATCH(B10443, {20,25,30,35,40,45,50,55,60,65,70,75,80,85}, 1), "20-24", "25-29", "30-34", "35-39", "40-44", "45-49", "50-54", "55-59", "60-64", "65-69", "70-74", "75-79", "80-84", "85+")</f>
        <v>30-34</v>
      </c>
      <c r="D10443" t="s">
        <v>8</v>
      </c>
    </row>
    <row r="10444" spans="1:4">
      <c r="A10444" t="s">
        <v>6</v>
      </c>
      <c r="B10444">
        <v>47</v>
      </c>
      <c r="C10444" t="str">
        <f>CHOOSE(MATCH(B10444, {20,25,30,35,40,45,50,55,60,65,70,75,80,85}, 1), "20-24", "25-29", "30-34", "35-39", "40-44", "45-49", "50-54", "55-59", "60-64", "65-69", "70-74", "75-79", "80-84", "85+")</f>
        <v>45-49</v>
      </c>
      <c r="D10444" t="s">
        <v>7</v>
      </c>
    </row>
    <row r="10445" spans="1:4">
      <c r="A10445" t="s">
        <v>6</v>
      </c>
      <c r="B10445">
        <v>24</v>
      </c>
      <c r="C10445" t="str">
        <f>CHOOSE(MATCH(B10445, {20,25,30,35,40,45,50,55,60,65,70,75,80,85}, 1), "20-24", "25-29", "30-34", "35-39", "40-44", "45-49", "50-54", "55-59", "60-64", "65-69", "70-74", "75-79", "80-84", "85+")</f>
        <v>20-24</v>
      </c>
      <c r="D10445" t="s">
        <v>7</v>
      </c>
    </row>
    <row r="10446" spans="1:4">
      <c r="A10446" t="s">
        <v>6</v>
      </c>
      <c r="B10446">
        <v>60</v>
      </c>
      <c r="C10446" t="str">
        <f>CHOOSE(MATCH(B10446, {20,25,30,35,40,45,50,55,60,65,70,75,80,85}, 1), "20-24", "25-29", "30-34", "35-39", "40-44", "45-49", "50-54", "55-59", "60-64", "65-69", "70-74", "75-79", "80-84", "85+")</f>
        <v>60-64</v>
      </c>
      <c r="D10446" t="s">
        <v>7</v>
      </c>
    </row>
    <row r="10447" spans="1:4">
      <c r="A10447" t="s">
        <v>6</v>
      </c>
      <c r="B10447">
        <v>53</v>
      </c>
      <c r="C10447" t="str">
        <f>CHOOSE(MATCH(B10447, {20,25,30,35,40,45,50,55,60,65,70,75,80,85}, 1), "20-24", "25-29", "30-34", "35-39", "40-44", "45-49", "50-54", "55-59", "60-64", "65-69", "70-74", "75-79", "80-84", "85+")</f>
        <v>50-54</v>
      </c>
      <c r="D10447" t="s">
        <v>8</v>
      </c>
    </row>
    <row r="10448" spans="1:4">
      <c r="A10448" t="s">
        <v>6</v>
      </c>
      <c r="B10448">
        <v>23</v>
      </c>
      <c r="C10448" t="str">
        <f>CHOOSE(MATCH(B10448, {20,25,30,35,40,45,50,55,60,65,70,75,80,85}, 1), "20-24", "25-29", "30-34", "35-39", "40-44", "45-49", "50-54", "55-59", "60-64", "65-69", "70-74", "75-79", "80-84", "85+")</f>
        <v>20-24</v>
      </c>
      <c r="D10448" t="s">
        <v>7</v>
      </c>
    </row>
    <row r="10449" spans="1:4">
      <c r="A10449" t="s">
        <v>6</v>
      </c>
      <c r="B10449">
        <v>27</v>
      </c>
      <c r="C10449" t="str">
        <f>CHOOSE(MATCH(B10449, {20,25,30,35,40,45,50,55,60,65,70,75,80,85}, 1), "20-24", "25-29", "30-34", "35-39", "40-44", "45-49", "50-54", "55-59", "60-64", "65-69", "70-74", "75-79", "80-84", "85+")</f>
        <v>25-29</v>
      </c>
      <c r="D10449" t="s">
        <v>7</v>
      </c>
    </row>
    <row r="10450" spans="1:4">
      <c r="A10450" t="s">
        <v>6</v>
      </c>
      <c r="B10450">
        <v>50</v>
      </c>
      <c r="C10450" t="str">
        <f>CHOOSE(MATCH(B10450, {20,25,30,35,40,45,50,55,60,65,70,75,80,85}, 1), "20-24", "25-29", "30-34", "35-39", "40-44", "45-49", "50-54", "55-59", "60-64", "65-69", "70-74", "75-79", "80-84", "85+")</f>
        <v>50-54</v>
      </c>
      <c r="D10450" t="s">
        <v>8</v>
      </c>
    </row>
    <row r="10451" spans="1:4">
      <c r="A10451" t="s">
        <v>6</v>
      </c>
      <c r="B10451">
        <v>23</v>
      </c>
      <c r="C10451" t="str">
        <f>CHOOSE(MATCH(B10451, {20,25,30,35,40,45,50,55,60,65,70,75,80,85}, 1), "20-24", "25-29", "30-34", "35-39", "40-44", "45-49", "50-54", "55-59", "60-64", "65-69", "70-74", "75-79", "80-84", "85+")</f>
        <v>20-24</v>
      </c>
      <c r="D10451" t="s">
        <v>7</v>
      </c>
    </row>
    <row r="10452" spans="1:4">
      <c r="A10452" t="s">
        <v>6</v>
      </c>
      <c r="B10452">
        <v>49</v>
      </c>
      <c r="C10452" t="str">
        <f>CHOOSE(MATCH(B10452, {20,25,30,35,40,45,50,55,60,65,70,75,80,85}, 1), "20-24", "25-29", "30-34", "35-39", "40-44", "45-49", "50-54", "55-59", "60-64", "65-69", "70-74", "75-79", "80-84", "85+")</f>
        <v>45-49</v>
      </c>
      <c r="D10452" t="s">
        <v>8</v>
      </c>
    </row>
    <row r="10453" spans="1:4">
      <c r="A10453" t="s">
        <v>6</v>
      </c>
      <c r="B10453">
        <v>56</v>
      </c>
      <c r="C10453" t="str">
        <f>CHOOSE(MATCH(B10453, {20,25,30,35,40,45,50,55,60,65,70,75,80,85}, 1), "20-24", "25-29", "30-34", "35-39", "40-44", "45-49", "50-54", "55-59", "60-64", "65-69", "70-74", "75-79", "80-84", "85+")</f>
        <v>55-59</v>
      </c>
      <c r="D10453" t="s">
        <v>8</v>
      </c>
    </row>
    <row r="10454" spans="1:4">
      <c r="A10454" t="s">
        <v>6</v>
      </c>
      <c r="B10454">
        <v>22</v>
      </c>
      <c r="C10454" t="str">
        <f>CHOOSE(MATCH(B10454, {20,25,30,35,40,45,50,55,60,65,70,75,80,85}, 1), "20-24", "25-29", "30-34", "35-39", "40-44", "45-49", "50-54", "55-59", "60-64", "65-69", "70-74", "75-79", "80-84", "85+")</f>
        <v>20-24</v>
      </c>
      <c r="D10454" t="s">
        <v>7</v>
      </c>
    </row>
    <row r="10455" spans="1:4">
      <c r="A10455" t="s">
        <v>6</v>
      </c>
      <c r="B10455">
        <v>30</v>
      </c>
      <c r="C10455" t="str">
        <f>CHOOSE(MATCH(B10455, {20,25,30,35,40,45,50,55,60,65,70,75,80,85}, 1), "20-24", "25-29", "30-34", "35-39", "40-44", "45-49", "50-54", "55-59", "60-64", "65-69", "70-74", "75-79", "80-84", "85+")</f>
        <v>30-34</v>
      </c>
      <c r="D10455" t="s">
        <v>7</v>
      </c>
    </row>
    <row r="10456" spans="1:4">
      <c r="A10456" t="s">
        <v>6</v>
      </c>
      <c r="B10456">
        <v>31</v>
      </c>
      <c r="C10456" t="str">
        <f>CHOOSE(MATCH(B10456, {20,25,30,35,40,45,50,55,60,65,70,75,80,85}, 1), "20-24", "25-29", "30-34", "35-39", "40-44", "45-49", "50-54", "55-59", "60-64", "65-69", "70-74", "75-79", "80-84", "85+")</f>
        <v>30-34</v>
      </c>
      <c r="D10456" t="s">
        <v>8</v>
      </c>
    </row>
    <row r="10457" spans="1:4">
      <c r="A10457" t="s">
        <v>6</v>
      </c>
      <c r="B10457">
        <v>42</v>
      </c>
      <c r="C10457" t="str">
        <f>CHOOSE(MATCH(B10457, {20,25,30,35,40,45,50,55,60,65,70,75,80,85}, 1), "20-24", "25-29", "30-34", "35-39", "40-44", "45-49", "50-54", "55-59", "60-64", "65-69", "70-74", "75-79", "80-84", "85+")</f>
        <v>40-44</v>
      </c>
      <c r="D10457" t="s">
        <v>7</v>
      </c>
    </row>
    <row r="10458" spans="1:4">
      <c r="A10458" t="s">
        <v>6</v>
      </c>
      <c r="B10458">
        <v>36</v>
      </c>
      <c r="C10458" t="str">
        <f>CHOOSE(MATCH(B10458, {20,25,30,35,40,45,50,55,60,65,70,75,80,85}, 1), "20-24", "25-29", "30-34", "35-39", "40-44", "45-49", "50-54", "55-59", "60-64", "65-69", "70-74", "75-79", "80-84", "85+")</f>
        <v>35-39</v>
      </c>
      <c r="D10458" t="s">
        <v>8</v>
      </c>
    </row>
    <row r="10459" spans="1:4">
      <c r="A10459" t="s">
        <v>6</v>
      </c>
      <c r="B10459">
        <v>47</v>
      </c>
      <c r="C10459" t="str">
        <f>CHOOSE(MATCH(B10459, {20,25,30,35,40,45,50,55,60,65,70,75,80,85}, 1), "20-24", "25-29", "30-34", "35-39", "40-44", "45-49", "50-54", "55-59", "60-64", "65-69", "70-74", "75-79", "80-84", "85+")</f>
        <v>45-49</v>
      </c>
      <c r="D10459" t="s">
        <v>7</v>
      </c>
    </row>
    <row r="10460" spans="1:4">
      <c r="A10460" t="s">
        <v>6</v>
      </c>
      <c r="B10460">
        <v>42</v>
      </c>
      <c r="C10460" t="str">
        <f>CHOOSE(MATCH(B10460, {20,25,30,35,40,45,50,55,60,65,70,75,80,85}, 1), "20-24", "25-29", "30-34", "35-39", "40-44", "45-49", "50-54", "55-59", "60-64", "65-69", "70-74", "75-79", "80-84", "85+")</f>
        <v>40-44</v>
      </c>
      <c r="D10460" t="s">
        <v>8</v>
      </c>
    </row>
    <row r="10461" spans="1:4">
      <c r="A10461" t="s">
        <v>6</v>
      </c>
      <c r="B10461">
        <v>38</v>
      </c>
      <c r="C10461" t="str">
        <f>CHOOSE(MATCH(B10461, {20,25,30,35,40,45,50,55,60,65,70,75,80,85}, 1), "20-24", "25-29", "30-34", "35-39", "40-44", "45-49", "50-54", "55-59", "60-64", "65-69", "70-74", "75-79", "80-84", "85+")</f>
        <v>35-39</v>
      </c>
      <c r="D10461" t="s">
        <v>7</v>
      </c>
    </row>
    <row r="10462" spans="1:4">
      <c r="A10462" t="s">
        <v>6</v>
      </c>
      <c r="B10462">
        <v>41</v>
      </c>
      <c r="C10462" t="str">
        <f>CHOOSE(MATCH(B10462, {20,25,30,35,40,45,50,55,60,65,70,75,80,85}, 1), "20-24", "25-29", "30-34", "35-39", "40-44", "45-49", "50-54", "55-59", "60-64", "65-69", "70-74", "75-79", "80-84", "85+")</f>
        <v>40-44</v>
      </c>
      <c r="D10462" t="s">
        <v>8</v>
      </c>
    </row>
    <row r="10463" spans="1:4">
      <c r="A10463" t="s">
        <v>6</v>
      </c>
      <c r="B10463">
        <v>23</v>
      </c>
      <c r="C10463" t="str">
        <f>CHOOSE(MATCH(B10463, {20,25,30,35,40,45,50,55,60,65,70,75,80,85}, 1), "20-24", "25-29", "30-34", "35-39", "40-44", "45-49", "50-54", "55-59", "60-64", "65-69", "70-74", "75-79", "80-84", "85+")</f>
        <v>20-24</v>
      </c>
      <c r="D10463" t="s">
        <v>7</v>
      </c>
    </row>
    <row r="10464" spans="1:4">
      <c r="A10464" t="s">
        <v>6</v>
      </c>
      <c r="B10464">
        <v>40</v>
      </c>
      <c r="C10464" t="str">
        <f>CHOOSE(MATCH(B10464, {20,25,30,35,40,45,50,55,60,65,70,75,80,85}, 1), "20-24", "25-29", "30-34", "35-39", "40-44", "45-49", "50-54", "55-59", "60-64", "65-69", "70-74", "75-79", "80-84", "85+")</f>
        <v>40-44</v>
      </c>
      <c r="D10464" t="s">
        <v>7</v>
      </c>
    </row>
    <row r="10465" spans="1:4">
      <c r="A10465" t="s">
        <v>6</v>
      </c>
      <c r="B10465">
        <v>34</v>
      </c>
      <c r="C10465" t="str">
        <f>CHOOSE(MATCH(B10465, {20,25,30,35,40,45,50,55,60,65,70,75,80,85}, 1), "20-24", "25-29", "30-34", "35-39", "40-44", "45-49", "50-54", "55-59", "60-64", "65-69", "70-74", "75-79", "80-84", "85+")</f>
        <v>30-34</v>
      </c>
      <c r="D10465" t="s">
        <v>7</v>
      </c>
    </row>
    <row r="10466" spans="1:4">
      <c r="A10466" t="s">
        <v>6</v>
      </c>
      <c r="B10466">
        <v>42</v>
      </c>
      <c r="C10466" t="str">
        <f>CHOOSE(MATCH(B10466, {20,25,30,35,40,45,50,55,60,65,70,75,80,85}, 1), "20-24", "25-29", "30-34", "35-39", "40-44", "45-49", "50-54", "55-59", "60-64", "65-69", "70-74", "75-79", "80-84", "85+")</f>
        <v>40-44</v>
      </c>
      <c r="D10466" t="s">
        <v>7</v>
      </c>
    </row>
    <row r="10467" spans="1:4">
      <c r="A10467" t="s">
        <v>6</v>
      </c>
      <c r="B10467">
        <v>33</v>
      </c>
      <c r="C10467" t="str">
        <f>CHOOSE(MATCH(B10467, {20,25,30,35,40,45,50,55,60,65,70,75,80,85}, 1), "20-24", "25-29", "30-34", "35-39", "40-44", "45-49", "50-54", "55-59", "60-64", "65-69", "70-74", "75-79", "80-84", "85+")</f>
        <v>30-34</v>
      </c>
      <c r="D10467" t="s">
        <v>8</v>
      </c>
    </row>
    <row r="10468" spans="1:4">
      <c r="A10468" t="s">
        <v>6</v>
      </c>
      <c r="B10468">
        <v>62</v>
      </c>
      <c r="C10468" t="str">
        <f>CHOOSE(MATCH(B10468, {20,25,30,35,40,45,50,55,60,65,70,75,80,85}, 1), "20-24", "25-29", "30-34", "35-39", "40-44", "45-49", "50-54", "55-59", "60-64", "65-69", "70-74", "75-79", "80-84", "85+")</f>
        <v>60-64</v>
      </c>
      <c r="D10468" t="s">
        <v>7</v>
      </c>
    </row>
    <row r="10469" spans="1:4">
      <c r="A10469" t="s">
        <v>6</v>
      </c>
      <c r="B10469">
        <v>27</v>
      </c>
      <c r="C10469" t="str">
        <f>CHOOSE(MATCH(B10469, {20,25,30,35,40,45,50,55,60,65,70,75,80,85}, 1), "20-24", "25-29", "30-34", "35-39", "40-44", "45-49", "50-54", "55-59", "60-64", "65-69", "70-74", "75-79", "80-84", "85+")</f>
        <v>25-29</v>
      </c>
      <c r="D10469" t="s">
        <v>7</v>
      </c>
    </row>
    <row r="10470" spans="1:4">
      <c r="A10470" t="s">
        <v>6</v>
      </c>
      <c r="B10470">
        <v>29</v>
      </c>
      <c r="C10470" t="str">
        <f>CHOOSE(MATCH(B10470, {20,25,30,35,40,45,50,55,60,65,70,75,80,85}, 1), "20-24", "25-29", "30-34", "35-39", "40-44", "45-49", "50-54", "55-59", "60-64", "65-69", "70-74", "75-79", "80-84", "85+")</f>
        <v>25-29</v>
      </c>
      <c r="D10470" t="s">
        <v>7</v>
      </c>
    </row>
    <row r="10471" spans="1:4">
      <c r="A10471" t="s">
        <v>6</v>
      </c>
      <c r="B10471">
        <v>26</v>
      </c>
      <c r="C10471" t="str">
        <f>CHOOSE(MATCH(B10471, {20,25,30,35,40,45,50,55,60,65,70,75,80,85}, 1), "20-24", "25-29", "30-34", "35-39", "40-44", "45-49", "50-54", "55-59", "60-64", "65-69", "70-74", "75-79", "80-84", "85+")</f>
        <v>25-29</v>
      </c>
      <c r="D10471" t="s">
        <v>7</v>
      </c>
    </row>
    <row r="10472" spans="1:4">
      <c r="A10472" t="s">
        <v>6</v>
      </c>
      <c r="B10472">
        <v>34</v>
      </c>
      <c r="C10472" t="str">
        <f>CHOOSE(MATCH(B10472, {20,25,30,35,40,45,50,55,60,65,70,75,80,85}, 1), "20-24", "25-29", "30-34", "35-39", "40-44", "45-49", "50-54", "55-59", "60-64", "65-69", "70-74", "75-79", "80-84", "85+")</f>
        <v>30-34</v>
      </c>
      <c r="D10472" t="s">
        <v>7</v>
      </c>
    </row>
    <row r="10473" spans="1:4">
      <c r="A10473" t="s">
        <v>6</v>
      </c>
      <c r="B10473">
        <v>35</v>
      </c>
      <c r="C10473" t="str">
        <f>CHOOSE(MATCH(B10473, {20,25,30,35,40,45,50,55,60,65,70,75,80,85}, 1), "20-24", "25-29", "30-34", "35-39", "40-44", "45-49", "50-54", "55-59", "60-64", "65-69", "70-74", "75-79", "80-84", "85+")</f>
        <v>35-39</v>
      </c>
      <c r="D10473" t="s">
        <v>8</v>
      </c>
    </row>
    <row r="10474" spans="1:4">
      <c r="A10474" t="s">
        <v>6</v>
      </c>
      <c r="B10474">
        <v>53</v>
      </c>
      <c r="C10474" t="str">
        <f>CHOOSE(MATCH(B10474, {20,25,30,35,40,45,50,55,60,65,70,75,80,85}, 1), "20-24", "25-29", "30-34", "35-39", "40-44", "45-49", "50-54", "55-59", "60-64", "65-69", "70-74", "75-79", "80-84", "85+")</f>
        <v>50-54</v>
      </c>
      <c r="D10474" t="s">
        <v>7</v>
      </c>
    </row>
    <row r="10475" spans="1:4">
      <c r="A10475" t="s">
        <v>6</v>
      </c>
      <c r="B10475">
        <v>60</v>
      </c>
      <c r="C10475" t="str">
        <f>CHOOSE(MATCH(B10475, {20,25,30,35,40,45,50,55,60,65,70,75,80,85}, 1), "20-24", "25-29", "30-34", "35-39", "40-44", "45-49", "50-54", "55-59", "60-64", "65-69", "70-74", "75-79", "80-84", "85+")</f>
        <v>60-64</v>
      </c>
      <c r="D10475" t="s">
        <v>8</v>
      </c>
    </row>
    <row r="10476" spans="1:4">
      <c r="A10476" t="s">
        <v>6</v>
      </c>
      <c r="B10476">
        <v>35</v>
      </c>
      <c r="C10476" t="str">
        <f>CHOOSE(MATCH(B10476, {20,25,30,35,40,45,50,55,60,65,70,75,80,85}, 1), "20-24", "25-29", "30-34", "35-39", "40-44", "45-49", "50-54", "55-59", "60-64", "65-69", "70-74", "75-79", "80-84", "85+")</f>
        <v>35-39</v>
      </c>
      <c r="D10476" t="s">
        <v>7</v>
      </c>
    </row>
    <row r="10477" spans="1:4">
      <c r="A10477" t="s">
        <v>6</v>
      </c>
      <c r="B10477">
        <v>60</v>
      </c>
      <c r="C10477" t="str">
        <f>CHOOSE(MATCH(B10477, {20,25,30,35,40,45,50,55,60,65,70,75,80,85}, 1), "20-24", "25-29", "30-34", "35-39", "40-44", "45-49", "50-54", "55-59", "60-64", "65-69", "70-74", "75-79", "80-84", "85+")</f>
        <v>60-64</v>
      </c>
      <c r="D10477" t="s">
        <v>7</v>
      </c>
    </row>
    <row r="10478" spans="1:4">
      <c r="A10478" t="s">
        <v>6</v>
      </c>
      <c r="B10478">
        <v>21</v>
      </c>
      <c r="C10478" t="str">
        <f>CHOOSE(MATCH(B10478, {20,25,30,35,40,45,50,55,60,65,70,75,80,85}, 1), "20-24", "25-29", "30-34", "35-39", "40-44", "45-49", "50-54", "55-59", "60-64", "65-69", "70-74", "75-79", "80-84", "85+")</f>
        <v>20-24</v>
      </c>
      <c r="D10478" t="s">
        <v>8</v>
      </c>
    </row>
    <row r="10479" spans="1:4">
      <c r="A10479" t="s">
        <v>6</v>
      </c>
      <c r="B10479">
        <v>34</v>
      </c>
      <c r="C10479" t="str">
        <f>CHOOSE(MATCH(B10479, {20,25,30,35,40,45,50,55,60,65,70,75,80,85}, 1), "20-24", "25-29", "30-34", "35-39", "40-44", "45-49", "50-54", "55-59", "60-64", "65-69", "70-74", "75-79", "80-84", "85+")</f>
        <v>30-34</v>
      </c>
      <c r="D10479" t="s">
        <v>8</v>
      </c>
    </row>
    <row r="10480" spans="1:4">
      <c r="A10480" t="s">
        <v>6</v>
      </c>
      <c r="B10480">
        <v>49</v>
      </c>
      <c r="C10480" t="str">
        <f>CHOOSE(MATCH(B10480, {20,25,30,35,40,45,50,55,60,65,70,75,80,85}, 1), "20-24", "25-29", "30-34", "35-39", "40-44", "45-49", "50-54", "55-59", "60-64", "65-69", "70-74", "75-79", "80-84", "85+")</f>
        <v>45-49</v>
      </c>
      <c r="D10480" t="s">
        <v>7</v>
      </c>
    </row>
    <row r="10481" spans="1:4">
      <c r="A10481" t="s">
        <v>6</v>
      </c>
      <c r="B10481">
        <v>37</v>
      </c>
      <c r="C10481" t="str">
        <f>CHOOSE(MATCH(B10481, {20,25,30,35,40,45,50,55,60,65,70,75,80,85}, 1), "20-24", "25-29", "30-34", "35-39", "40-44", "45-49", "50-54", "55-59", "60-64", "65-69", "70-74", "75-79", "80-84", "85+")</f>
        <v>35-39</v>
      </c>
      <c r="D10481" t="s">
        <v>8</v>
      </c>
    </row>
    <row r="10482" spans="1:4">
      <c r="A10482" t="s">
        <v>6</v>
      </c>
      <c r="B10482">
        <v>47</v>
      </c>
      <c r="C10482" t="str">
        <f>CHOOSE(MATCH(B10482, {20,25,30,35,40,45,50,55,60,65,70,75,80,85}, 1), "20-24", "25-29", "30-34", "35-39", "40-44", "45-49", "50-54", "55-59", "60-64", "65-69", "70-74", "75-79", "80-84", "85+")</f>
        <v>45-49</v>
      </c>
      <c r="D10482" t="s">
        <v>7</v>
      </c>
    </row>
    <row r="10483" spans="1:4">
      <c r="A10483" t="s">
        <v>6</v>
      </c>
      <c r="B10483">
        <v>25</v>
      </c>
      <c r="C10483" t="str">
        <f>CHOOSE(MATCH(B10483, {20,25,30,35,40,45,50,55,60,65,70,75,80,85}, 1), "20-24", "25-29", "30-34", "35-39", "40-44", "45-49", "50-54", "55-59", "60-64", "65-69", "70-74", "75-79", "80-84", "85+")</f>
        <v>25-29</v>
      </c>
      <c r="D10483" t="s">
        <v>8</v>
      </c>
    </row>
    <row r="10484" spans="1:4">
      <c r="A10484" t="s">
        <v>6</v>
      </c>
      <c r="B10484">
        <v>42</v>
      </c>
      <c r="C10484" t="str">
        <f>CHOOSE(MATCH(B10484, {20,25,30,35,40,45,50,55,60,65,70,75,80,85}, 1), "20-24", "25-29", "30-34", "35-39", "40-44", "45-49", "50-54", "55-59", "60-64", "65-69", "70-74", "75-79", "80-84", "85+")</f>
        <v>40-44</v>
      </c>
      <c r="D10484" t="s">
        <v>7</v>
      </c>
    </row>
    <row r="10485" spans="1:4">
      <c r="A10485" t="s">
        <v>6</v>
      </c>
      <c r="B10485">
        <v>38</v>
      </c>
      <c r="C10485" t="str">
        <f>CHOOSE(MATCH(B10485, {20,25,30,35,40,45,50,55,60,65,70,75,80,85}, 1), "20-24", "25-29", "30-34", "35-39", "40-44", "45-49", "50-54", "55-59", "60-64", "65-69", "70-74", "75-79", "80-84", "85+")</f>
        <v>35-39</v>
      </c>
      <c r="D10485" t="s">
        <v>7</v>
      </c>
    </row>
    <row r="10486" spans="1:4">
      <c r="A10486" t="s">
        <v>6</v>
      </c>
      <c r="B10486">
        <v>30</v>
      </c>
      <c r="C10486" t="str">
        <f>CHOOSE(MATCH(B10486, {20,25,30,35,40,45,50,55,60,65,70,75,80,85}, 1), "20-24", "25-29", "30-34", "35-39", "40-44", "45-49", "50-54", "55-59", "60-64", "65-69", "70-74", "75-79", "80-84", "85+")</f>
        <v>30-34</v>
      </c>
      <c r="D10486" t="s">
        <v>8</v>
      </c>
    </row>
    <row r="10487" spans="1:4">
      <c r="A10487" t="s">
        <v>6</v>
      </c>
      <c r="B10487">
        <v>39</v>
      </c>
      <c r="C10487" t="str">
        <f>CHOOSE(MATCH(B10487, {20,25,30,35,40,45,50,55,60,65,70,75,80,85}, 1), "20-24", "25-29", "30-34", "35-39", "40-44", "45-49", "50-54", "55-59", "60-64", "65-69", "70-74", "75-79", "80-84", "85+")</f>
        <v>35-39</v>
      </c>
      <c r="D10487" t="s">
        <v>7</v>
      </c>
    </row>
    <row r="10488" spans="1:4">
      <c r="A10488" t="s">
        <v>6</v>
      </c>
      <c r="B10488">
        <v>28</v>
      </c>
      <c r="C10488" t="str">
        <f>CHOOSE(MATCH(B10488, {20,25,30,35,40,45,50,55,60,65,70,75,80,85}, 1), "20-24", "25-29", "30-34", "35-39", "40-44", "45-49", "50-54", "55-59", "60-64", "65-69", "70-74", "75-79", "80-84", "85+")</f>
        <v>25-29</v>
      </c>
      <c r="D10488" t="s">
        <v>7</v>
      </c>
    </row>
    <row r="10489" spans="1:4">
      <c r="A10489" t="s">
        <v>6</v>
      </c>
      <c r="B10489">
        <v>36</v>
      </c>
      <c r="C10489" t="str">
        <f>CHOOSE(MATCH(B10489, {20,25,30,35,40,45,50,55,60,65,70,75,80,85}, 1), "20-24", "25-29", "30-34", "35-39", "40-44", "45-49", "50-54", "55-59", "60-64", "65-69", "70-74", "75-79", "80-84", "85+")</f>
        <v>35-39</v>
      </c>
      <c r="D10489" t="s">
        <v>8</v>
      </c>
    </row>
    <row r="10490" spans="1:4">
      <c r="A10490" t="s">
        <v>6</v>
      </c>
      <c r="B10490">
        <v>35</v>
      </c>
      <c r="C10490" t="str">
        <f>CHOOSE(MATCH(B10490, {20,25,30,35,40,45,50,55,60,65,70,75,80,85}, 1), "20-24", "25-29", "30-34", "35-39", "40-44", "45-49", "50-54", "55-59", "60-64", "65-69", "70-74", "75-79", "80-84", "85+")</f>
        <v>35-39</v>
      </c>
      <c r="D10490" t="s">
        <v>8</v>
      </c>
    </row>
    <row r="10491" spans="1:4">
      <c r="A10491" t="s">
        <v>6</v>
      </c>
      <c r="B10491">
        <v>43</v>
      </c>
      <c r="C10491" t="str">
        <f>CHOOSE(MATCH(B10491, {20,25,30,35,40,45,50,55,60,65,70,75,80,85}, 1), "20-24", "25-29", "30-34", "35-39", "40-44", "45-49", "50-54", "55-59", "60-64", "65-69", "70-74", "75-79", "80-84", "85+")</f>
        <v>40-44</v>
      </c>
      <c r="D10491" t="s">
        <v>8</v>
      </c>
    </row>
    <row r="10492" spans="1:4">
      <c r="A10492" t="s">
        <v>6</v>
      </c>
      <c r="B10492">
        <v>42</v>
      </c>
      <c r="C10492" t="str">
        <f>CHOOSE(MATCH(B10492, {20,25,30,35,40,45,50,55,60,65,70,75,80,85}, 1), "20-24", "25-29", "30-34", "35-39", "40-44", "45-49", "50-54", "55-59", "60-64", "65-69", "70-74", "75-79", "80-84", "85+")</f>
        <v>40-44</v>
      </c>
      <c r="D10492" t="s">
        <v>7</v>
      </c>
    </row>
    <row r="10493" spans="1:4">
      <c r="A10493" t="s">
        <v>6</v>
      </c>
      <c r="B10493">
        <v>67</v>
      </c>
      <c r="C10493" t="str">
        <f>CHOOSE(MATCH(B10493, {20,25,30,35,40,45,50,55,60,65,70,75,80,85}, 1), "20-24", "25-29", "30-34", "35-39", "40-44", "45-49", "50-54", "55-59", "60-64", "65-69", "70-74", "75-79", "80-84", "85+")</f>
        <v>65-69</v>
      </c>
      <c r="D10493" t="s">
        <v>8</v>
      </c>
    </row>
    <row r="10494" spans="1:4">
      <c r="A10494" t="s">
        <v>6</v>
      </c>
      <c r="B10494">
        <v>44</v>
      </c>
      <c r="C10494" t="str">
        <f>CHOOSE(MATCH(B10494, {20,25,30,35,40,45,50,55,60,65,70,75,80,85}, 1), "20-24", "25-29", "30-34", "35-39", "40-44", "45-49", "50-54", "55-59", "60-64", "65-69", "70-74", "75-79", "80-84", "85+")</f>
        <v>40-44</v>
      </c>
      <c r="D10494" t="s">
        <v>7</v>
      </c>
    </row>
    <row r="10495" spans="1:4">
      <c r="A10495" t="s">
        <v>6</v>
      </c>
      <c r="B10495">
        <v>38</v>
      </c>
      <c r="C10495" t="str">
        <f>CHOOSE(MATCH(B10495, {20,25,30,35,40,45,50,55,60,65,70,75,80,85}, 1), "20-24", "25-29", "30-34", "35-39", "40-44", "45-49", "50-54", "55-59", "60-64", "65-69", "70-74", "75-79", "80-84", "85+")</f>
        <v>35-39</v>
      </c>
      <c r="D10495" t="s">
        <v>8</v>
      </c>
    </row>
    <row r="10496" spans="1:4">
      <c r="A10496" t="s">
        <v>6</v>
      </c>
      <c r="B10496">
        <v>50</v>
      </c>
      <c r="C10496" t="str">
        <f>CHOOSE(MATCH(B10496, {20,25,30,35,40,45,50,55,60,65,70,75,80,85}, 1), "20-24", "25-29", "30-34", "35-39", "40-44", "45-49", "50-54", "55-59", "60-64", "65-69", "70-74", "75-79", "80-84", "85+")</f>
        <v>50-54</v>
      </c>
      <c r="D10496" t="s">
        <v>7</v>
      </c>
    </row>
    <row r="10497" spans="1:4">
      <c r="A10497" t="s">
        <v>6</v>
      </c>
      <c r="B10497">
        <v>42</v>
      </c>
      <c r="C10497" t="str">
        <f>CHOOSE(MATCH(B10497, {20,25,30,35,40,45,50,55,60,65,70,75,80,85}, 1), "20-24", "25-29", "30-34", "35-39", "40-44", "45-49", "50-54", "55-59", "60-64", "65-69", "70-74", "75-79", "80-84", "85+")</f>
        <v>40-44</v>
      </c>
      <c r="D10497" t="s">
        <v>8</v>
      </c>
    </row>
    <row r="10498" spans="1:4">
      <c r="A10498" t="s">
        <v>6</v>
      </c>
      <c r="B10498">
        <v>32</v>
      </c>
      <c r="C10498" t="str">
        <f>CHOOSE(MATCH(B10498, {20,25,30,35,40,45,50,55,60,65,70,75,80,85}, 1), "20-24", "25-29", "30-34", "35-39", "40-44", "45-49", "50-54", "55-59", "60-64", "65-69", "70-74", "75-79", "80-84", "85+")</f>
        <v>30-34</v>
      </c>
      <c r="D10498" t="s">
        <v>7</v>
      </c>
    </row>
    <row r="10499" spans="1:4">
      <c r="A10499" t="s">
        <v>6</v>
      </c>
      <c r="B10499">
        <v>34</v>
      </c>
      <c r="C10499" t="str">
        <f>CHOOSE(MATCH(B10499, {20,25,30,35,40,45,50,55,60,65,70,75,80,85}, 1), "20-24", "25-29", "30-34", "35-39", "40-44", "45-49", "50-54", "55-59", "60-64", "65-69", "70-74", "75-79", "80-84", "85+")</f>
        <v>30-34</v>
      </c>
      <c r="D10499" t="s">
        <v>8</v>
      </c>
    </row>
    <row r="10500" spans="1:4">
      <c r="A10500" t="s">
        <v>6</v>
      </c>
      <c r="B10500">
        <v>57</v>
      </c>
      <c r="C10500" t="str">
        <f>CHOOSE(MATCH(B10500, {20,25,30,35,40,45,50,55,60,65,70,75,80,85}, 1), "20-24", "25-29", "30-34", "35-39", "40-44", "45-49", "50-54", "55-59", "60-64", "65-69", "70-74", "75-79", "80-84", "85+")</f>
        <v>55-59</v>
      </c>
      <c r="D10500" t="s">
        <v>7</v>
      </c>
    </row>
    <row r="10501" spans="1:4">
      <c r="A10501" t="s">
        <v>6</v>
      </c>
      <c r="B10501">
        <v>63</v>
      </c>
      <c r="C10501" t="str">
        <f>CHOOSE(MATCH(B10501, {20,25,30,35,40,45,50,55,60,65,70,75,80,85}, 1), "20-24", "25-29", "30-34", "35-39", "40-44", "45-49", "50-54", "55-59", "60-64", "65-69", "70-74", "75-79", "80-84", "85+")</f>
        <v>60-64</v>
      </c>
      <c r="D10501" t="s">
        <v>8</v>
      </c>
    </row>
    <row r="10502" spans="1:4">
      <c r="A10502" t="s">
        <v>6</v>
      </c>
      <c r="B10502">
        <v>31</v>
      </c>
      <c r="C10502" t="str">
        <f>CHOOSE(MATCH(B10502, {20,25,30,35,40,45,50,55,60,65,70,75,80,85}, 1), "20-24", "25-29", "30-34", "35-39", "40-44", "45-49", "50-54", "55-59", "60-64", "65-69", "70-74", "75-79", "80-84", "85+")</f>
        <v>30-34</v>
      </c>
      <c r="D10502" t="s">
        <v>7</v>
      </c>
    </row>
    <row r="10503" spans="1:4">
      <c r="A10503" t="s">
        <v>6</v>
      </c>
      <c r="B10503">
        <v>35</v>
      </c>
      <c r="C10503" t="str">
        <f>CHOOSE(MATCH(B10503, {20,25,30,35,40,45,50,55,60,65,70,75,80,85}, 1), "20-24", "25-29", "30-34", "35-39", "40-44", "45-49", "50-54", "55-59", "60-64", "65-69", "70-74", "75-79", "80-84", "85+")</f>
        <v>35-39</v>
      </c>
      <c r="D10503" t="s">
        <v>8</v>
      </c>
    </row>
    <row r="10504" spans="1:4">
      <c r="A10504" t="s">
        <v>6</v>
      </c>
      <c r="B10504">
        <v>35</v>
      </c>
      <c r="C10504" t="str">
        <f>CHOOSE(MATCH(B10504, {20,25,30,35,40,45,50,55,60,65,70,75,80,85}, 1), "20-24", "25-29", "30-34", "35-39", "40-44", "45-49", "50-54", "55-59", "60-64", "65-69", "70-74", "75-79", "80-84", "85+")</f>
        <v>35-39</v>
      </c>
      <c r="D10504" t="s">
        <v>8</v>
      </c>
    </row>
    <row r="10505" spans="1:4">
      <c r="A10505" t="s">
        <v>6</v>
      </c>
      <c r="B10505">
        <v>32</v>
      </c>
      <c r="C10505" t="str">
        <f>CHOOSE(MATCH(B10505, {20,25,30,35,40,45,50,55,60,65,70,75,80,85}, 1), "20-24", "25-29", "30-34", "35-39", "40-44", "45-49", "50-54", "55-59", "60-64", "65-69", "70-74", "75-79", "80-84", "85+")</f>
        <v>30-34</v>
      </c>
      <c r="D10505" t="s">
        <v>7</v>
      </c>
    </row>
    <row r="10506" spans="1:4">
      <c r="A10506" t="s">
        <v>6</v>
      </c>
      <c r="B10506">
        <v>42</v>
      </c>
      <c r="C10506" t="str">
        <f>CHOOSE(MATCH(B10506, {20,25,30,35,40,45,50,55,60,65,70,75,80,85}, 1), "20-24", "25-29", "30-34", "35-39", "40-44", "45-49", "50-54", "55-59", "60-64", "65-69", "70-74", "75-79", "80-84", "85+")</f>
        <v>40-44</v>
      </c>
      <c r="D10506" t="s">
        <v>7</v>
      </c>
    </row>
    <row r="10507" spans="1:4">
      <c r="A10507" t="s">
        <v>6</v>
      </c>
      <c r="B10507">
        <v>78</v>
      </c>
      <c r="C10507" t="str">
        <f>CHOOSE(MATCH(B10507, {20,25,30,35,40,45,50,55,60,65,70,75,80,85}, 1), "20-24", "25-29", "30-34", "35-39", "40-44", "45-49", "50-54", "55-59", "60-64", "65-69", "70-74", "75-79", "80-84", "85+")</f>
        <v>75-79</v>
      </c>
      <c r="D10507" t="s">
        <v>8</v>
      </c>
    </row>
    <row r="10508" spans="1:4">
      <c r="A10508" t="s">
        <v>6</v>
      </c>
      <c r="B10508">
        <v>32</v>
      </c>
      <c r="C10508" t="str">
        <f>CHOOSE(MATCH(B10508, {20,25,30,35,40,45,50,55,60,65,70,75,80,85}, 1), "20-24", "25-29", "30-34", "35-39", "40-44", "45-49", "50-54", "55-59", "60-64", "65-69", "70-74", "75-79", "80-84", "85+")</f>
        <v>30-34</v>
      </c>
      <c r="D10508" t="s">
        <v>7</v>
      </c>
    </row>
    <row r="10509" spans="1:4">
      <c r="A10509" t="s">
        <v>6</v>
      </c>
      <c r="B10509">
        <v>28</v>
      </c>
      <c r="C10509" t="str">
        <f>CHOOSE(MATCH(B10509, {20,25,30,35,40,45,50,55,60,65,70,75,80,85}, 1), "20-24", "25-29", "30-34", "35-39", "40-44", "45-49", "50-54", "55-59", "60-64", "65-69", "70-74", "75-79", "80-84", "85+")</f>
        <v>25-29</v>
      </c>
      <c r="D10509" t="s">
        <v>8</v>
      </c>
    </row>
    <row r="10510" spans="1:4">
      <c r="A10510" t="s">
        <v>6</v>
      </c>
      <c r="B10510">
        <v>46</v>
      </c>
      <c r="C10510" t="str">
        <f>CHOOSE(MATCH(B10510, {20,25,30,35,40,45,50,55,60,65,70,75,80,85}, 1), "20-24", "25-29", "30-34", "35-39", "40-44", "45-49", "50-54", "55-59", "60-64", "65-69", "70-74", "75-79", "80-84", "85+")</f>
        <v>45-49</v>
      </c>
      <c r="D10510" t="s">
        <v>8</v>
      </c>
    </row>
    <row r="10511" spans="1:4">
      <c r="A10511" t="s">
        <v>6</v>
      </c>
      <c r="B10511">
        <v>27</v>
      </c>
      <c r="C10511" t="str">
        <f>CHOOSE(MATCH(B10511, {20,25,30,35,40,45,50,55,60,65,70,75,80,85}, 1), "20-24", "25-29", "30-34", "35-39", "40-44", "45-49", "50-54", "55-59", "60-64", "65-69", "70-74", "75-79", "80-84", "85+")</f>
        <v>25-29</v>
      </c>
      <c r="D10511" t="s">
        <v>7</v>
      </c>
    </row>
    <row r="10512" spans="1:4">
      <c r="A10512" t="s">
        <v>6</v>
      </c>
      <c r="B10512">
        <v>33</v>
      </c>
      <c r="C10512" t="str">
        <f>CHOOSE(MATCH(B10512, {20,25,30,35,40,45,50,55,60,65,70,75,80,85}, 1), "20-24", "25-29", "30-34", "35-39", "40-44", "45-49", "50-54", "55-59", "60-64", "65-69", "70-74", "75-79", "80-84", "85+")</f>
        <v>30-34</v>
      </c>
      <c r="D10512" t="s">
        <v>7</v>
      </c>
    </row>
    <row r="10513" spans="1:4">
      <c r="A10513" t="s">
        <v>6</v>
      </c>
      <c r="B10513">
        <v>66</v>
      </c>
      <c r="C10513" t="str">
        <f>CHOOSE(MATCH(B10513, {20,25,30,35,40,45,50,55,60,65,70,75,80,85}, 1), "20-24", "25-29", "30-34", "35-39", "40-44", "45-49", "50-54", "55-59", "60-64", "65-69", "70-74", "75-79", "80-84", "85+")</f>
        <v>65-69</v>
      </c>
      <c r="D10513" t="s">
        <v>7</v>
      </c>
    </row>
    <row r="10514" spans="1:4">
      <c r="A10514" t="s">
        <v>6</v>
      </c>
      <c r="B10514">
        <v>27</v>
      </c>
      <c r="C10514" t="str">
        <f>CHOOSE(MATCH(B10514, {20,25,30,35,40,45,50,55,60,65,70,75,80,85}, 1), "20-24", "25-29", "30-34", "35-39", "40-44", "45-49", "50-54", "55-59", "60-64", "65-69", "70-74", "75-79", "80-84", "85+")</f>
        <v>25-29</v>
      </c>
      <c r="D10514" t="s">
        <v>7</v>
      </c>
    </row>
    <row r="10515" spans="1:4">
      <c r="A10515" t="s">
        <v>6</v>
      </c>
      <c r="B10515">
        <v>33</v>
      </c>
      <c r="C10515" t="str">
        <f>CHOOSE(MATCH(B10515, {20,25,30,35,40,45,50,55,60,65,70,75,80,85}, 1), "20-24", "25-29", "30-34", "35-39", "40-44", "45-49", "50-54", "55-59", "60-64", "65-69", "70-74", "75-79", "80-84", "85+")</f>
        <v>30-34</v>
      </c>
      <c r="D10515" t="s">
        <v>7</v>
      </c>
    </row>
    <row r="10516" spans="1:4">
      <c r="A10516" t="s">
        <v>6</v>
      </c>
      <c r="B10516">
        <v>41</v>
      </c>
      <c r="C10516" t="str">
        <f>CHOOSE(MATCH(B10516, {20,25,30,35,40,45,50,55,60,65,70,75,80,85}, 1), "20-24", "25-29", "30-34", "35-39", "40-44", "45-49", "50-54", "55-59", "60-64", "65-69", "70-74", "75-79", "80-84", "85+")</f>
        <v>40-44</v>
      </c>
      <c r="D10516" t="s">
        <v>7</v>
      </c>
    </row>
    <row r="10517" spans="1:4">
      <c r="A10517" t="s">
        <v>6</v>
      </c>
      <c r="B10517">
        <v>26</v>
      </c>
      <c r="C10517" t="str">
        <f>CHOOSE(MATCH(B10517, {20,25,30,35,40,45,50,55,60,65,70,75,80,85}, 1), "20-24", "25-29", "30-34", "35-39", "40-44", "45-49", "50-54", "55-59", "60-64", "65-69", "70-74", "75-79", "80-84", "85+")</f>
        <v>25-29</v>
      </c>
      <c r="D10517" t="s">
        <v>8</v>
      </c>
    </row>
    <row r="10518" spans="1:4">
      <c r="A10518" t="s">
        <v>6</v>
      </c>
      <c r="B10518">
        <v>52</v>
      </c>
      <c r="C10518" t="str">
        <f>CHOOSE(MATCH(B10518, {20,25,30,35,40,45,50,55,60,65,70,75,80,85}, 1), "20-24", "25-29", "30-34", "35-39", "40-44", "45-49", "50-54", "55-59", "60-64", "65-69", "70-74", "75-79", "80-84", "85+")</f>
        <v>50-54</v>
      </c>
      <c r="D10518" t="s">
        <v>7</v>
      </c>
    </row>
    <row r="10519" spans="1:4">
      <c r="A10519" t="s">
        <v>6</v>
      </c>
      <c r="B10519">
        <v>40</v>
      </c>
      <c r="C10519" t="str">
        <f>CHOOSE(MATCH(B10519, {20,25,30,35,40,45,50,55,60,65,70,75,80,85}, 1), "20-24", "25-29", "30-34", "35-39", "40-44", "45-49", "50-54", "55-59", "60-64", "65-69", "70-74", "75-79", "80-84", "85+")</f>
        <v>40-44</v>
      </c>
      <c r="D10519" t="s">
        <v>8</v>
      </c>
    </row>
    <row r="10520" spans="1:4">
      <c r="A10520" t="s">
        <v>6</v>
      </c>
      <c r="B10520">
        <v>40</v>
      </c>
      <c r="C10520" t="str">
        <f>CHOOSE(MATCH(B10520, {20,25,30,35,40,45,50,55,60,65,70,75,80,85}, 1), "20-24", "25-29", "30-34", "35-39", "40-44", "45-49", "50-54", "55-59", "60-64", "65-69", "70-74", "75-79", "80-84", "85+")</f>
        <v>40-44</v>
      </c>
      <c r="D10520" t="s">
        <v>7</v>
      </c>
    </row>
    <row r="10521" spans="1:4">
      <c r="A10521" t="s">
        <v>6</v>
      </c>
      <c r="B10521">
        <v>39</v>
      </c>
      <c r="C10521" t="str">
        <f>CHOOSE(MATCH(B10521, {20,25,30,35,40,45,50,55,60,65,70,75,80,85}, 1), "20-24", "25-29", "30-34", "35-39", "40-44", "45-49", "50-54", "55-59", "60-64", "65-69", "70-74", "75-79", "80-84", "85+")</f>
        <v>35-39</v>
      </c>
      <c r="D10521" t="s">
        <v>7</v>
      </c>
    </row>
    <row r="10522" spans="1:4">
      <c r="A10522" t="s">
        <v>6</v>
      </c>
      <c r="B10522">
        <v>23</v>
      </c>
      <c r="C10522" t="str">
        <f>CHOOSE(MATCH(B10522, {20,25,30,35,40,45,50,55,60,65,70,75,80,85}, 1), "20-24", "25-29", "30-34", "35-39", "40-44", "45-49", "50-54", "55-59", "60-64", "65-69", "70-74", "75-79", "80-84", "85+")</f>
        <v>20-24</v>
      </c>
      <c r="D10522" t="s">
        <v>7</v>
      </c>
    </row>
    <row r="10523" spans="1:4">
      <c r="A10523" t="s">
        <v>6</v>
      </c>
      <c r="B10523">
        <v>42</v>
      </c>
      <c r="C10523" t="str">
        <f>CHOOSE(MATCH(B10523, {20,25,30,35,40,45,50,55,60,65,70,75,80,85}, 1), "20-24", "25-29", "30-34", "35-39", "40-44", "45-49", "50-54", "55-59", "60-64", "65-69", "70-74", "75-79", "80-84", "85+")</f>
        <v>40-44</v>
      </c>
      <c r="D10523" t="s">
        <v>8</v>
      </c>
    </row>
    <row r="10524" spans="1:4">
      <c r="A10524" t="s">
        <v>6</v>
      </c>
      <c r="B10524">
        <v>46</v>
      </c>
      <c r="C10524" t="str">
        <f>CHOOSE(MATCH(B10524, {20,25,30,35,40,45,50,55,60,65,70,75,80,85}, 1), "20-24", "25-29", "30-34", "35-39", "40-44", "45-49", "50-54", "55-59", "60-64", "65-69", "70-74", "75-79", "80-84", "85+")</f>
        <v>45-49</v>
      </c>
      <c r="D10524" t="s">
        <v>7</v>
      </c>
    </row>
    <row r="10525" spans="1:4">
      <c r="A10525" t="s">
        <v>6</v>
      </c>
      <c r="B10525">
        <v>35</v>
      </c>
      <c r="C10525" t="str">
        <f>CHOOSE(MATCH(B10525, {20,25,30,35,40,45,50,55,60,65,70,75,80,85}, 1), "20-24", "25-29", "30-34", "35-39", "40-44", "45-49", "50-54", "55-59", "60-64", "65-69", "70-74", "75-79", "80-84", "85+")</f>
        <v>35-39</v>
      </c>
      <c r="D10525" t="s">
        <v>8</v>
      </c>
    </row>
    <row r="10526" spans="1:4">
      <c r="A10526" t="s">
        <v>6</v>
      </c>
      <c r="B10526">
        <v>35</v>
      </c>
      <c r="C10526" t="str">
        <f>CHOOSE(MATCH(B10526, {20,25,30,35,40,45,50,55,60,65,70,75,80,85}, 1), "20-24", "25-29", "30-34", "35-39", "40-44", "45-49", "50-54", "55-59", "60-64", "65-69", "70-74", "75-79", "80-84", "85+")</f>
        <v>35-39</v>
      </c>
      <c r="D10526" t="s">
        <v>8</v>
      </c>
    </row>
    <row r="10527" spans="1:4">
      <c r="A10527" t="s">
        <v>6</v>
      </c>
      <c r="B10527">
        <v>40</v>
      </c>
      <c r="C10527" t="str">
        <f>CHOOSE(MATCH(B10527, {20,25,30,35,40,45,50,55,60,65,70,75,80,85}, 1), "20-24", "25-29", "30-34", "35-39", "40-44", "45-49", "50-54", "55-59", "60-64", "65-69", "70-74", "75-79", "80-84", "85+")</f>
        <v>40-44</v>
      </c>
      <c r="D10527" t="s">
        <v>7</v>
      </c>
    </row>
    <row r="10528" spans="1:4">
      <c r="A10528" t="s">
        <v>6</v>
      </c>
      <c r="B10528">
        <v>41</v>
      </c>
      <c r="C10528" t="str">
        <f>CHOOSE(MATCH(B10528, {20,25,30,35,40,45,50,55,60,65,70,75,80,85}, 1), "20-24", "25-29", "30-34", "35-39", "40-44", "45-49", "50-54", "55-59", "60-64", "65-69", "70-74", "75-79", "80-84", "85+")</f>
        <v>40-44</v>
      </c>
      <c r="D10528" t="s">
        <v>7</v>
      </c>
    </row>
    <row r="10529" spans="1:4">
      <c r="A10529" t="s">
        <v>6</v>
      </c>
      <c r="B10529">
        <v>61</v>
      </c>
      <c r="C10529" t="str">
        <f>CHOOSE(MATCH(B10529, {20,25,30,35,40,45,50,55,60,65,70,75,80,85}, 1), "20-24", "25-29", "30-34", "35-39", "40-44", "45-49", "50-54", "55-59", "60-64", "65-69", "70-74", "75-79", "80-84", "85+")</f>
        <v>60-64</v>
      </c>
      <c r="D10529" t="s">
        <v>7</v>
      </c>
    </row>
    <row r="10530" spans="1:4">
      <c r="A10530" t="s">
        <v>6</v>
      </c>
      <c r="B10530">
        <v>72</v>
      </c>
      <c r="C10530" t="str">
        <f>CHOOSE(MATCH(B10530, {20,25,30,35,40,45,50,55,60,65,70,75,80,85}, 1), "20-24", "25-29", "30-34", "35-39", "40-44", "45-49", "50-54", "55-59", "60-64", "65-69", "70-74", "75-79", "80-84", "85+")</f>
        <v>70-74</v>
      </c>
      <c r="D10530" t="s">
        <v>7</v>
      </c>
    </row>
    <row r="10531" spans="1:4">
      <c r="A10531" t="s">
        <v>6</v>
      </c>
      <c r="B10531">
        <v>74</v>
      </c>
      <c r="C10531" t="str">
        <f>CHOOSE(MATCH(B10531, {20,25,30,35,40,45,50,55,60,65,70,75,80,85}, 1), "20-24", "25-29", "30-34", "35-39", "40-44", "45-49", "50-54", "55-59", "60-64", "65-69", "70-74", "75-79", "80-84", "85+")</f>
        <v>70-74</v>
      </c>
      <c r="D10531" t="s">
        <v>7</v>
      </c>
    </row>
    <row r="10532" spans="1:4">
      <c r="A10532" t="s">
        <v>6</v>
      </c>
      <c r="B10532">
        <v>26</v>
      </c>
      <c r="C10532" t="str">
        <f>CHOOSE(MATCH(B10532, {20,25,30,35,40,45,50,55,60,65,70,75,80,85}, 1), "20-24", "25-29", "30-34", "35-39", "40-44", "45-49", "50-54", "55-59", "60-64", "65-69", "70-74", "75-79", "80-84", "85+")</f>
        <v>25-29</v>
      </c>
      <c r="D10532" t="s">
        <v>7</v>
      </c>
    </row>
    <row r="10533" spans="1:4">
      <c r="A10533" t="s">
        <v>6</v>
      </c>
      <c r="B10533">
        <v>37</v>
      </c>
      <c r="C10533" t="str">
        <f>CHOOSE(MATCH(B10533, {20,25,30,35,40,45,50,55,60,65,70,75,80,85}, 1), "20-24", "25-29", "30-34", "35-39", "40-44", "45-49", "50-54", "55-59", "60-64", "65-69", "70-74", "75-79", "80-84", "85+")</f>
        <v>35-39</v>
      </c>
      <c r="D10533" t="s">
        <v>7</v>
      </c>
    </row>
    <row r="10534" spans="1:4">
      <c r="A10534" t="s">
        <v>6</v>
      </c>
      <c r="B10534">
        <v>47</v>
      </c>
      <c r="C10534" t="str">
        <f>CHOOSE(MATCH(B10534, {20,25,30,35,40,45,50,55,60,65,70,75,80,85}, 1), "20-24", "25-29", "30-34", "35-39", "40-44", "45-49", "50-54", "55-59", "60-64", "65-69", "70-74", "75-79", "80-84", "85+")</f>
        <v>45-49</v>
      </c>
      <c r="D10534" t="s">
        <v>7</v>
      </c>
    </row>
    <row r="10535" spans="1:4">
      <c r="A10535" t="s">
        <v>6</v>
      </c>
      <c r="B10535">
        <v>31</v>
      </c>
      <c r="C10535" t="str">
        <f>CHOOSE(MATCH(B10535, {20,25,30,35,40,45,50,55,60,65,70,75,80,85}, 1), "20-24", "25-29", "30-34", "35-39", "40-44", "45-49", "50-54", "55-59", "60-64", "65-69", "70-74", "75-79", "80-84", "85+")</f>
        <v>30-34</v>
      </c>
      <c r="D10535" t="s">
        <v>8</v>
      </c>
    </row>
    <row r="10536" spans="1:4">
      <c r="A10536" t="s">
        <v>6</v>
      </c>
      <c r="B10536">
        <v>56</v>
      </c>
      <c r="C10536" t="str">
        <f>CHOOSE(MATCH(B10536, {20,25,30,35,40,45,50,55,60,65,70,75,80,85}, 1), "20-24", "25-29", "30-34", "35-39", "40-44", "45-49", "50-54", "55-59", "60-64", "65-69", "70-74", "75-79", "80-84", "85+")</f>
        <v>55-59</v>
      </c>
      <c r="D10536" t="s">
        <v>8</v>
      </c>
    </row>
    <row r="10537" spans="1:4">
      <c r="A10537" t="s">
        <v>6</v>
      </c>
      <c r="B10537">
        <v>29</v>
      </c>
      <c r="C10537" t="str">
        <f>CHOOSE(MATCH(B10537, {20,25,30,35,40,45,50,55,60,65,70,75,80,85}, 1), "20-24", "25-29", "30-34", "35-39", "40-44", "45-49", "50-54", "55-59", "60-64", "65-69", "70-74", "75-79", "80-84", "85+")</f>
        <v>25-29</v>
      </c>
      <c r="D10537" t="s">
        <v>7</v>
      </c>
    </row>
    <row r="10538" spans="1:4">
      <c r="A10538" t="s">
        <v>6</v>
      </c>
      <c r="B10538">
        <v>29</v>
      </c>
      <c r="C10538" t="str">
        <f>CHOOSE(MATCH(B10538, {20,25,30,35,40,45,50,55,60,65,70,75,80,85}, 1), "20-24", "25-29", "30-34", "35-39", "40-44", "45-49", "50-54", "55-59", "60-64", "65-69", "70-74", "75-79", "80-84", "85+")</f>
        <v>25-29</v>
      </c>
      <c r="D10538" t="s">
        <v>7</v>
      </c>
    </row>
    <row r="10539" spans="1:4">
      <c r="A10539" t="s">
        <v>6</v>
      </c>
      <c r="B10539">
        <v>58</v>
      </c>
      <c r="C10539" t="str">
        <f>CHOOSE(MATCH(B10539, {20,25,30,35,40,45,50,55,60,65,70,75,80,85}, 1), "20-24", "25-29", "30-34", "35-39", "40-44", "45-49", "50-54", "55-59", "60-64", "65-69", "70-74", "75-79", "80-84", "85+")</f>
        <v>55-59</v>
      </c>
      <c r="D10539" t="s">
        <v>7</v>
      </c>
    </row>
    <row r="10540" spans="1:4">
      <c r="A10540" t="s">
        <v>6</v>
      </c>
      <c r="B10540">
        <v>30</v>
      </c>
      <c r="C10540" t="str">
        <f>CHOOSE(MATCH(B10540, {20,25,30,35,40,45,50,55,60,65,70,75,80,85}, 1), "20-24", "25-29", "30-34", "35-39", "40-44", "45-49", "50-54", "55-59", "60-64", "65-69", "70-74", "75-79", "80-84", "85+")</f>
        <v>30-34</v>
      </c>
      <c r="D10540" t="s">
        <v>8</v>
      </c>
    </row>
    <row r="10541" spans="1:4">
      <c r="A10541" t="s">
        <v>6</v>
      </c>
      <c r="B10541">
        <v>29</v>
      </c>
      <c r="C10541" t="str">
        <f>CHOOSE(MATCH(B10541, {20,25,30,35,40,45,50,55,60,65,70,75,80,85}, 1), "20-24", "25-29", "30-34", "35-39", "40-44", "45-49", "50-54", "55-59", "60-64", "65-69", "70-74", "75-79", "80-84", "85+")</f>
        <v>25-29</v>
      </c>
      <c r="D10541" t="s">
        <v>7</v>
      </c>
    </row>
    <row r="10542" spans="1:4">
      <c r="A10542" t="s">
        <v>6</v>
      </c>
      <c r="B10542">
        <v>41</v>
      </c>
      <c r="C10542" t="str">
        <f>CHOOSE(MATCH(B10542, {20,25,30,35,40,45,50,55,60,65,70,75,80,85}, 1), "20-24", "25-29", "30-34", "35-39", "40-44", "45-49", "50-54", "55-59", "60-64", "65-69", "70-74", "75-79", "80-84", "85+")</f>
        <v>40-44</v>
      </c>
      <c r="D10542" t="s">
        <v>8</v>
      </c>
    </row>
    <row r="10543" spans="1:4">
      <c r="A10543" t="s">
        <v>6</v>
      </c>
      <c r="B10543">
        <v>29</v>
      </c>
      <c r="C10543" t="str">
        <f>CHOOSE(MATCH(B10543, {20,25,30,35,40,45,50,55,60,65,70,75,80,85}, 1), "20-24", "25-29", "30-34", "35-39", "40-44", "45-49", "50-54", "55-59", "60-64", "65-69", "70-74", "75-79", "80-84", "85+")</f>
        <v>25-29</v>
      </c>
      <c r="D10543" t="s">
        <v>8</v>
      </c>
    </row>
    <row r="10544" spans="1:4">
      <c r="A10544" t="s">
        <v>6</v>
      </c>
      <c r="B10544">
        <v>49</v>
      </c>
      <c r="C10544" t="str">
        <f>CHOOSE(MATCH(B10544, {20,25,30,35,40,45,50,55,60,65,70,75,80,85}, 1), "20-24", "25-29", "30-34", "35-39", "40-44", "45-49", "50-54", "55-59", "60-64", "65-69", "70-74", "75-79", "80-84", "85+")</f>
        <v>45-49</v>
      </c>
      <c r="D10544" t="s">
        <v>7</v>
      </c>
    </row>
    <row r="10545" spans="1:4">
      <c r="A10545" t="s">
        <v>6</v>
      </c>
      <c r="B10545">
        <v>38</v>
      </c>
      <c r="C10545" t="str">
        <f>CHOOSE(MATCH(B10545, {20,25,30,35,40,45,50,55,60,65,70,75,80,85}, 1), "20-24", "25-29", "30-34", "35-39", "40-44", "45-49", "50-54", "55-59", "60-64", "65-69", "70-74", "75-79", "80-84", "85+")</f>
        <v>35-39</v>
      </c>
      <c r="D10545" t="s">
        <v>7</v>
      </c>
    </row>
    <row r="10546" spans="1:4">
      <c r="A10546" t="s">
        <v>6</v>
      </c>
      <c r="B10546">
        <v>33</v>
      </c>
      <c r="C10546" t="str">
        <f>CHOOSE(MATCH(B10546, {20,25,30,35,40,45,50,55,60,65,70,75,80,85}, 1), "20-24", "25-29", "30-34", "35-39", "40-44", "45-49", "50-54", "55-59", "60-64", "65-69", "70-74", "75-79", "80-84", "85+")</f>
        <v>30-34</v>
      </c>
      <c r="D10546" t="s">
        <v>7</v>
      </c>
    </row>
    <row r="10547" spans="1:4">
      <c r="A10547" t="s">
        <v>6</v>
      </c>
      <c r="B10547">
        <v>28</v>
      </c>
      <c r="C10547" t="str">
        <f>CHOOSE(MATCH(B10547, {20,25,30,35,40,45,50,55,60,65,70,75,80,85}, 1), "20-24", "25-29", "30-34", "35-39", "40-44", "45-49", "50-54", "55-59", "60-64", "65-69", "70-74", "75-79", "80-84", "85+")</f>
        <v>25-29</v>
      </c>
      <c r="D10547" t="s">
        <v>8</v>
      </c>
    </row>
    <row r="10548" spans="1:4">
      <c r="A10548" t="s">
        <v>6</v>
      </c>
      <c r="B10548">
        <v>64</v>
      </c>
      <c r="C10548" t="str">
        <f>CHOOSE(MATCH(B10548, {20,25,30,35,40,45,50,55,60,65,70,75,80,85}, 1), "20-24", "25-29", "30-34", "35-39", "40-44", "45-49", "50-54", "55-59", "60-64", "65-69", "70-74", "75-79", "80-84", "85+")</f>
        <v>60-64</v>
      </c>
      <c r="D10548" t="s">
        <v>8</v>
      </c>
    </row>
    <row r="10549" spans="1:4">
      <c r="A10549" t="s">
        <v>6</v>
      </c>
      <c r="B10549">
        <v>54</v>
      </c>
      <c r="C10549" t="str">
        <f>CHOOSE(MATCH(B10549, {20,25,30,35,40,45,50,55,60,65,70,75,80,85}, 1), "20-24", "25-29", "30-34", "35-39", "40-44", "45-49", "50-54", "55-59", "60-64", "65-69", "70-74", "75-79", "80-84", "85+")</f>
        <v>50-54</v>
      </c>
      <c r="D10549" t="s">
        <v>8</v>
      </c>
    </row>
    <row r="10550" spans="1:4">
      <c r="A10550" t="s">
        <v>6</v>
      </c>
      <c r="B10550">
        <v>31</v>
      </c>
      <c r="C10550" t="str">
        <f>CHOOSE(MATCH(B10550, {20,25,30,35,40,45,50,55,60,65,70,75,80,85}, 1), "20-24", "25-29", "30-34", "35-39", "40-44", "45-49", "50-54", "55-59", "60-64", "65-69", "70-74", "75-79", "80-84", "85+")</f>
        <v>30-34</v>
      </c>
      <c r="D10550" t="s">
        <v>7</v>
      </c>
    </row>
    <row r="10551" spans="1:4">
      <c r="A10551" t="s">
        <v>6</v>
      </c>
      <c r="B10551">
        <v>42</v>
      </c>
      <c r="C10551" t="str">
        <f>CHOOSE(MATCH(B10551, {20,25,30,35,40,45,50,55,60,65,70,75,80,85}, 1), "20-24", "25-29", "30-34", "35-39", "40-44", "45-49", "50-54", "55-59", "60-64", "65-69", "70-74", "75-79", "80-84", "85+")</f>
        <v>40-44</v>
      </c>
      <c r="D10551" t="s">
        <v>8</v>
      </c>
    </row>
    <row r="10552" spans="1:4">
      <c r="A10552" t="s">
        <v>6</v>
      </c>
      <c r="B10552">
        <v>92</v>
      </c>
      <c r="C10552" t="str">
        <f>CHOOSE(MATCH(B10552, {20,25,30,35,40,45,50,55,60,65,70,75,80,85}, 1), "20-24", "25-29", "30-34", "35-39", "40-44", "45-49", "50-54", "55-59", "60-64", "65-69", "70-74", "75-79", "80-84", "85+")</f>
        <v>85+</v>
      </c>
      <c r="D10552" t="s">
        <v>7</v>
      </c>
    </row>
    <row r="10553" spans="1:4">
      <c r="A10553" t="s">
        <v>6</v>
      </c>
      <c r="B10553">
        <v>35</v>
      </c>
      <c r="C10553" t="str">
        <f>CHOOSE(MATCH(B10553, {20,25,30,35,40,45,50,55,60,65,70,75,80,85}, 1), "20-24", "25-29", "30-34", "35-39", "40-44", "45-49", "50-54", "55-59", "60-64", "65-69", "70-74", "75-79", "80-84", "85+")</f>
        <v>35-39</v>
      </c>
      <c r="D10553" t="s">
        <v>7</v>
      </c>
    </row>
    <row r="10554" spans="1:4">
      <c r="A10554" t="s">
        <v>6</v>
      </c>
      <c r="B10554">
        <v>29</v>
      </c>
      <c r="C10554" t="str">
        <f>CHOOSE(MATCH(B10554, {20,25,30,35,40,45,50,55,60,65,70,75,80,85}, 1), "20-24", "25-29", "30-34", "35-39", "40-44", "45-49", "50-54", "55-59", "60-64", "65-69", "70-74", "75-79", "80-84", "85+")</f>
        <v>25-29</v>
      </c>
      <c r="D10554" t="s">
        <v>8</v>
      </c>
    </row>
    <row r="10555" spans="1:4">
      <c r="A10555" t="s">
        <v>6</v>
      </c>
      <c r="B10555">
        <v>36</v>
      </c>
      <c r="C10555" t="str">
        <f>CHOOSE(MATCH(B10555, {20,25,30,35,40,45,50,55,60,65,70,75,80,85}, 1), "20-24", "25-29", "30-34", "35-39", "40-44", "45-49", "50-54", "55-59", "60-64", "65-69", "70-74", "75-79", "80-84", "85+")</f>
        <v>35-39</v>
      </c>
      <c r="D10555" t="s">
        <v>7</v>
      </c>
    </row>
    <row r="10556" spans="1:4">
      <c r="A10556" t="s">
        <v>6</v>
      </c>
      <c r="B10556">
        <v>61</v>
      </c>
      <c r="C10556" t="str">
        <f>CHOOSE(MATCH(B10556, {20,25,30,35,40,45,50,55,60,65,70,75,80,85}, 1), "20-24", "25-29", "30-34", "35-39", "40-44", "45-49", "50-54", "55-59", "60-64", "65-69", "70-74", "75-79", "80-84", "85+")</f>
        <v>60-64</v>
      </c>
      <c r="D10556" t="s">
        <v>7</v>
      </c>
    </row>
    <row r="10557" spans="1:4">
      <c r="A10557" t="s">
        <v>6</v>
      </c>
      <c r="B10557">
        <v>32</v>
      </c>
      <c r="C10557" t="str">
        <f>CHOOSE(MATCH(B10557, {20,25,30,35,40,45,50,55,60,65,70,75,80,85}, 1), "20-24", "25-29", "30-34", "35-39", "40-44", "45-49", "50-54", "55-59", "60-64", "65-69", "70-74", "75-79", "80-84", "85+")</f>
        <v>30-34</v>
      </c>
      <c r="D10557" t="s">
        <v>8</v>
      </c>
    </row>
    <row r="10558" spans="1:4">
      <c r="A10558" t="s">
        <v>6</v>
      </c>
      <c r="B10558">
        <v>55</v>
      </c>
      <c r="C10558" t="str">
        <f>CHOOSE(MATCH(B10558, {20,25,30,35,40,45,50,55,60,65,70,75,80,85}, 1), "20-24", "25-29", "30-34", "35-39", "40-44", "45-49", "50-54", "55-59", "60-64", "65-69", "70-74", "75-79", "80-84", "85+")</f>
        <v>55-59</v>
      </c>
      <c r="D10558" t="s">
        <v>8</v>
      </c>
    </row>
    <row r="10559" spans="1:4">
      <c r="A10559" t="s">
        <v>6</v>
      </c>
      <c r="B10559">
        <v>72</v>
      </c>
      <c r="C10559" t="str">
        <f>CHOOSE(MATCH(B10559, {20,25,30,35,40,45,50,55,60,65,70,75,80,85}, 1), "20-24", "25-29", "30-34", "35-39", "40-44", "45-49", "50-54", "55-59", "60-64", "65-69", "70-74", "75-79", "80-84", "85+")</f>
        <v>70-74</v>
      </c>
      <c r="D10559" t="s">
        <v>8</v>
      </c>
    </row>
    <row r="10560" spans="1:4">
      <c r="A10560" t="s">
        <v>6</v>
      </c>
      <c r="B10560">
        <v>21</v>
      </c>
      <c r="C10560" t="str">
        <f>CHOOSE(MATCH(B10560, {20,25,30,35,40,45,50,55,60,65,70,75,80,85}, 1), "20-24", "25-29", "30-34", "35-39", "40-44", "45-49", "50-54", "55-59", "60-64", "65-69", "70-74", "75-79", "80-84", "85+")</f>
        <v>20-24</v>
      </c>
      <c r="D10560" t="s">
        <v>8</v>
      </c>
    </row>
    <row r="10561" spans="1:4">
      <c r="A10561" t="s">
        <v>6</v>
      </c>
      <c r="B10561">
        <v>59</v>
      </c>
      <c r="C10561" t="str">
        <f>CHOOSE(MATCH(B10561, {20,25,30,35,40,45,50,55,60,65,70,75,80,85}, 1), "20-24", "25-29", "30-34", "35-39", "40-44", "45-49", "50-54", "55-59", "60-64", "65-69", "70-74", "75-79", "80-84", "85+")</f>
        <v>55-59</v>
      </c>
      <c r="D10561" t="s">
        <v>7</v>
      </c>
    </row>
    <row r="10562" spans="1:4">
      <c r="A10562" t="s">
        <v>6</v>
      </c>
      <c r="B10562">
        <v>43</v>
      </c>
      <c r="C10562" t="str">
        <f>CHOOSE(MATCH(B10562, {20,25,30,35,40,45,50,55,60,65,70,75,80,85}, 1), "20-24", "25-29", "30-34", "35-39", "40-44", "45-49", "50-54", "55-59", "60-64", "65-69", "70-74", "75-79", "80-84", "85+")</f>
        <v>40-44</v>
      </c>
      <c r="D10562" t="s">
        <v>7</v>
      </c>
    </row>
    <row r="10563" spans="1:4">
      <c r="A10563" t="s">
        <v>6</v>
      </c>
      <c r="B10563">
        <v>57</v>
      </c>
      <c r="C10563" t="str">
        <f>CHOOSE(MATCH(B10563, {20,25,30,35,40,45,50,55,60,65,70,75,80,85}, 1), "20-24", "25-29", "30-34", "35-39", "40-44", "45-49", "50-54", "55-59", "60-64", "65-69", "70-74", "75-79", "80-84", "85+")</f>
        <v>55-59</v>
      </c>
      <c r="D10563" t="s">
        <v>7</v>
      </c>
    </row>
    <row r="10564" spans="1:4">
      <c r="A10564" t="s">
        <v>6</v>
      </c>
      <c r="B10564">
        <v>27</v>
      </c>
      <c r="C10564" t="str">
        <f>CHOOSE(MATCH(B10564, {20,25,30,35,40,45,50,55,60,65,70,75,80,85}, 1), "20-24", "25-29", "30-34", "35-39", "40-44", "45-49", "50-54", "55-59", "60-64", "65-69", "70-74", "75-79", "80-84", "85+")</f>
        <v>25-29</v>
      </c>
      <c r="D10564" t="s">
        <v>8</v>
      </c>
    </row>
    <row r="10565" spans="1:4">
      <c r="A10565" t="s">
        <v>6</v>
      </c>
      <c r="B10565">
        <v>28</v>
      </c>
      <c r="C10565" t="str">
        <f>CHOOSE(MATCH(B10565, {20,25,30,35,40,45,50,55,60,65,70,75,80,85}, 1), "20-24", "25-29", "30-34", "35-39", "40-44", "45-49", "50-54", "55-59", "60-64", "65-69", "70-74", "75-79", "80-84", "85+")</f>
        <v>25-29</v>
      </c>
      <c r="D10565" t="s">
        <v>8</v>
      </c>
    </row>
    <row r="10566" spans="1:4">
      <c r="A10566" t="s">
        <v>6</v>
      </c>
      <c r="B10566">
        <v>81</v>
      </c>
      <c r="C10566" t="str">
        <f>CHOOSE(MATCH(B10566, {20,25,30,35,40,45,50,55,60,65,70,75,80,85}, 1), "20-24", "25-29", "30-34", "35-39", "40-44", "45-49", "50-54", "55-59", "60-64", "65-69", "70-74", "75-79", "80-84", "85+")</f>
        <v>80-84</v>
      </c>
      <c r="D10566" t="s">
        <v>7</v>
      </c>
    </row>
    <row r="10567" spans="1:4">
      <c r="A10567" t="s">
        <v>6</v>
      </c>
      <c r="B10567">
        <v>49</v>
      </c>
      <c r="C10567" t="str">
        <f>CHOOSE(MATCH(B10567, {20,25,30,35,40,45,50,55,60,65,70,75,80,85}, 1), "20-24", "25-29", "30-34", "35-39", "40-44", "45-49", "50-54", "55-59", "60-64", "65-69", "70-74", "75-79", "80-84", "85+")</f>
        <v>45-49</v>
      </c>
      <c r="D10567" t="s">
        <v>7</v>
      </c>
    </row>
    <row r="10568" spans="1:4">
      <c r="A10568" t="s">
        <v>6</v>
      </c>
      <c r="B10568">
        <v>55</v>
      </c>
      <c r="C10568" t="str">
        <f>CHOOSE(MATCH(B10568, {20,25,30,35,40,45,50,55,60,65,70,75,80,85}, 1), "20-24", "25-29", "30-34", "35-39", "40-44", "45-49", "50-54", "55-59", "60-64", "65-69", "70-74", "75-79", "80-84", "85+")</f>
        <v>55-59</v>
      </c>
      <c r="D10568" t="s">
        <v>8</v>
      </c>
    </row>
    <row r="10569" spans="1:4">
      <c r="A10569" t="s">
        <v>6</v>
      </c>
      <c r="B10569">
        <v>35</v>
      </c>
      <c r="C10569" t="str">
        <f>CHOOSE(MATCH(B10569, {20,25,30,35,40,45,50,55,60,65,70,75,80,85}, 1), "20-24", "25-29", "30-34", "35-39", "40-44", "45-49", "50-54", "55-59", "60-64", "65-69", "70-74", "75-79", "80-84", "85+")</f>
        <v>35-39</v>
      </c>
      <c r="D10569" t="s">
        <v>8</v>
      </c>
    </row>
    <row r="10570" spans="1:4">
      <c r="A10570" t="s">
        <v>6</v>
      </c>
      <c r="B10570">
        <v>47</v>
      </c>
      <c r="C10570" t="str">
        <f>CHOOSE(MATCH(B10570, {20,25,30,35,40,45,50,55,60,65,70,75,80,85}, 1), "20-24", "25-29", "30-34", "35-39", "40-44", "45-49", "50-54", "55-59", "60-64", "65-69", "70-74", "75-79", "80-84", "85+")</f>
        <v>45-49</v>
      </c>
      <c r="D10570" t="s">
        <v>7</v>
      </c>
    </row>
    <row r="10571" spans="1:4">
      <c r="A10571" t="s">
        <v>6</v>
      </c>
      <c r="B10571">
        <v>41</v>
      </c>
      <c r="C10571" t="str">
        <f>CHOOSE(MATCH(B10571, {20,25,30,35,40,45,50,55,60,65,70,75,80,85}, 1), "20-24", "25-29", "30-34", "35-39", "40-44", "45-49", "50-54", "55-59", "60-64", "65-69", "70-74", "75-79", "80-84", "85+")</f>
        <v>40-44</v>
      </c>
      <c r="D10571" t="s">
        <v>7</v>
      </c>
    </row>
    <row r="10572" spans="1:4">
      <c r="A10572" t="s">
        <v>6</v>
      </c>
      <c r="B10572">
        <v>34</v>
      </c>
      <c r="C10572" t="str">
        <f>CHOOSE(MATCH(B10572, {20,25,30,35,40,45,50,55,60,65,70,75,80,85}, 1), "20-24", "25-29", "30-34", "35-39", "40-44", "45-49", "50-54", "55-59", "60-64", "65-69", "70-74", "75-79", "80-84", "85+")</f>
        <v>30-34</v>
      </c>
      <c r="D10572" t="s">
        <v>8</v>
      </c>
    </row>
    <row r="10573" spans="1:4">
      <c r="A10573" t="s">
        <v>6</v>
      </c>
      <c r="B10573">
        <v>27</v>
      </c>
      <c r="C10573" t="str">
        <f>CHOOSE(MATCH(B10573, {20,25,30,35,40,45,50,55,60,65,70,75,80,85}, 1), "20-24", "25-29", "30-34", "35-39", "40-44", "45-49", "50-54", "55-59", "60-64", "65-69", "70-74", "75-79", "80-84", "85+")</f>
        <v>25-29</v>
      </c>
      <c r="D10573" t="s">
        <v>8</v>
      </c>
    </row>
    <row r="10574" spans="1:4">
      <c r="A10574" t="s">
        <v>6</v>
      </c>
      <c r="B10574">
        <v>37</v>
      </c>
      <c r="C10574" t="str">
        <f>CHOOSE(MATCH(B10574, {20,25,30,35,40,45,50,55,60,65,70,75,80,85}, 1), "20-24", "25-29", "30-34", "35-39", "40-44", "45-49", "50-54", "55-59", "60-64", "65-69", "70-74", "75-79", "80-84", "85+")</f>
        <v>35-39</v>
      </c>
      <c r="D10574" t="s">
        <v>8</v>
      </c>
    </row>
    <row r="10575" spans="1:4">
      <c r="A10575" t="s">
        <v>6</v>
      </c>
      <c r="B10575">
        <v>39</v>
      </c>
      <c r="C10575" t="str">
        <f>CHOOSE(MATCH(B10575, {20,25,30,35,40,45,50,55,60,65,70,75,80,85}, 1), "20-24", "25-29", "30-34", "35-39", "40-44", "45-49", "50-54", "55-59", "60-64", "65-69", "70-74", "75-79", "80-84", "85+")</f>
        <v>35-39</v>
      </c>
      <c r="D10575" t="s">
        <v>7</v>
      </c>
    </row>
    <row r="10576" spans="1:4">
      <c r="A10576" t="s">
        <v>6</v>
      </c>
      <c r="B10576">
        <v>64</v>
      </c>
      <c r="C10576" t="str">
        <f>CHOOSE(MATCH(B10576, {20,25,30,35,40,45,50,55,60,65,70,75,80,85}, 1), "20-24", "25-29", "30-34", "35-39", "40-44", "45-49", "50-54", "55-59", "60-64", "65-69", "70-74", "75-79", "80-84", "85+")</f>
        <v>60-64</v>
      </c>
      <c r="D10576" t="s">
        <v>8</v>
      </c>
    </row>
    <row r="10577" spans="1:4">
      <c r="A10577" t="s">
        <v>6</v>
      </c>
      <c r="B10577">
        <v>41</v>
      </c>
      <c r="C10577" t="str">
        <f>CHOOSE(MATCH(B10577, {20,25,30,35,40,45,50,55,60,65,70,75,80,85}, 1), "20-24", "25-29", "30-34", "35-39", "40-44", "45-49", "50-54", "55-59", "60-64", "65-69", "70-74", "75-79", "80-84", "85+")</f>
        <v>40-44</v>
      </c>
      <c r="D10577" t="s">
        <v>8</v>
      </c>
    </row>
    <row r="10578" spans="1:4">
      <c r="A10578" t="s">
        <v>6</v>
      </c>
      <c r="B10578">
        <v>20</v>
      </c>
      <c r="C10578" t="str">
        <f>CHOOSE(MATCH(B10578, {20,25,30,35,40,45,50,55,60,65,70,75,80,85}, 1), "20-24", "25-29", "30-34", "35-39", "40-44", "45-49", "50-54", "55-59", "60-64", "65-69", "70-74", "75-79", "80-84", "85+")</f>
        <v>20-24</v>
      </c>
      <c r="D10578" t="s">
        <v>8</v>
      </c>
    </row>
    <row r="10579" spans="1:4">
      <c r="A10579" t="s">
        <v>6</v>
      </c>
      <c r="B10579">
        <v>37</v>
      </c>
      <c r="C10579" t="str">
        <f>CHOOSE(MATCH(B10579, {20,25,30,35,40,45,50,55,60,65,70,75,80,85}, 1), "20-24", "25-29", "30-34", "35-39", "40-44", "45-49", "50-54", "55-59", "60-64", "65-69", "70-74", "75-79", "80-84", "85+")</f>
        <v>35-39</v>
      </c>
      <c r="D10579" t="s">
        <v>7</v>
      </c>
    </row>
    <row r="10580" spans="1:4">
      <c r="A10580" t="s">
        <v>6</v>
      </c>
      <c r="B10580">
        <v>39</v>
      </c>
      <c r="C10580" t="str">
        <f>CHOOSE(MATCH(B10580, {20,25,30,35,40,45,50,55,60,65,70,75,80,85}, 1), "20-24", "25-29", "30-34", "35-39", "40-44", "45-49", "50-54", "55-59", "60-64", "65-69", "70-74", "75-79", "80-84", "85+")</f>
        <v>35-39</v>
      </c>
      <c r="D10580" t="s">
        <v>8</v>
      </c>
    </row>
    <row r="10581" spans="1:4">
      <c r="A10581" t="s">
        <v>6</v>
      </c>
      <c r="B10581">
        <v>33</v>
      </c>
      <c r="C10581" t="str">
        <f>CHOOSE(MATCH(B10581, {20,25,30,35,40,45,50,55,60,65,70,75,80,85}, 1), "20-24", "25-29", "30-34", "35-39", "40-44", "45-49", "50-54", "55-59", "60-64", "65-69", "70-74", "75-79", "80-84", "85+")</f>
        <v>30-34</v>
      </c>
      <c r="D10581" t="s">
        <v>7</v>
      </c>
    </row>
    <row r="10582" spans="1:4">
      <c r="A10582" t="s">
        <v>6</v>
      </c>
      <c r="B10582">
        <v>25</v>
      </c>
      <c r="C10582" t="str">
        <f>CHOOSE(MATCH(B10582, {20,25,30,35,40,45,50,55,60,65,70,75,80,85}, 1), "20-24", "25-29", "30-34", "35-39", "40-44", "45-49", "50-54", "55-59", "60-64", "65-69", "70-74", "75-79", "80-84", "85+")</f>
        <v>25-29</v>
      </c>
      <c r="D10582" t="s">
        <v>7</v>
      </c>
    </row>
    <row r="10583" spans="1:4">
      <c r="A10583" t="s">
        <v>6</v>
      </c>
      <c r="B10583">
        <v>35</v>
      </c>
      <c r="C10583" t="str">
        <f>CHOOSE(MATCH(B10583, {20,25,30,35,40,45,50,55,60,65,70,75,80,85}, 1), "20-24", "25-29", "30-34", "35-39", "40-44", "45-49", "50-54", "55-59", "60-64", "65-69", "70-74", "75-79", "80-84", "85+")</f>
        <v>35-39</v>
      </c>
      <c r="D10583" t="s">
        <v>7</v>
      </c>
    </row>
    <row r="10584" spans="1:4">
      <c r="A10584" t="s">
        <v>6</v>
      </c>
      <c r="B10584">
        <v>43</v>
      </c>
      <c r="C10584" t="str">
        <f>CHOOSE(MATCH(B10584, {20,25,30,35,40,45,50,55,60,65,70,75,80,85}, 1), "20-24", "25-29", "30-34", "35-39", "40-44", "45-49", "50-54", "55-59", "60-64", "65-69", "70-74", "75-79", "80-84", "85+")</f>
        <v>40-44</v>
      </c>
      <c r="D10584" t="s">
        <v>8</v>
      </c>
    </row>
    <row r="10585" spans="1:4">
      <c r="A10585" t="s">
        <v>6</v>
      </c>
      <c r="B10585">
        <v>48</v>
      </c>
      <c r="C10585" t="str">
        <f>CHOOSE(MATCH(B10585, {20,25,30,35,40,45,50,55,60,65,70,75,80,85}, 1), "20-24", "25-29", "30-34", "35-39", "40-44", "45-49", "50-54", "55-59", "60-64", "65-69", "70-74", "75-79", "80-84", "85+")</f>
        <v>45-49</v>
      </c>
      <c r="D10585" t="s">
        <v>8</v>
      </c>
    </row>
    <row r="10586" spans="1:4">
      <c r="A10586" t="s">
        <v>6</v>
      </c>
      <c r="B10586">
        <v>30</v>
      </c>
      <c r="C10586" t="str">
        <f>CHOOSE(MATCH(B10586, {20,25,30,35,40,45,50,55,60,65,70,75,80,85}, 1), "20-24", "25-29", "30-34", "35-39", "40-44", "45-49", "50-54", "55-59", "60-64", "65-69", "70-74", "75-79", "80-84", "85+")</f>
        <v>30-34</v>
      </c>
      <c r="D10586" t="s">
        <v>7</v>
      </c>
    </row>
    <row r="10587" spans="1:4">
      <c r="A10587" t="s">
        <v>6</v>
      </c>
      <c r="B10587">
        <v>44</v>
      </c>
      <c r="C10587" t="str">
        <f>CHOOSE(MATCH(B10587, {20,25,30,35,40,45,50,55,60,65,70,75,80,85}, 1), "20-24", "25-29", "30-34", "35-39", "40-44", "45-49", "50-54", "55-59", "60-64", "65-69", "70-74", "75-79", "80-84", "85+")</f>
        <v>40-44</v>
      </c>
      <c r="D10587" t="s">
        <v>8</v>
      </c>
    </row>
    <row r="10588" spans="1:4">
      <c r="A10588" t="s">
        <v>6</v>
      </c>
      <c r="B10588">
        <v>23</v>
      </c>
      <c r="C10588" t="str">
        <f>CHOOSE(MATCH(B10588, {20,25,30,35,40,45,50,55,60,65,70,75,80,85}, 1), "20-24", "25-29", "30-34", "35-39", "40-44", "45-49", "50-54", "55-59", "60-64", "65-69", "70-74", "75-79", "80-84", "85+")</f>
        <v>20-24</v>
      </c>
      <c r="D10588" t="s">
        <v>8</v>
      </c>
    </row>
    <row r="10589" spans="1:4">
      <c r="A10589" t="s">
        <v>6</v>
      </c>
      <c r="B10589">
        <v>39</v>
      </c>
      <c r="C10589" t="str">
        <f>CHOOSE(MATCH(B10589, {20,25,30,35,40,45,50,55,60,65,70,75,80,85}, 1), "20-24", "25-29", "30-34", "35-39", "40-44", "45-49", "50-54", "55-59", "60-64", "65-69", "70-74", "75-79", "80-84", "85+")</f>
        <v>35-39</v>
      </c>
      <c r="D10589" t="s">
        <v>7</v>
      </c>
    </row>
    <row r="10590" spans="1:4">
      <c r="A10590" t="s">
        <v>6</v>
      </c>
      <c r="B10590">
        <v>51</v>
      </c>
      <c r="C10590" t="str">
        <f>CHOOSE(MATCH(B10590, {20,25,30,35,40,45,50,55,60,65,70,75,80,85}, 1), "20-24", "25-29", "30-34", "35-39", "40-44", "45-49", "50-54", "55-59", "60-64", "65-69", "70-74", "75-79", "80-84", "85+")</f>
        <v>50-54</v>
      </c>
      <c r="D10590" t="s">
        <v>7</v>
      </c>
    </row>
    <row r="10591" spans="1:4">
      <c r="A10591" t="s">
        <v>6</v>
      </c>
      <c r="B10591">
        <v>32</v>
      </c>
      <c r="C10591" t="str">
        <f>CHOOSE(MATCH(B10591, {20,25,30,35,40,45,50,55,60,65,70,75,80,85}, 1), "20-24", "25-29", "30-34", "35-39", "40-44", "45-49", "50-54", "55-59", "60-64", "65-69", "70-74", "75-79", "80-84", "85+")</f>
        <v>30-34</v>
      </c>
      <c r="D10591" t="s">
        <v>7</v>
      </c>
    </row>
    <row r="10592" spans="1:4">
      <c r="A10592" t="s">
        <v>6</v>
      </c>
      <c r="B10592">
        <v>42</v>
      </c>
      <c r="C10592" t="str">
        <f>CHOOSE(MATCH(B10592, {20,25,30,35,40,45,50,55,60,65,70,75,80,85}, 1), "20-24", "25-29", "30-34", "35-39", "40-44", "45-49", "50-54", "55-59", "60-64", "65-69", "70-74", "75-79", "80-84", "85+")</f>
        <v>40-44</v>
      </c>
      <c r="D10592" t="s">
        <v>7</v>
      </c>
    </row>
    <row r="10593" spans="1:4">
      <c r="A10593" t="s">
        <v>6</v>
      </c>
      <c r="B10593">
        <v>38</v>
      </c>
      <c r="C10593" t="str">
        <f>CHOOSE(MATCH(B10593, {20,25,30,35,40,45,50,55,60,65,70,75,80,85}, 1), "20-24", "25-29", "30-34", "35-39", "40-44", "45-49", "50-54", "55-59", "60-64", "65-69", "70-74", "75-79", "80-84", "85+")</f>
        <v>35-39</v>
      </c>
      <c r="D10593" t="s">
        <v>7</v>
      </c>
    </row>
    <row r="10594" spans="1:4">
      <c r="A10594" t="s">
        <v>6</v>
      </c>
      <c r="B10594">
        <v>32</v>
      </c>
      <c r="C10594" t="str">
        <f>CHOOSE(MATCH(B10594, {20,25,30,35,40,45,50,55,60,65,70,75,80,85}, 1), "20-24", "25-29", "30-34", "35-39", "40-44", "45-49", "50-54", "55-59", "60-64", "65-69", "70-74", "75-79", "80-84", "85+")</f>
        <v>30-34</v>
      </c>
      <c r="D10594" t="s">
        <v>7</v>
      </c>
    </row>
    <row r="10595" spans="1:4">
      <c r="A10595" t="s">
        <v>6</v>
      </c>
      <c r="B10595">
        <v>37</v>
      </c>
      <c r="C10595" t="str">
        <f>CHOOSE(MATCH(B10595, {20,25,30,35,40,45,50,55,60,65,70,75,80,85}, 1), "20-24", "25-29", "30-34", "35-39", "40-44", "45-49", "50-54", "55-59", "60-64", "65-69", "70-74", "75-79", "80-84", "85+")</f>
        <v>35-39</v>
      </c>
      <c r="D10595" t="s">
        <v>7</v>
      </c>
    </row>
    <row r="10596" spans="1:4">
      <c r="A10596" t="s">
        <v>6</v>
      </c>
      <c r="B10596">
        <v>36</v>
      </c>
      <c r="C10596" t="str">
        <f>CHOOSE(MATCH(B10596, {20,25,30,35,40,45,50,55,60,65,70,75,80,85}, 1), "20-24", "25-29", "30-34", "35-39", "40-44", "45-49", "50-54", "55-59", "60-64", "65-69", "70-74", "75-79", "80-84", "85+")</f>
        <v>35-39</v>
      </c>
      <c r="D10596" t="s">
        <v>8</v>
      </c>
    </row>
    <row r="10597" spans="1:4">
      <c r="A10597" t="s">
        <v>6</v>
      </c>
      <c r="B10597">
        <v>35</v>
      </c>
      <c r="C10597" t="str">
        <f>CHOOSE(MATCH(B10597, {20,25,30,35,40,45,50,55,60,65,70,75,80,85}, 1), "20-24", "25-29", "30-34", "35-39", "40-44", "45-49", "50-54", "55-59", "60-64", "65-69", "70-74", "75-79", "80-84", "85+")</f>
        <v>35-39</v>
      </c>
      <c r="D10597" t="s">
        <v>8</v>
      </c>
    </row>
    <row r="10598" spans="1:4">
      <c r="A10598" t="s">
        <v>6</v>
      </c>
      <c r="B10598">
        <v>57</v>
      </c>
      <c r="C10598" t="str">
        <f>CHOOSE(MATCH(B10598, {20,25,30,35,40,45,50,55,60,65,70,75,80,85}, 1), "20-24", "25-29", "30-34", "35-39", "40-44", "45-49", "50-54", "55-59", "60-64", "65-69", "70-74", "75-79", "80-84", "85+")</f>
        <v>55-59</v>
      </c>
      <c r="D10598" t="s">
        <v>8</v>
      </c>
    </row>
    <row r="10599" spans="1:4">
      <c r="A10599" t="s">
        <v>6</v>
      </c>
      <c r="B10599">
        <v>25</v>
      </c>
      <c r="C10599" t="str">
        <f>CHOOSE(MATCH(B10599, {20,25,30,35,40,45,50,55,60,65,70,75,80,85}, 1), "20-24", "25-29", "30-34", "35-39", "40-44", "45-49", "50-54", "55-59", "60-64", "65-69", "70-74", "75-79", "80-84", "85+")</f>
        <v>25-29</v>
      </c>
      <c r="D10599" t="s">
        <v>8</v>
      </c>
    </row>
    <row r="10600" spans="1:4">
      <c r="A10600" t="s">
        <v>6</v>
      </c>
      <c r="B10600">
        <v>52</v>
      </c>
      <c r="C10600" t="str">
        <f>CHOOSE(MATCH(B10600, {20,25,30,35,40,45,50,55,60,65,70,75,80,85}, 1), "20-24", "25-29", "30-34", "35-39", "40-44", "45-49", "50-54", "55-59", "60-64", "65-69", "70-74", "75-79", "80-84", "85+")</f>
        <v>50-54</v>
      </c>
      <c r="D10600" t="s">
        <v>7</v>
      </c>
    </row>
    <row r="10601" spans="1:4">
      <c r="A10601" t="s">
        <v>6</v>
      </c>
      <c r="B10601">
        <v>39</v>
      </c>
      <c r="C10601" t="str">
        <f>CHOOSE(MATCH(B10601, {20,25,30,35,40,45,50,55,60,65,70,75,80,85}, 1), "20-24", "25-29", "30-34", "35-39", "40-44", "45-49", "50-54", "55-59", "60-64", "65-69", "70-74", "75-79", "80-84", "85+")</f>
        <v>35-39</v>
      </c>
      <c r="D10601" t="s">
        <v>7</v>
      </c>
    </row>
    <row r="10602" spans="1:4">
      <c r="A10602" t="s">
        <v>6</v>
      </c>
      <c r="B10602">
        <v>27</v>
      </c>
      <c r="C10602" t="str">
        <f>CHOOSE(MATCH(B10602, {20,25,30,35,40,45,50,55,60,65,70,75,80,85}, 1), "20-24", "25-29", "30-34", "35-39", "40-44", "45-49", "50-54", "55-59", "60-64", "65-69", "70-74", "75-79", "80-84", "85+")</f>
        <v>25-29</v>
      </c>
      <c r="D10602" t="s">
        <v>7</v>
      </c>
    </row>
    <row r="10603" spans="1:4">
      <c r="A10603" t="s">
        <v>6</v>
      </c>
      <c r="B10603">
        <v>30</v>
      </c>
      <c r="C10603" t="str">
        <f>CHOOSE(MATCH(B10603, {20,25,30,35,40,45,50,55,60,65,70,75,80,85}, 1), "20-24", "25-29", "30-34", "35-39", "40-44", "45-49", "50-54", "55-59", "60-64", "65-69", "70-74", "75-79", "80-84", "85+")</f>
        <v>30-34</v>
      </c>
      <c r="D10603" t="s">
        <v>7</v>
      </c>
    </row>
    <row r="10604" spans="1:4">
      <c r="A10604" t="s">
        <v>6</v>
      </c>
      <c r="B10604">
        <v>53</v>
      </c>
      <c r="C10604" t="str">
        <f>CHOOSE(MATCH(B10604, {20,25,30,35,40,45,50,55,60,65,70,75,80,85}, 1), "20-24", "25-29", "30-34", "35-39", "40-44", "45-49", "50-54", "55-59", "60-64", "65-69", "70-74", "75-79", "80-84", "85+")</f>
        <v>50-54</v>
      </c>
      <c r="D10604" t="s">
        <v>8</v>
      </c>
    </row>
    <row r="10605" spans="1:4">
      <c r="A10605" t="s">
        <v>6</v>
      </c>
      <c r="B10605">
        <v>59</v>
      </c>
      <c r="C10605" t="str">
        <f>CHOOSE(MATCH(B10605, {20,25,30,35,40,45,50,55,60,65,70,75,80,85}, 1), "20-24", "25-29", "30-34", "35-39", "40-44", "45-49", "50-54", "55-59", "60-64", "65-69", "70-74", "75-79", "80-84", "85+")</f>
        <v>55-59</v>
      </c>
      <c r="D10605" t="s">
        <v>8</v>
      </c>
    </row>
    <row r="10606" spans="1:4">
      <c r="A10606" t="s">
        <v>6</v>
      </c>
      <c r="B10606">
        <v>40</v>
      </c>
      <c r="C10606" t="str">
        <f>CHOOSE(MATCH(B10606, {20,25,30,35,40,45,50,55,60,65,70,75,80,85}, 1), "20-24", "25-29", "30-34", "35-39", "40-44", "45-49", "50-54", "55-59", "60-64", "65-69", "70-74", "75-79", "80-84", "85+")</f>
        <v>40-44</v>
      </c>
      <c r="D10606" t="s">
        <v>7</v>
      </c>
    </row>
    <row r="10607" spans="1:4">
      <c r="A10607" t="s">
        <v>6</v>
      </c>
      <c r="B10607">
        <v>33</v>
      </c>
      <c r="C10607" t="str">
        <f>CHOOSE(MATCH(B10607, {20,25,30,35,40,45,50,55,60,65,70,75,80,85}, 1), "20-24", "25-29", "30-34", "35-39", "40-44", "45-49", "50-54", "55-59", "60-64", "65-69", "70-74", "75-79", "80-84", "85+")</f>
        <v>30-34</v>
      </c>
      <c r="D10607" t="s">
        <v>7</v>
      </c>
    </row>
    <row r="10608" spans="1:4">
      <c r="A10608" t="s">
        <v>6</v>
      </c>
      <c r="B10608">
        <v>42</v>
      </c>
      <c r="C10608" t="str">
        <f>CHOOSE(MATCH(B10608, {20,25,30,35,40,45,50,55,60,65,70,75,80,85}, 1), "20-24", "25-29", "30-34", "35-39", "40-44", "45-49", "50-54", "55-59", "60-64", "65-69", "70-74", "75-79", "80-84", "85+")</f>
        <v>40-44</v>
      </c>
      <c r="D10608" t="s">
        <v>7</v>
      </c>
    </row>
    <row r="10609" spans="1:4">
      <c r="A10609" t="s">
        <v>6</v>
      </c>
      <c r="B10609">
        <v>36</v>
      </c>
      <c r="C10609" t="str">
        <f>CHOOSE(MATCH(B10609, {20,25,30,35,40,45,50,55,60,65,70,75,80,85}, 1), "20-24", "25-29", "30-34", "35-39", "40-44", "45-49", "50-54", "55-59", "60-64", "65-69", "70-74", "75-79", "80-84", "85+")</f>
        <v>35-39</v>
      </c>
      <c r="D10609" t="s">
        <v>8</v>
      </c>
    </row>
    <row r="10610" spans="1:4">
      <c r="A10610" t="s">
        <v>6</v>
      </c>
      <c r="B10610">
        <v>64</v>
      </c>
      <c r="C10610" t="str">
        <f>CHOOSE(MATCH(B10610, {20,25,30,35,40,45,50,55,60,65,70,75,80,85}, 1), "20-24", "25-29", "30-34", "35-39", "40-44", "45-49", "50-54", "55-59", "60-64", "65-69", "70-74", "75-79", "80-84", "85+")</f>
        <v>60-64</v>
      </c>
      <c r="D10610" t="s">
        <v>8</v>
      </c>
    </row>
    <row r="10611" spans="1:4">
      <c r="A10611" t="s">
        <v>6</v>
      </c>
      <c r="B10611">
        <v>51</v>
      </c>
      <c r="C10611" t="str">
        <f>CHOOSE(MATCH(B10611, {20,25,30,35,40,45,50,55,60,65,70,75,80,85}, 1), "20-24", "25-29", "30-34", "35-39", "40-44", "45-49", "50-54", "55-59", "60-64", "65-69", "70-74", "75-79", "80-84", "85+")</f>
        <v>50-54</v>
      </c>
      <c r="D10611" t="s">
        <v>8</v>
      </c>
    </row>
    <row r="10612" spans="1:4">
      <c r="A10612" t="s">
        <v>6</v>
      </c>
      <c r="B10612">
        <v>42</v>
      </c>
      <c r="C10612" t="str">
        <f>CHOOSE(MATCH(B10612, {20,25,30,35,40,45,50,55,60,65,70,75,80,85}, 1), "20-24", "25-29", "30-34", "35-39", "40-44", "45-49", "50-54", "55-59", "60-64", "65-69", "70-74", "75-79", "80-84", "85+")</f>
        <v>40-44</v>
      </c>
      <c r="D10612" t="s">
        <v>7</v>
      </c>
    </row>
    <row r="10613" spans="1:4">
      <c r="A10613" t="s">
        <v>6</v>
      </c>
      <c r="B10613">
        <v>29</v>
      </c>
      <c r="C10613" t="str">
        <f>CHOOSE(MATCH(B10613, {20,25,30,35,40,45,50,55,60,65,70,75,80,85}, 1), "20-24", "25-29", "30-34", "35-39", "40-44", "45-49", "50-54", "55-59", "60-64", "65-69", "70-74", "75-79", "80-84", "85+")</f>
        <v>25-29</v>
      </c>
      <c r="D10613" t="s">
        <v>8</v>
      </c>
    </row>
    <row r="10614" spans="1:4">
      <c r="A10614" t="s">
        <v>6</v>
      </c>
      <c r="B10614">
        <v>41</v>
      </c>
      <c r="C10614" t="str">
        <f>CHOOSE(MATCH(B10614, {20,25,30,35,40,45,50,55,60,65,70,75,80,85}, 1), "20-24", "25-29", "30-34", "35-39", "40-44", "45-49", "50-54", "55-59", "60-64", "65-69", "70-74", "75-79", "80-84", "85+")</f>
        <v>40-44</v>
      </c>
      <c r="D10614" t="s">
        <v>7</v>
      </c>
    </row>
    <row r="10615" spans="1:4">
      <c r="A10615" t="s">
        <v>6</v>
      </c>
      <c r="B10615">
        <v>25</v>
      </c>
      <c r="C10615" t="str">
        <f>CHOOSE(MATCH(B10615, {20,25,30,35,40,45,50,55,60,65,70,75,80,85}, 1), "20-24", "25-29", "30-34", "35-39", "40-44", "45-49", "50-54", "55-59", "60-64", "65-69", "70-74", "75-79", "80-84", "85+")</f>
        <v>25-29</v>
      </c>
      <c r="D10615" t="s">
        <v>8</v>
      </c>
    </row>
    <row r="10616" spans="1:4">
      <c r="A10616" t="s">
        <v>6</v>
      </c>
      <c r="B10616">
        <v>39</v>
      </c>
      <c r="C10616" t="str">
        <f>CHOOSE(MATCH(B10616, {20,25,30,35,40,45,50,55,60,65,70,75,80,85}, 1), "20-24", "25-29", "30-34", "35-39", "40-44", "45-49", "50-54", "55-59", "60-64", "65-69", "70-74", "75-79", "80-84", "85+")</f>
        <v>35-39</v>
      </c>
      <c r="D10616" t="s">
        <v>8</v>
      </c>
    </row>
    <row r="10617" spans="1:4">
      <c r="A10617" t="s">
        <v>6</v>
      </c>
      <c r="B10617">
        <v>27</v>
      </c>
      <c r="C10617" t="str">
        <f>CHOOSE(MATCH(B10617, {20,25,30,35,40,45,50,55,60,65,70,75,80,85}, 1), "20-24", "25-29", "30-34", "35-39", "40-44", "45-49", "50-54", "55-59", "60-64", "65-69", "70-74", "75-79", "80-84", "85+")</f>
        <v>25-29</v>
      </c>
      <c r="D10617" t="s">
        <v>7</v>
      </c>
    </row>
    <row r="10618" spans="1:4">
      <c r="A10618" t="s">
        <v>6</v>
      </c>
      <c r="B10618">
        <v>35</v>
      </c>
      <c r="C10618" t="str">
        <f>CHOOSE(MATCH(B10618, {20,25,30,35,40,45,50,55,60,65,70,75,80,85}, 1), "20-24", "25-29", "30-34", "35-39", "40-44", "45-49", "50-54", "55-59", "60-64", "65-69", "70-74", "75-79", "80-84", "85+")</f>
        <v>35-39</v>
      </c>
      <c r="D10618" t="s">
        <v>8</v>
      </c>
    </row>
    <row r="10619" spans="1:4">
      <c r="A10619" t="s">
        <v>6</v>
      </c>
      <c r="B10619">
        <v>37</v>
      </c>
      <c r="C10619" t="str">
        <f>CHOOSE(MATCH(B10619, {20,25,30,35,40,45,50,55,60,65,70,75,80,85}, 1), "20-24", "25-29", "30-34", "35-39", "40-44", "45-49", "50-54", "55-59", "60-64", "65-69", "70-74", "75-79", "80-84", "85+")</f>
        <v>35-39</v>
      </c>
      <c r="D10619" t="s">
        <v>8</v>
      </c>
    </row>
    <row r="10620" spans="1:4">
      <c r="A10620" t="s">
        <v>6</v>
      </c>
      <c r="B10620">
        <v>72</v>
      </c>
      <c r="C10620" t="str">
        <f>CHOOSE(MATCH(B10620, {20,25,30,35,40,45,50,55,60,65,70,75,80,85}, 1), "20-24", "25-29", "30-34", "35-39", "40-44", "45-49", "50-54", "55-59", "60-64", "65-69", "70-74", "75-79", "80-84", "85+")</f>
        <v>70-74</v>
      </c>
      <c r="D10620" t="s">
        <v>7</v>
      </c>
    </row>
    <row r="10621" spans="1:4">
      <c r="A10621" t="s">
        <v>6</v>
      </c>
      <c r="B10621">
        <v>30</v>
      </c>
      <c r="C10621" t="str">
        <f>CHOOSE(MATCH(B10621, {20,25,30,35,40,45,50,55,60,65,70,75,80,85}, 1), "20-24", "25-29", "30-34", "35-39", "40-44", "45-49", "50-54", "55-59", "60-64", "65-69", "70-74", "75-79", "80-84", "85+")</f>
        <v>30-34</v>
      </c>
      <c r="D10621" t="s">
        <v>8</v>
      </c>
    </row>
    <row r="10622" spans="1:4">
      <c r="A10622" t="s">
        <v>6</v>
      </c>
      <c r="B10622">
        <v>71</v>
      </c>
      <c r="C10622" t="str">
        <f>CHOOSE(MATCH(B10622, {20,25,30,35,40,45,50,55,60,65,70,75,80,85}, 1), "20-24", "25-29", "30-34", "35-39", "40-44", "45-49", "50-54", "55-59", "60-64", "65-69", "70-74", "75-79", "80-84", "85+")</f>
        <v>70-74</v>
      </c>
      <c r="D10622" t="s">
        <v>8</v>
      </c>
    </row>
    <row r="10623" spans="1:4">
      <c r="A10623" t="s">
        <v>6</v>
      </c>
      <c r="B10623">
        <v>31</v>
      </c>
      <c r="C10623" t="str">
        <f>CHOOSE(MATCH(B10623, {20,25,30,35,40,45,50,55,60,65,70,75,80,85}, 1), "20-24", "25-29", "30-34", "35-39", "40-44", "45-49", "50-54", "55-59", "60-64", "65-69", "70-74", "75-79", "80-84", "85+")</f>
        <v>30-34</v>
      </c>
      <c r="D10623" t="s">
        <v>7</v>
      </c>
    </row>
    <row r="10624" spans="1:4">
      <c r="A10624" t="s">
        <v>6</v>
      </c>
      <c r="B10624">
        <v>39</v>
      </c>
      <c r="C10624" t="str">
        <f>CHOOSE(MATCH(B10624, {20,25,30,35,40,45,50,55,60,65,70,75,80,85}, 1), "20-24", "25-29", "30-34", "35-39", "40-44", "45-49", "50-54", "55-59", "60-64", "65-69", "70-74", "75-79", "80-84", "85+")</f>
        <v>35-39</v>
      </c>
      <c r="D10624" t="s">
        <v>8</v>
      </c>
    </row>
    <row r="10625" spans="1:4">
      <c r="A10625" t="s">
        <v>6</v>
      </c>
      <c r="B10625">
        <v>63</v>
      </c>
      <c r="C10625" t="str">
        <f>CHOOSE(MATCH(B10625, {20,25,30,35,40,45,50,55,60,65,70,75,80,85}, 1), "20-24", "25-29", "30-34", "35-39", "40-44", "45-49", "50-54", "55-59", "60-64", "65-69", "70-74", "75-79", "80-84", "85+")</f>
        <v>60-64</v>
      </c>
      <c r="D10625" t="s">
        <v>8</v>
      </c>
    </row>
    <row r="10626" spans="1:4">
      <c r="A10626" t="s">
        <v>6</v>
      </c>
      <c r="B10626">
        <v>46</v>
      </c>
      <c r="C10626" t="str">
        <f>CHOOSE(MATCH(B10626, {20,25,30,35,40,45,50,55,60,65,70,75,80,85}, 1), "20-24", "25-29", "30-34", "35-39", "40-44", "45-49", "50-54", "55-59", "60-64", "65-69", "70-74", "75-79", "80-84", "85+")</f>
        <v>45-49</v>
      </c>
      <c r="D10626" t="s">
        <v>7</v>
      </c>
    </row>
    <row r="10627" spans="1:4">
      <c r="A10627" t="s">
        <v>6</v>
      </c>
      <c r="B10627">
        <v>31</v>
      </c>
      <c r="C10627" t="str">
        <f>CHOOSE(MATCH(B10627, {20,25,30,35,40,45,50,55,60,65,70,75,80,85}, 1), "20-24", "25-29", "30-34", "35-39", "40-44", "45-49", "50-54", "55-59", "60-64", "65-69", "70-74", "75-79", "80-84", "85+")</f>
        <v>30-34</v>
      </c>
      <c r="D10627" t="s">
        <v>7</v>
      </c>
    </row>
    <row r="10628" spans="1:4">
      <c r="A10628" t="s">
        <v>6</v>
      </c>
      <c r="B10628">
        <v>63</v>
      </c>
      <c r="C10628" t="str">
        <f>CHOOSE(MATCH(B10628, {20,25,30,35,40,45,50,55,60,65,70,75,80,85}, 1), "20-24", "25-29", "30-34", "35-39", "40-44", "45-49", "50-54", "55-59", "60-64", "65-69", "70-74", "75-79", "80-84", "85+")</f>
        <v>60-64</v>
      </c>
      <c r="D10628" t="s">
        <v>7</v>
      </c>
    </row>
    <row r="10629" spans="1:4">
      <c r="A10629" t="s">
        <v>6</v>
      </c>
      <c r="B10629">
        <v>32</v>
      </c>
      <c r="C10629" t="str">
        <f>CHOOSE(MATCH(B10629, {20,25,30,35,40,45,50,55,60,65,70,75,80,85}, 1), "20-24", "25-29", "30-34", "35-39", "40-44", "45-49", "50-54", "55-59", "60-64", "65-69", "70-74", "75-79", "80-84", "85+")</f>
        <v>30-34</v>
      </c>
      <c r="D10629" t="s">
        <v>7</v>
      </c>
    </row>
    <row r="10630" spans="1:4">
      <c r="A10630" t="s">
        <v>6</v>
      </c>
      <c r="B10630">
        <v>35</v>
      </c>
      <c r="C10630" t="str">
        <f>CHOOSE(MATCH(B10630, {20,25,30,35,40,45,50,55,60,65,70,75,80,85}, 1), "20-24", "25-29", "30-34", "35-39", "40-44", "45-49", "50-54", "55-59", "60-64", "65-69", "70-74", "75-79", "80-84", "85+")</f>
        <v>35-39</v>
      </c>
      <c r="D10630" t="s">
        <v>7</v>
      </c>
    </row>
    <row r="10631" spans="1:4">
      <c r="A10631" t="s">
        <v>6</v>
      </c>
      <c r="B10631">
        <v>26</v>
      </c>
      <c r="C10631" t="str">
        <f>CHOOSE(MATCH(B10631, {20,25,30,35,40,45,50,55,60,65,70,75,80,85}, 1), "20-24", "25-29", "30-34", "35-39", "40-44", "45-49", "50-54", "55-59", "60-64", "65-69", "70-74", "75-79", "80-84", "85+")</f>
        <v>25-29</v>
      </c>
      <c r="D10631" t="s">
        <v>7</v>
      </c>
    </row>
    <row r="10632" spans="1:4">
      <c r="A10632" t="s">
        <v>6</v>
      </c>
      <c r="B10632">
        <v>32</v>
      </c>
      <c r="C10632" t="str">
        <f>CHOOSE(MATCH(B10632, {20,25,30,35,40,45,50,55,60,65,70,75,80,85}, 1), "20-24", "25-29", "30-34", "35-39", "40-44", "45-49", "50-54", "55-59", "60-64", "65-69", "70-74", "75-79", "80-84", "85+")</f>
        <v>30-34</v>
      </c>
      <c r="D10632" t="s">
        <v>7</v>
      </c>
    </row>
    <row r="10633" spans="1:4">
      <c r="A10633" t="s">
        <v>6</v>
      </c>
      <c r="B10633">
        <v>28</v>
      </c>
      <c r="C10633" t="str">
        <f>CHOOSE(MATCH(B10633, {20,25,30,35,40,45,50,55,60,65,70,75,80,85}, 1), "20-24", "25-29", "30-34", "35-39", "40-44", "45-49", "50-54", "55-59", "60-64", "65-69", "70-74", "75-79", "80-84", "85+")</f>
        <v>25-29</v>
      </c>
      <c r="D10633" t="s">
        <v>8</v>
      </c>
    </row>
    <row r="10634" spans="1:4">
      <c r="A10634" t="s">
        <v>6</v>
      </c>
      <c r="B10634">
        <v>39</v>
      </c>
      <c r="C10634" t="str">
        <f>CHOOSE(MATCH(B10634, {20,25,30,35,40,45,50,55,60,65,70,75,80,85}, 1), "20-24", "25-29", "30-34", "35-39", "40-44", "45-49", "50-54", "55-59", "60-64", "65-69", "70-74", "75-79", "80-84", "85+")</f>
        <v>35-39</v>
      </c>
      <c r="D10634" t="s">
        <v>8</v>
      </c>
    </row>
    <row r="10635" spans="1:4">
      <c r="A10635" t="s">
        <v>6</v>
      </c>
      <c r="B10635">
        <v>39</v>
      </c>
      <c r="C10635" t="str">
        <f>CHOOSE(MATCH(B10635, {20,25,30,35,40,45,50,55,60,65,70,75,80,85}, 1), "20-24", "25-29", "30-34", "35-39", "40-44", "45-49", "50-54", "55-59", "60-64", "65-69", "70-74", "75-79", "80-84", "85+")</f>
        <v>35-39</v>
      </c>
      <c r="D10635" t="s">
        <v>7</v>
      </c>
    </row>
    <row r="10636" spans="1:4">
      <c r="A10636" t="s">
        <v>6</v>
      </c>
      <c r="B10636">
        <v>37</v>
      </c>
      <c r="C10636" t="str">
        <f>CHOOSE(MATCH(B10636, {20,25,30,35,40,45,50,55,60,65,70,75,80,85}, 1), "20-24", "25-29", "30-34", "35-39", "40-44", "45-49", "50-54", "55-59", "60-64", "65-69", "70-74", "75-79", "80-84", "85+")</f>
        <v>35-39</v>
      </c>
      <c r="D10636" t="s">
        <v>7</v>
      </c>
    </row>
    <row r="10637" spans="1:4">
      <c r="A10637" t="s">
        <v>6</v>
      </c>
      <c r="B10637">
        <v>29</v>
      </c>
      <c r="C10637" t="str">
        <f>CHOOSE(MATCH(B10637, {20,25,30,35,40,45,50,55,60,65,70,75,80,85}, 1), "20-24", "25-29", "30-34", "35-39", "40-44", "45-49", "50-54", "55-59", "60-64", "65-69", "70-74", "75-79", "80-84", "85+")</f>
        <v>25-29</v>
      </c>
      <c r="D10637" t="s">
        <v>8</v>
      </c>
    </row>
    <row r="10638" spans="1:4">
      <c r="A10638" t="s">
        <v>6</v>
      </c>
      <c r="B10638">
        <v>65</v>
      </c>
      <c r="C10638" t="str">
        <f>CHOOSE(MATCH(B10638, {20,25,30,35,40,45,50,55,60,65,70,75,80,85}, 1), "20-24", "25-29", "30-34", "35-39", "40-44", "45-49", "50-54", "55-59", "60-64", "65-69", "70-74", "75-79", "80-84", "85+")</f>
        <v>65-69</v>
      </c>
      <c r="D10638" t="s">
        <v>7</v>
      </c>
    </row>
    <row r="10639" spans="1:4">
      <c r="A10639" t="s">
        <v>6</v>
      </c>
      <c r="B10639">
        <v>30</v>
      </c>
      <c r="C10639" t="str">
        <f>CHOOSE(MATCH(B10639, {20,25,30,35,40,45,50,55,60,65,70,75,80,85}, 1), "20-24", "25-29", "30-34", "35-39", "40-44", "45-49", "50-54", "55-59", "60-64", "65-69", "70-74", "75-79", "80-84", "85+")</f>
        <v>30-34</v>
      </c>
      <c r="D10639" t="s">
        <v>7</v>
      </c>
    </row>
    <row r="10640" spans="1:4">
      <c r="A10640" t="s">
        <v>6</v>
      </c>
      <c r="B10640">
        <v>46</v>
      </c>
      <c r="C10640" t="str">
        <f>CHOOSE(MATCH(B10640, {20,25,30,35,40,45,50,55,60,65,70,75,80,85}, 1), "20-24", "25-29", "30-34", "35-39", "40-44", "45-49", "50-54", "55-59", "60-64", "65-69", "70-74", "75-79", "80-84", "85+")</f>
        <v>45-49</v>
      </c>
      <c r="D10640" t="s">
        <v>7</v>
      </c>
    </row>
    <row r="10641" spans="1:4">
      <c r="A10641" t="s">
        <v>6</v>
      </c>
      <c r="B10641">
        <v>34</v>
      </c>
      <c r="C10641" t="str">
        <f>CHOOSE(MATCH(B10641, {20,25,30,35,40,45,50,55,60,65,70,75,80,85}, 1), "20-24", "25-29", "30-34", "35-39", "40-44", "45-49", "50-54", "55-59", "60-64", "65-69", "70-74", "75-79", "80-84", "85+")</f>
        <v>30-34</v>
      </c>
      <c r="D10641" t="s">
        <v>8</v>
      </c>
    </row>
    <row r="10642" spans="1:4">
      <c r="A10642" t="s">
        <v>6</v>
      </c>
      <c r="B10642">
        <v>62</v>
      </c>
      <c r="C10642" t="str">
        <f>CHOOSE(MATCH(B10642, {20,25,30,35,40,45,50,55,60,65,70,75,80,85}, 1), "20-24", "25-29", "30-34", "35-39", "40-44", "45-49", "50-54", "55-59", "60-64", "65-69", "70-74", "75-79", "80-84", "85+")</f>
        <v>60-64</v>
      </c>
      <c r="D10642" t="s">
        <v>7</v>
      </c>
    </row>
    <row r="10643" spans="1:4">
      <c r="A10643" t="s">
        <v>6</v>
      </c>
      <c r="B10643">
        <v>45</v>
      </c>
      <c r="C10643" t="str">
        <f>CHOOSE(MATCH(B10643, {20,25,30,35,40,45,50,55,60,65,70,75,80,85}, 1), "20-24", "25-29", "30-34", "35-39", "40-44", "45-49", "50-54", "55-59", "60-64", "65-69", "70-74", "75-79", "80-84", "85+")</f>
        <v>45-49</v>
      </c>
      <c r="D10643" t="s">
        <v>8</v>
      </c>
    </row>
    <row r="10644" spans="1:4">
      <c r="A10644" t="s">
        <v>6</v>
      </c>
      <c r="B10644">
        <v>80</v>
      </c>
      <c r="C10644" t="str">
        <f>CHOOSE(MATCH(B10644, {20,25,30,35,40,45,50,55,60,65,70,75,80,85}, 1), "20-24", "25-29", "30-34", "35-39", "40-44", "45-49", "50-54", "55-59", "60-64", "65-69", "70-74", "75-79", "80-84", "85+")</f>
        <v>80-84</v>
      </c>
      <c r="D10644" t="s">
        <v>8</v>
      </c>
    </row>
    <row r="10645" spans="1:4">
      <c r="A10645" t="s">
        <v>6</v>
      </c>
      <c r="B10645">
        <v>37</v>
      </c>
      <c r="C10645" t="str">
        <f>CHOOSE(MATCH(B10645, {20,25,30,35,40,45,50,55,60,65,70,75,80,85}, 1), "20-24", "25-29", "30-34", "35-39", "40-44", "45-49", "50-54", "55-59", "60-64", "65-69", "70-74", "75-79", "80-84", "85+")</f>
        <v>35-39</v>
      </c>
      <c r="D10645" t="s">
        <v>8</v>
      </c>
    </row>
    <row r="10646" spans="1:4">
      <c r="A10646" t="s">
        <v>6</v>
      </c>
      <c r="B10646">
        <v>69</v>
      </c>
      <c r="C10646" t="str">
        <f>CHOOSE(MATCH(B10646, {20,25,30,35,40,45,50,55,60,65,70,75,80,85}, 1), "20-24", "25-29", "30-34", "35-39", "40-44", "45-49", "50-54", "55-59", "60-64", "65-69", "70-74", "75-79", "80-84", "85+")</f>
        <v>65-69</v>
      </c>
      <c r="D10646" t="s">
        <v>7</v>
      </c>
    </row>
    <row r="10647" spans="1:4">
      <c r="A10647" t="s">
        <v>6</v>
      </c>
      <c r="B10647">
        <v>26</v>
      </c>
      <c r="C10647" t="str">
        <f>CHOOSE(MATCH(B10647, {20,25,30,35,40,45,50,55,60,65,70,75,80,85}, 1), "20-24", "25-29", "30-34", "35-39", "40-44", "45-49", "50-54", "55-59", "60-64", "65-69", "70-74", "75-79", "80-84", "85+")</f>
        <v>25-29</v>
      </c>
      <c r="D10647" t="s">
        <v>7</v>
      </c>
    </row>
    <row r="10648" spans="1:4">
      <c r="A10648" t="s">
        <v>6</v>
      </c>
      <c r="B10648">
        <v>28</v>
      </c>
      <c r="C10648" t="str">
        <f>CHOOSE(MATCH(B10648, {20,25,30,35,40,45,50,55,60,65,70,75,80,85}, 1), "20-24", "25-29", "30-34", "35-39", "40-44", "45-49", "50-54", "55-59", "60-64", "65-69", "70-74", "75-79", "80-84", "85+")</f>
        <v>25-29</v>
      </c>
      <c r="D10648" t="s">
        <v>7</v>
      </c>
    </row>
    <row r="10649" spans="1:4">
      <c r="A10649" t="s">
        <v>6</v>
      </c>
      <c r="B10649">
        <v>25</v>
      </c>
      <c r="C10649" t="str">
        <f>CHOOSE(MATCH(B10649, {20,25,30,35,40,45,50,55,60,65,70,75,80,85}, 1), "20-24", "25-29", "30-34", "35-39", "40-44", "45-49", "50-54", "55-59", "60-64", "65-69", "70-74", "75-79", "80-84", "85+")</f>
        <v>25-29</v>
      </c>
      <c r="D10649" t="s">
        <v>7</v>
      </c>
    </row>
    <row r="10650" spans="1:4">
      <c r="A10650" t="s">
        <v>6</v>
      </c>
      <c r="B10650">
        <v>32</v>
      </c>
      <c r="C10650" t="str">
        <f>CHOOSE(MATCH(B10650, {20,25,30,35,40,45,50,55,60,65,70,75,80,85}, 1), "20-24", "25-29", "30-34", "35-39", "40-44", "45-49", "50-54", "55-59", "60-64", "65-69", "70-74", "75-79", "80-84", "85+")</f>
        <v>30-34</v>
      </c>
      <c r="D10650" t="s">
        <v>7</v>
      </c>
    </row>
    <row r="10651" spans="1:4">
      <c r="A10651" t="s">
        <v>6</v>
      </c>
      <c r="B10651">
        <v>38</v>
      </c>
      <c r="C10651" t="str">
        <f>CHOOSE(MATCH(B10651, {20,25,30,35,40,45,50,55,60,65,70,75,80,85}, 1), "20-24", "25-29", "30-34", "35-39", "40-44", "45-49", "50-54", "55-59", "60-64", "65-69", "70-74", "75-79", "80-84", "85+")</f>
        <v>35-39</v>
      </c>
      <c r="D10651" t="s">
        <v>7</v>
      </c>
    </row>
    <row r="10652" spans="1:4">
      <c r="A10652" t="s">
        <v>6</v>
      </c>
      <c r="B10652">
        <v>31</v>
      </c>
      <c r="C10652" t="str">
        <f>CHOOSE(MATCH(B10652, {20,25,30,35,40,45,50,55,60,65,70,75,80,85}, 1), "20-24", "25-29", "30-34", "35-39", "40-44", "45-49", "50-54", "55-59", "60-64", "65-69", "70-74", "75-79", "80-84", "85+")</f>
        <v>30-34</v>
      </c>
      <c r="D10652" t="s">
        <v>7</v>
      </c>
    </row>
    <row r="10653" spans="1:4">
      <c r="A10653" t="s">
        <v>6</v>
      </c>
      <c r="B10653">
        <v>29</v>
      </c>
      <c r="C10653" t="str">
        <f>CHOOSE(MATCH(B10653, {20,25,30,35,40,45,50,55,60,65,70,75,80,85}, 1), "20-24", "25-29", "30-34", "35-39", "40-44", "45-49", "50-54", "55-59", "60-64", "65-69", "70-74", "75-79", "80-84", "85+")</f>
        <v>25-29</v>
      </c>
      <c r="D10653" t="s">
        <v>8</v>
      </c>
    </row>
    <row r="10654" spans="1:4">
      <c r="A10654" t="s">
        <v>6</v>
      </c>
      <c r="B10654">
        <v>43</v>
      </c>
      <c r="C10654" t="str">
        <f>CHOOSE(MATCH(B10654, {20,25,30,35,40,45,50,55,60,65,70,75,80,85}, 1), "20-24", "25-29", "30-34", "35-39", "40-44", "45-49", "50-54", "55-59", "60-64", "65-69", "70-74", "75-79", "80-84", "85+")</f>
        <v>40-44</v>
      </c>
      <c r="D10654" t="s">
        <v>8</v>
      </c>
    </row>
    <row r="10655" spans="1:4">
      <c r="A10655" t="s">
        <v>6</v>
      </c>
      <c r="B10655">
        <v>40</v>
      </c>
      <c r="C10655" t="str">
        <f>CHOOSE(MATCH(B10655, {20,25,30,35,40,45,50,55,60,65,70,75,80,85}, 1), "20-24", "25-29", "30-34", "35-39", "40-44", "45-49", "50-54", "55-59", "60-64", "65-69", "70-74", "75-79", "80-84", "85+")</f>
        <v>40-44</v>
      </c>
      <c r="D10655" t="s">
        <v>7</v>
      </c>
    </row>
    <row r="10656" spans="1:4">
      <c r="A10656" t="s">
        <v>6</v>
      </c>
      <c r="B10656">
        <v>30</v>
      </c>
      <c r="C10656" t="str">
        <f>CHOOSE(MATCH(B10656, {20,25,30,35,40,45,50,55,60,65,70,75,80,85}, 1), "20-24", "25-29", "30-34", "35-39", "40-44", "45-49", "50-54", "55-59", "60-64", "65-69", "70-74", "75-79", "80-84", "85+")</f>
        <v>30-34</v>
      </c>
      <c r="D10656" t="s">
        <v>8</v>
      </c>
    </row>
    <row r="10657" spans="1:4">
      <c r="A10657" t="s">
        <v>6</v>
      </c>
      <c r="B10657">
        <v>44</v>
      </c>
      <c r="C10657" t="str">
        <f>CHOOSE(MATCH(B10657, {20,25,30,35,40,45,50,55,60,65,70,75,80,85}, 1), "20-24", "25-29", "30-34", "35-39", "40-44", "45-49", "50-54", "55-59", "60-64", "65-69", "70-74", "75-79", "80-84", "85+")</f>
        <v>40-44</v>
      </c>
      <c r="D10657" t="s">
        <v>8</v>
      </c>
    </row>
    <row r="10658" spans="1:4">
      <c r="A10658" t="s">
        <v>6</v>
      </c>
      <c r="B10658">
        <v>66</v>
      </c>
      <c r="C10658" t="str">
        <f>CHOOSE(MATCH(B10658, {20,25,30,35,40,45,50,55,60,65,70,75,80,85}, 1), "20-24", "25-29", "30-34", "35-39", "40-44", "45-49", "50-54", "55-59", "60-64", "65-69", "70-74", "75-79", "80-84", "85+")</f>
        <v>65-69</v>
      </c>
      <c r="D10658" t="s">
        <v>7</v>
      </c>
    </row>
    <row r="10659" spans="1:4">
      <c r="A10659" t="s">
        <v>6</v>
      </c>
      <c r="B10659">
        <v>47</v>
      </c>
      <c r="C10659" t="str">
        <f>CHOOSE(MATCH(B10659, {20,25,30,35,40,45,50,55,60,65,70,75,80,85}, 1), "20-24", "25-29", "30-34", "35-39", "40-44", "45-49", "50-54", "55-59", "60-64", "65-69", "70-74", "75-79", "80-84", "85+")</f>
        <v>45-49</v>
      </c>
      <c r="D10659" t="s">
        <v>7</v>
      </c>
    </row>
    <row r="10660" spans="1:4">
      <c r="A10660" t="s">
        <v>6</v>
      </c>
      <c r="B10660">
        <v>23</v>
      </c>
      <c r="C10660" t="str">
        <f>CHOOSE(MATCH(B10660, {20,25,30,35,40,45,50,55,60,65,70,75,80,85}, 1), "20-24", "25-29", "30-34", "35-39", "40-44", "45-49", "50-54", "55-59", "60-64", "65-69", "70-74", "75-79", "80-84", "85+")</f>
        <v>20-24</v>
      </c>
      <c r="D10660" t="s">
        <v>7</v>
      </c>
    </row>
    <row r="10661" spans="1:4">
      <c r="A10661" t="s">
        <v>6</v>
      </c>
      <c r="B10661">
        <v>22</v>
      </c>
      <c r="C10661" t="str">
        <f>CHOOSE(MATCH(B10661, {20,25,30,35,40,45,50,55,60,65,70,75,80,85}, 1), "20-24", "25-29", "30-34", "35-39", "40-44", "45-49", "50-54", "55-59", "60-64", "65-69", "70-74", "75-79", "80-84", "85+")</f>
        <v>20-24</v>
      </c>
      <c r="D10661" t="s">
        <v>7</v>
      </c>
    </row>
    <row r="10662" spans="1:4">
      <c r="A10662" t="s">
        <v>6</v>
      </c>
      <c r="B10662">
        <v>26</v>
      </c>
      <c r="C10662" t="str">
        <f>CHOOSE(MATCH(B10662, {20,25,30,35,40,45,50,55,60,65,70,75,80,85}, 1), "20-24", "25-29", "30-34", "35-39", "40-44", "45-49", "50-54", "55-59", "60-64", "65-69", "70-74", "75-79", "80-84", "85+")</f>
        <v>25-29</v>
      </c>
      <c r="D10662" t="s">
        <v>8</v>
      </c>
    </row>
    <row r="10663" spans="1:4">
      <c r="A10663" t="s">
        <v>6</v>
      </c>
      <c r="B10663">
        <v>67</v>
      </c>
      <c r="C10663" t="str">
        <f>CHOOSE(MATCH(B10663, {20,25,30,35,40,45,50,55,60,65,70,75,80,85}, 1), "20-24", "25-29", "30-34", "35-39", "40-44", "45-49", "50-54", "55-59", "60-64", "65-69", "70-74", "75-79", "80-84", "85+")</f>
        <v>65-69</v>
      </c>
      <c r="D10663" t="s">
        <v>8</v>
      </c>
    </row>
    <row r="10664" spans="1:4">
      <c r="A10664" t="s">
        <v>6</v>
      </c>
      <c r="B10664">
        <v>29</v>
      </c>
      <c r="C10664" t="str">
        <f>CHOOSE(MATCH(B10664, {20,25,30,35,40,45,50,55,60,65,70,75,80,85}, 1), "20-24", "25-29", "30-34", "35-39", "40-44", "45-49", "50-54", "55-59", "60-64", "65-69", "70-74", "75-79", "80-84", "85+")</f>
        <v>25-29</v>
      </c>
      <c r="D10664" t="s">
        <v>7</v>
      </c>
    </row>
    <row r="10665" spans="1:4">
      <c r="A10665" t="s">
        <v>6</v>
      </c>
      <c r="B10665">
        <v>24</v>
      </c>
      <c r="C10665" t="str">
        <f>CHOOSE(MATCH(B10665, {20,25,30,35,40,45,50,55,60,65,70,75,80,85}, 1), "20-24", "25-29", "30-34", "35-39", "40-44", "45-49", "50-54", "55-59", "60-64", "65-69", "70-74", "75-79", "80-84", "85+")</f>
        <v>20-24</v>
      </c>
      <c r="D10665" t="s">
        <v>7</v>
      </c>
    </row>
    <row r="10666" spans="1:4">
      <c r="A10666" t="s">
        <v>6</v>
      </c>
      <c r="B10666">
        <v>41</v>
      </c>
      <c r="C10666" t="str">
        <f>CHOOSE(MATCH(B10666, {20,25,30,35,40,45,50,55,60,65,70,75,80,85}, 1), "20-24", "25-29", "30-34", "35-39", "40-44", "45-49", "50-54", "55-59", "60-64", "65-69", "70-74", "75-79", "80-84", "85+")</f>
        <v>40-44</v>
      </c>
      <c r="D10666" t="s">
        <v>7</v>
      </c>
    </row>
    <row r="10667" spans="1:4">
      <c r="A10667" t="s">
        <v>6</v>
      </c>
      <c r="B10667">
        <v>80</v>
      </c>
      <c r="C10667" t="str">
        <f>CHOOSE(MATCH(B10667, {20,25,30,35,40,45,50,55,60,65,70,75,80,85}, 1), "20-24", "25-29", "30-34", "35-39", "40-44", "45-49", "50-54", "55-59", "60-64", "65-69", "70-74", "75-79", "80-84", "85+")</f>
        <v>80-84</v>
      </c>
      <c r="D10667" t="s">
        <v>7</v>
      </c>
    </row>
    <row r="10668" spans="1:4">
      <c r="A10668" t="s">
        <v>6</v>
      </c>
      <c r="B10668">
        <v>27</v>
      </c>
      <c r="C10668" t="str">
        <f>CHOOSE(MATCH(B10668, {20,25,30,35,40,45,50,55,60,65,70,75,80,85}, 1), "20-24", "25-29", "30-34", "35-39", "40-44", "45-49", "50-54", "55-59", "60-64", "65-69", "70-74", "75-79", "80-84", "85+")</f>
        <v>25-29</v>
      </c>
      <c r="D10668" t="s">
        <v>7</v>
      </c>
    </row>
    <row r="10669" spans="1:4">
      <c r="A10669" t="s">
        <v>6</v>
      </c>
      <c r="B10669">
        <v>22</v>
      </c>
      <c r="C10669" t="str">
        <f>CHOOSE(MATCH(B10669, {20,25,30,35,40,45,50,55,60,65,70,75,80,85}, 1), "20-24", "25-29", "30-34", "35-39", "40-44", "45-49", "50-54", "55-59", "60-64", "65-69", "70-74", "75-79", "80-84", "85+")</f>
        <v>20-24</v>
      </c>
      <c r="D10669" t="s">
        <v>7</v>
      </c>
    </row>
    <row r="10670" spans="1:4">
      <c r="A10670" t="s">
        <v>6</v>
      </c>
      <c r="B10670">
        <v>57</v>
      </c>
      <c r="C10670" t="str">
        <f>CHOOSE(MATCH(B10670, {20,25,30,35,40,45,50,55,60,65,70,75,80,85}, 1), "20-24", "25-29", "30-34", "35-39", "40-44", "45-49", "50-54", "55-59", "60-64", "65-69", "70-74", "75-79", "80-84", "85+")</f>
        <v>55-59</v>
      </c>
      <c r="D10670" t="s">
        <v>7</v>
      </c>
    </row>
    <row r="10671" spans="1:4">
      <c r="A10671" t="s">
        <v>6</v>
      </c>
      <c r="B10671">
        <v>42</v>
      </c>
      <c r="C10671" t="str">
        <f>CHOOSE(MATCH(B10671, {20,25,30,35,40,45,50,55,60,65,70,75,80,85}, 1), "20-24", "25-29", "30-34", "35-39", "40-44", "45-49", "50-54", "55-59", "60-64", "65-69", "70-74", "75-79", "80-84", "85+")</f>
        <v>40-44</v>
      </c>
      <c r="D10671" t="s">
        <v>7</v>
      </c>
    </row>
    <row r="10672" spans="1:4">
      <c r="A10672" t="s">
        <v>6</v>
      </c>
      <c r="B10672">
        <v>45</v>
      </c>
      <c r="C10672" t="str">
        <f>CHOOSE(MATCH(B10672, {20,25,30,35,40,45,50,55,60,65,70,75,80,85}, 1), "20-24", "25-29", "30-34", "35-39", "40-44", "45-49", "50-54", "55-59", "60-64", "65-69", "70-74", "75-79", "80-84", "85+")</f>
        <v>45-49</v>
      </c>
      <c r="D10672" t="s">
        <v>8</v>
      </c>
    </row>
    <row r="10673" spans="1:4">
      <c r="A10673" t="s">
        <v>6</v>
      </c>
      <c r="B10673">
        <v>31</v>
      </c>
      <c r="C10673" t="str">
        <f>CHOOSE(MATCH(B10673, {20,25,30,35,40,45,50,55,60,65,70,75,80,85}, 1), "20-24", "25-29", "30-34", "35-39", "40-44", "45-49", "50-54", "55-59", "60-64", "65-69", "70-74", "75-79", "80-84", "85+")</f>
        <v>30-34</v>
      </c>
      <c r="D10673" t="s">
        <v>7</v>
      </c>
    </row>
    <row r="10674" spans="1:4">
      <c r="A10674" t="s">
        <v>6</v>
      </c>
      <c r="B10674">
        <v>24</v>
      </c>
      <c r="C10674" t="str">
        <f>CHOOSE(MATCH(B10674, {20,25,30,35,40,45,50,55,60,65,70,75,80,85}, 1), "20-24", "25-29", "30-34", "35-39", "40-44", "45-49", "50-54", "55-59", "60-64", "65-69", "70-74", "75-79", "80-84", "85+")</f>
        <v>20-24</v>
      </c>
      <c r="D10674" t="s">
        <v>8</v>
      </c>
    </row>
    <row r="10675" spans="1:4">
      <c r="A10675" t="s">
        <v>6</v>
      </c>
      <c r="B10675">
        <v>47</v>
      </c>
      <c r="C10675" t="str">
        <f>CHOOSE(MATCH(B10675, {20,25,30,35,40,45,50,55,60,65,70,75,80,85}, 1), "20-24", "25-29", "30-34", "35-39", "40-44", "45-49", "50-54", "55-59", "60-64", "65-69", "70-74", "75-79", "80-84", "85+")</f>
        <v>45-49</v>
      </c>
      <c r="D10675" t="s">
        <v>7</v>
      </c>
    </row>
    <row r="10676" spans="1:4">
      <c r="A10676" t="s">
        <v>6</v>
      </c>
      <c r="B10676">
        <v>23</v>
      </c>
      <c r="C10676" t="str">
        <f>CHOOSE(MATCH(B10676, {20,25,30,35,40,45,50,55,60,65,70,75,80,85}, 1), "20-24", "25-29", "30-34", "35-39", "40-44", "45-49", "50-54", "55-59", "60-64", "65-69", "70-74", "75-79", "80-84", "85+")</f>
        <v>20-24</v>
      </c>
      <c r="D10676" t="s">
        <v>7</v>
      </c>
    </row>
    <row r="10677" spans="1:4">
      <c r="A10677" t="s">
        <v>6</v>
      </c>
      <c r="B10677">
        <v>80</v>
      </c>
      <c r="C10677" t="str">
        <f>CHOOSE(MATCH(B10677, {20,25,30,35,40,45,50,55,60,65,70,75,80,85}, 1), "20-24", "25-29", "30-34", "35-39", "40-44", "45-49", "50-54", "55-59", "60-64", "65-69", "70-74", "75-79", "80-84", "85+")</f>
        <v>80-84</v>
      </c>
      <c r="D10677" t="s">
        <v>7</v>
      </c>
    </row>
    <row r="10678" spans="1:4">
      <c r="A10678" t="s">
        <v>6</v>
      </c>
      <c r="B10678">
        <v>29</v>
      </c>
      <c r="C10678" t="str">
        <f>CHOOSE(MATCH(B10678, {20,25,30,35,40,45,50,55,60,65,70,75,80,85}, 1), "20-24", "25-29", "30-34", "35-39", "40-44", "45-49", "50-54", "55-59", "60-64", "65-69", "70-74", "75-79", "80-84", "85+")</f>
        <v>25-29</v>
      </c>
      <c r="D10678" t="s">
        <v>7</v>
      </c>
    </row>
    <row r="10679" spans="1:4">
      <c r="A10679" t="s">
        <v>6</v>
      </c>
      <c r="B10679">
        <v>53</v>
      </c>
      <c r="C10679" t="str">
        <f>CHOOSE(MATCH(B10679, {20,25,30,35,40,45,50,55,60,65,70,75,80,85}, 1), "20-24", "25-29", "30-34", "35-39", "40-44", "45-49", "50-54", "55-59", "60-64", "65-69", "70-74", "75-79", "80-84", "85+")</f>
        <v>50-54</v>
      </c>
      <c r="D10679" t="s">
        <v>7</v>
      </c>
    </row>
    <row r="10680" spans="1:4">
      <c r="A10680" t="s">
        <v>6</v>
      </c>
      <c r="B10680">
        <v>28</v>
      </c>
      <c r="C10680" t="str">
        <f>CHOOSE(MATCH(B10680, {20,25,30,35,40,45,50,55,60,65,70,75,80,85}, 1), "20-24", "25-29", "30-34", "35-39", "40-44", "45-49", "50-54", "55-59", "60-64", "65-69", "70-74", "75-79", "80-84", "85+")</f>
        <v>25-29</v>
      </c>
      <c r="D10680" t="s">
        <v>7</v>
      </c>
    </row>
    <row r="10681" spans="1:4">
      <c r="A10681" t="s">
        <v>6</v>
      </c>
      <c r="B10681">
        <v>37</v>
      </c>
      <c r="C10681" t="str">
        <f>CHOOSE(MATCH(B10681, {20,25,30,35,40,45,50,55,60,65,70,75,80,85}, 1), "20-24", "25-29", "30-34", "35-39", "40-44", "45-49", "50-54", "55-59", "60-64", "65-69", "70-74", "75-79", "80-84", "85+")</f>
        <v>35-39</v>
      </c>
      <c r="D10681" t="s">
        <v>7</v>
      </c>
    </row>
    <row r="10682" spans="1:4">
      <c r="A10682" t="s">
        <v>6</v>
      </c>
      <c r="B10682">
        <v>43</v>
      </c>
      <c r="C10682" t="str">
        <f>CHOOSE(MATCH(B10682, {20,25,30,35,40,45,50,55,60,65,70,75,80,85}, 1), "20-24", "25-29", "30-34", "35-39", "40-44", "45-49", "50-54", "55-59", "60-64", "65-69", "70-74", "75-79", "80-84", "85+")</f>
        <v>40-44</v>
      </c>
      <c r="D10682" t="s">
        <v>7</v>
      </c>
    </row>
    <row r="10683" spans="1:4">
      <c r="A10683" t="s">
        <v>6</v>
      </c>
      <c r="B10683">
        <v>62</v>
      </c>
      <c r="C10683" t="str">
        <f>CHOOSE(MATCH(B10683, {20,25,30,35,40,45,50,55,60,65,70,75,80,85}, 1), "20-24", "25-29", "30-34", "35-39", "40-44", "45-49", "50-54", "55-59", "60-64", "65-69", "70-74", "75-79", "80-84", "85+")</f>
        <v>60-64</v>
      </c>
      <c r="D10683" t="s">
        <v>7</v>
      </c>
    </row>
    <row r="10684" spans="1:4">
      <c r="A10684" t="s">
        <v>6</v>
      </c>
      <c r="B10684">
        <v>32</v>
      </c>
      <c r="C10684" t="str">
        <f>CHOOSE(MATCH(B10684, {20,25,30,35,40,45,50,55,60,65,70,75,80,85}, 1), "20-24", "25-29", "30-34", "35-39", "40-44", "45-49", "50-54", "55-59", "60-64", "65-69", "70-74", "75-79", "80-84", "85+")</f>
        <v>30-34</v>
      </c>
      <c r="D10684" t="s">
        <v>7</v>
      </c>
    </row>
    <row r="10685" spans="1:4">
      <c r="A10685" t="s">
        <v>6</v>
      </c>
      <c r="B10685">
        <v>37</v>
      </c>
      <c r="C10685" t="str">
        <f>CHOOSE(MATCH(B10685, {20,25,30,35,40,45,50,55,60,65,70,75,80,85}, 1), "20-24", "25-29", "30-34", "35-39", "40-44", "45-49", "50-54", "55-59", "60-64", "65-69", "70-74", "75-79", "80-84", "85+")</f>
        <v>35-39</v>
      </c>
      <c r="D10685" t="s">
        <v>7</v>
      </c>
    </row>
    <row r="10686" spans="1:4">
      <c r="A10686" t="s">
        <v>6</v>
      </c>
      <c r="B10686">
        <v>55</v>
      </c>
      <c r="C10686" t="str">
        <f>CHOOSE(MATCH(B10686, {20,25,30,35,40,45,50,55,60,65,70,75,80,85}, 1), "20-24", "25-29", "30-34", "35-39", "40-44", "45-49", "50-54", "55-59", "60-64", "65-69", "70-74", "75-79", "80-84", "85+")</f>
        <v>55-59</v>
      </c>
      <c r="D10686" t="s">
        <v>8</v>
      </c>
    </row>
    <row r="10687" spans="1:4">
      <c r="A10687" t="s">
        <v>6</v>
      </c>
      <c r="B10687">
        <v>31</v>
      </c>
      <c r="C10687" t="str">
        <f>CHOOSE(MATCH(B10687, {20,25,30,35,40,45,50,55,60,65,70,75,80,85}, 1), "20-24", "25-29", "30-34", "35-39", "40-44", "45-49", "50-54", "55-59", "60-64", "65-69", "70-74", "75-79", "80-84", "85+")</f>
        <v>30-34</v>
      </c>
      <c r="D10687" t="s">
        <v>7</v>
      </c>
    </row>
    <row r="10688" spans="1:4">
      <c r="A10688" t="s">
        <v>6</v>
      </c>
      <c r="B10688">
        <v>54</v>
      </c>
      <c r="C10688" t="str">
        <f>CHOOSE(MATCH(B10688, {20,25,30,35,40,45,50,55,60,65,70,75,80,85}, 1), "20-24", "25-29", "30-34", "35-39", "40-44", "45-49", "50-54", "55-59", "60-64", "65-69", "70-74", "75-79", "80-84", "85+")</f>
        <v>50-54</v>
      </c>
      <c r="D10688" t="s">
        <v>7</v>
      </c>
    </row>
    <row r="10689" spans="1:4">
      <c r="A10689" t="s">
        <v>6</v>
      </c>
      <c r="B10689">
        <v>55</v>
      </c>
      <c r="C10689" t="str">
        <f>CHOOSE(MATCH(B10689, {20,25,30,35,40,45,50,55,60,65,70,75,80,85}, 1), "20-24", "25-29", "30-34", "35-39", "40-44", "45-49", "50-54", "55-59", "60-64", "65-69", "70-74", "75-79", "80-84", "85+")</f>
        <v>55-59</v>
      </c>
      <c r="D10689" t="s">
        <v>7</v>
      </c>
    </row>
    <row r="10690" spans="1:4">
      <c r="A10690" t="s">
        <v>6</v>
      </c>
      <c r="B10690">
        <v>42</v>
      </c>
      <c r="C10690" t="str">
        <f>CHOOSE(MATCH(B10690, {20,25,30,35,40,45,50,55,60,65,70,75,80,85}, 1), "20-24", "25-29", "30-34", "35-39", "40-44", "45-49", "50-54", "55-59", "60-64", "65-69", "70-74", "75-79", "80-84", "85+")</f>
        <v>40-44</v>
      </c>
      <c r="D10690" t="s">
        <v>8</v>
      </c>
    </row>
    <row r="10691" spans="1:4">
      <c r="A10691" t="s">
        <v>6</v>
      </c>
      <c r="B10691">
        <v>42</v>
      </c>
      <c r="C10691" t="str">
        <f>CHOOSE(MATCH(B10691, {20,25,30,35,40,45,50,55,60,65,70,75,80,85}, 1), "20-24", "25-29", "30-34", "35-39", "40-44", "45-49", "50-54", "55-59", "60-64", "65-69", "70-74", "75-79", "80-84", "85+")</f>
        <v>40-44</v>
      </c>
      <c r="D10691" t="s">
        <v>7</v>
      </c>
    </row>
    <row r="10692" spans="1:4">
      <c r="A10692" t="s">
        <v>6</v>
      </c>
      <c r="B10692">
        <v>54</v>
      </c>
      <c r="C10692" t="str">
        <f>CHOOSE(MATCH(B10692, {20,25,30,35,40,45,50,55,60,65,70,75,80,85}, 1), "20-24", "25-29", "30-34", "35-39", "40-44", "45-49", "50-54", "55-59", "60-64", "65-69", "70-74", "75-79", "80-84", "85+")</f>
        <v>50-54</v>
      </c>
      <c r="D10692" t="s">
        <v>8</v>
      </c>
    </row>
    <row r="10693" spans="1:4">
      <c r="A10693" t="s">
        <v>6</v>
      </c>
      <c r="B10693">
        <v>25</v>
      </c>
      <c r="C10693" t="str">
        <f>CHOOSE(MATCH(B10693, {20,25,30,35,40,45,50,55,60,65,70,75,80,85}, 1), "20-24", "25-29", "30-34", "35-39", "40-44", "45-49", "50-54", "55-59", "60-64", "65-69", "70-74", "75-79", "80-84", "85+")</f>
        <v>25-29</v>
      </c>
      <c r="D10693" t="s">
        <v>8</v>
      </c>
    </row>
    <row r="10694" spans="1:4">
      <c r="A10694" t="s">
        <v>6</v>
      </c>
      <c r="B10694">
        <v>39</v>
      </c>
      <c r="C10694" t="str">
        <f>CHOOSE(MATCH(B10694, {20,25,30,35,40,45,50,55,60,65,70,75,80,85}, 1), "20-24", "25-29", "30-34", "35-39", "40-44", "45-49", "50-54", "55-59", "60-64", "65-69", "70-74", "75-79", "80-84", "85+")</f>
        <v>35-39</v>
      </c>
      <c r="D10694" t="s">
        <v>7</v>
      </c>
    </row>
    <row r="10695" spans="1:4">
      <c r="A10695" t="s">
        <v>6</v>
      </c>
      <c r="B10695">
        <v>69</v>
      </c>
      <c r="C10695" t="str">
        <f>CHOOSE(MATCH(B10695, {20,25,30,35,40,45,50,55,60,65,70,75,80,85}, 1), "20-24", "25-29", "30-34", "35-39", "40-44", "45-49", "50-54", "55-59", "60-64", "65-69", "70-74", "75-79", "80-84", "85+")</f>
        <v>65-69</v>
      </c>
      <c r="D10695" t="s">
        <v>7</v>
      </c>
    </row>
    <row r="10696" spans="1:4">
      <c r="A10696" t="s">
        <v>6</v>
      </c>
      <c r="B10696">
        <v>27</v>
      </c>
      <c r="C10696" t="str">
        <f>CHOOSE(MATCH(B10696, {20,25,30,35,40,45,50,55,60,65,70,75,80,85}, 1), "20-24", "25-29", "30-34", "35-39", "40-44", "45-49", "50-54", "55-59", "60-64", "65-69", "70-74", "75-79", "80-84", "85+")</f>
        <v>25-29</v>
      </c>
      <c r="D10696" t="s">
        <v>8</v>
      </c>
    </row>
    <row r="10697" spans="1:4">
      <c r="A10697" t="s">
        <v>6</v>
      </c>
      <c r="B10697">
        <v>62</v>
      </c>
      <c r="C10697" t="str">
        <f>CHOOSE(MATCH(B10697, {20,25,30,35,40,45,50,55,60,65,70,75,80,85}, 1), "20-24", "25-29", "30-34", "35-39", "40-44", "45-49", "50-54", "55-59", "60-64", "65-69", "70-74", "75-79", "80-84", "85+")</f>
        <v>60-64</v>
      </c>
      <c r="D10697" t="s">
        <v>7</v>
      </c>
    </row>
    <row r="10698" spans="1:4">
      <c r="A10698" t="s">
        <v>6</v>
      </c>
      <c r="B10698">
        <v>48</v>
      </c>
      <c r="C10698" t="str">
        <f>CHOOSE(MATCH(B10698, {20,25,30,35,40,45,50,55,60,65,70,75,80,85}, 1), "20-24", "25-29", "30-34", "35-39", "40-44", "45-49", "50-54", "55-59", "60-64", "65-69", "70-74", "75-79", "80-84", "85+")</f>
        <v>45-49</v>
      </c>
      <c r="D10698" t="s">
        <v>8</v>
      </c>
    </row>
    <row r="10699" spans="1:4">
      <c r="A10699" t="s">
        <v>6</v>
      </c>
      <c r="B10699">
        <v>62</v>
      </c>
      <c r="C10699" t="str">
        <f>CHOOSE(MATCH(B10699, {20,25,30,35,40,45,50,55,60,65,70,75,80,85}, 1), "20-24", "25-29", "30-34", "35-39", "40-44", "45-49", "50-54", "55-59", "60-64", "65-69", "70-74", "75-79", "80-84", "85+")</f>
        <v>60-64</v>
      </c>
      <c r="D10699" t="s">
        <v>7</v>
      </c>
    </row>
    <row r="10700" spans="1:4">
      <c r="A10700" t="s">
        <v>6</v>
      </c>
      <c r="B10700">
        <v>51</v>
      </c>
      <c r="C10700" t="str">
        <f>CHOOSE(MATCH(B10700, {20,25,30,35,40,45,50,55,60,65,70,75,80,85}, 1), "20-24", "25-29", "30-34", "35-39", "40-44", "45-49", "50-54", "55-59", "60-64", "65-69", "70-74", "75-79", "80-84", "85+")</f>
        <v>50-54</v>
      </c>
      <c r="D10700" t="s">
        <v>8</v>
      </c>
    </row>
    <row r="10701" spans="1:4">
      <c r="A10701" t="s">
        <v>6</v>
      </c>
      <c r="B10701">
        <v>67</v>
      </c>
      <c r="C10701" t="str">
        <f>CHOOSE(MATCH(B10701, {20,25,30,35,40,45,50,55,60,65,70,75,80,85}, 1), "20-24", "25-29", "30-34", "35-39", "40-44", "45-49", "50-54", "55-59", "60-64", "65-69", "70-74", "75-79", "80-84", "85+")</f>
        <v>65-69</v>
      </c>
      <c r="D10701" t="s">
        <v>7</v>
      </c>
    </row>
    <row r="10702" spans="1:4">
      <c r="A10702" t="s">
        <v>6</v>
      </c>
      <c r="B10702">
        <v>41</v>
      </c>
      <c r="C10702" t="str">
        <f>CHOOSE(MATCH(B10702, {20,25,30,35,40,45,50,55,60,65,70,75,80,85}, 1), "20-24", "25-29", "30-34", "35-39", "40-44", "45-49", "50-54", "55-59", "60-64", "65-69", "70-74", "75-79", "80-84", "85+")</f>
        <v>40-44</v>
      </c>
      <c r="D10702" t="s">
        <v>8</v>
      </c>
    </row>
    <row r="10703" spans="1:4">
      <c r="A10703" t="s">
        <v>6</v>
      </c>
      <c r="B10703">
        <v>43</v>
      </c>
      <c r="C10703" t="str">
        <f>CHOOSE(MATCH(B10703, {20,25,30,35,40,45,50,55,60,65,70,75,80,85}, 1), "20-24", "25-29", "30-34", "35-39", "40-44", "45-49", "50-54", "55-59", "60-64", "65-69", "70-74", "75-79", "80-84", "85+")</f>
        <v>40-44</v>
      </c>
      <c r="D10703" t="s">
        <v>8</v>
      </c>
    </row>
    <row r="10704" spans="1:4">
      <c r="A10704" t="s">
        <v>6</v>
      </c>
      <c r="B10704">
        <v>40</v>
      </c>
      <c r="C10704" t="str">
        <f>CHOOSE(MATCH(B10704, {20,25,30,35,40,45,50,55,60,65,70,75,80,85}, 1), "20-24", "25-29", "30-34", "35-39", "40-44", "45-49", "50-54", "55-59", "60-64", "65-69", "70-74", "75-79", "80-84", "85+")</f>
        <v>40-44</v>
      </c>
      <c r="D10704" t="s">
        <v>7</v>
      </c>
    </row>
    <row r="10705" spans="1:4">
      <c r="A10705" t="s">
        <v>6</v>
      </c>
      <c r="B10705">
        <v>32</v>
      </c>
      <c r="C10705" t="str">
        <f>CHOOSE(MATCH(B10705, {20,25,30,35,40,45,50,55,60,65,70,75,80,85}, 1), "20-24", "25-29", "30-34", "35-39", "40-44", "45-49", "50-54", "55-59", "60-64", "65-69", "70-74", "75-79", "80-84", "85+")</f>
        <v>30-34</v>
      </c>
      <c r="D10705" t="s">
        <v>7</v>
      </c>
    </row>
    <row r="10706" spans="1:4">
      <c r="A10706" t="s">
        <v>6</v>
      </c>
      <c r="B10706">
        <v>43</v>
      </c>
      <c r="C10706" t="str">
        <f>CHOOSE(MATCH(B10706, {20,25,30,35,40,45,50,55,60,65,70,75,80,85}, 1), "20-24", "25-29", "30-34", "35-39", "40-44", "45-49", "50-54", "55-59", "60-64", "65-69", "70-74", "75-79", "80-84", "85+")</f>
        <v>40-44</v>
      </c>
      <c r="D10706" t="s">
        <v>7</v>
      </c>
    </row>
    <row r="10707" spans="1:4">
      <c r="A10707" t="s">
        <v>6</v>
      </c>
      <c r="B10707">
        <v>55</v>
      </c>
      <c r="C10707" t="str">
        <f>CHOOSE(MATCH(B10707, {20,25,30,35,40,45,50,55,60,65,70,75,80,85}, 1), "20-24", "25-29", "30-34", "35-39", "40-44", "45-49", "50-54", "55-59", "60-64", "65-69", "70-74", "75-79", "80-84", "85+")</f>
        <v>55-59</v>
      </c>
      <c r="D10707" t="s">
        <v>8</v>
      </c>
    </row>
    <row r="10708" spans="1:4">
      <c r="A10708" t="s">
        <v>6</v>
      </c>
      <c r="B10708">
        <v>43</v>
      </c>
      <c r="C10708" t="str">
        <f>CHOOSE(MATCH(B10708, {20,25,30,35,40,45,50,55,60,65,70,75,80,85}, 1), "20-24", "25-29", "30-34", "35-39", "40-44", "45-49", "50-54", "55-59", "60-64", "65-69", "70-74", "75-79", "80-84", "85+")</f>
        <v>40-44</v>
      </c>
      <c r="D10708" t="s">
        <v>7</v>
      </c>
    </row>
    <row r="10709" spans="1:4">
      <c r="A10709" t="s">
        <v>6</v>
      </c>
      <c r="B10709">
        <v>35</v>
      </c>
      <c r="C10709" t="str">
        <f>CHOOSE(MATCH(B10709, {20,25,30,35,40,45,50,55,60,65,70,75,80,85}, 1), "20-24", "25-29", "30-34", "35-39", "40-44", "45-49", "50-54", "55-59", "60-64", "65-69", "70-74", "75-79", "80-84", "85+")</f>
        <v>35-39</v>
      </c>
      <c r="D10709" t="s">
        <v>7</v>
      </c>
    </row>
    <row r="10710" spans="1:4">
      <c r="A10710" t="s">
        <v>6</v>
      </c>
      <c r="B10710">
        <v>61</v>
      </c>
      <c r="C10710" t="str">
        <f>CHOOSE(MATCH(B10710, {20,25,30,35,40,45,50,55,60,65,70,75,80,85}, 1), "20-24", "25-29", "30-34", "35-39", "40-44", "45-49", "50-54", "55-59", "60-64", "65-69", "70-74", "75-79", "80-84", "85+")</f>
        <v>60-64</v>
      </c>
      <c r="D10710" t="s">
        <v>8</v>
      </c>
    </row>
    <row r="10711" spans="1:4">
      <c r="A10711" t="s">
        <v>6</v>
      </c>
      <c r="B10711">
        <v>46</v>
      </c>
      <c r="C10711" t="str">
        <f>CHOOSE(MATCH(B10711, {20,25,30,35,40,45,50,55,60,65,70,75,80,85}, 1), "20-24", "25-29", "30-34", "35-39", "40-44", "45-49", "50-54", "55-59", "60-64", "65-69", "70-74", "75-79", "80-84", "85+")</f>
        <v>45-49</v>
      </c>
      <c r="D10711" t="s">
        <v>7</v>
      </c>
    </row>
    <row r="10712" spans="1:4">
      <c r="A10712" t="s">
        <v>6</v>
      </c>
      <c r="B10712">
        <v>39</v>
      </c>
      <c r="C10712" t="str">
        <f>CHOOSE(MATCH(B10712, {20,25,30,35,40,45,50,55,60,65,70,75,80,85}, 1), "20-24", "25-29", "30-34", "35-39", "40-44", "45-49", "50-54", "55-59", "60-64", "65-69", "70-74", "75-79", "80-84", "85+")</f>
        <v>35-39</v>
      </c>
      <c r="D10712" t="s">
        <v>7</v>
      </c>
    </row>
    <row r="10713" spans="1:4">
      <c r="A10713" t="s">
        <v>6</v>
      </c>
      <c r="B10713">
        <v>35</v>
      </c>
      <c r="C10713" t="str">
        <f>CHOOSE(MATCH(B10713, {20,25,30,35,40,45,50,55,60,65,70,75,80,85}, 1), "20-24", "25-29", "30-34", "35-39", "40-44", "45-49", "50-54", "55-59", "60-64", "65-69", "70-74", "75-79", "80-84", "85+")</f>
        <v>35-39</v>
      </c>
      <c r="D10713" t="s">
        <v>7</v>
      </c>
    </row>
    <row r="10714" spans="1:4">
      <c r="A10714" t="s">
        <v>6</v>
      </c>
      <c r="B10714">
        <v>48</v>
      </c>
      <c r="C10714" t="str">
        <f>CHOOSE(MATCH(B10714, {20,25,30,35,40,45,50,55,60,65,70,75,80,85}, 1), "20-24", "25-29", "30-34", "35-39", "40-44", "45-49", "50-54", "55-59", "60-64", "65-69", "70-74", "75-79", "80-84", "85+")</f>
        <v>45-49</v>
      </c>
      <c r="D10714" t="s">
        <v>8</v>
      </c>
    </row>
    <row r="10715" spans="1:4">
      <c r="A10715" t="s">
        <v>6</v>
      </c>
      <c r="B10715">
        <v>23</v>
      </c>
      <c r="C10715" t="str">
        <f>CHOOSE(MATCH(B10715, {20,25,30,35,40,45,50,55,60,65,70,75,80,85}, 1), "20-24", "25-29", "30-34", "35-39", "40-44", "45-49", "50-54", "55-59", "60-64", "65-69", "70-74", "75-79", "80-84", "85+")</f>
        <v>20-24</v>
      </c>
      <c r="D10715" t="s">
        <v>7</v>
      </c>
    </row>
    <row r="10716" spans="1:4">
      <c r="A10716" t="s">
        <v>6</v>
      </c>
      <c r="B10716">
        <v>42</v>
      </c>
      <c r="C10716" t="str">
        <f>CHOOSE(MATCH(B10716, {20,25,30,35,40,45,50,55,60,65,70,75,80,85}, 1), "20-24", "25-29", "30-34", "35-39", "40-44", "45-49", "50-54", "55-59", "60-64", "65-69", "70-74", "75-79", "80-84", "85+")</f>
        <v>40-44</v>
      </c>
      <c r="D10716" t="s">
        <v>7</v>
      </c>
    </row>
    <row r="10717" spans="1:4">
      <c r="A10717" t="s">
        <v>6</v>
      </c>
      <c r="B10717">
        <v>46</v>
      </c>
      <c r="C10717" t="str">
        <f>CHOOSE(MATCH(B10717, {20,25,30,35,40,45,50,55,60,65,70,75,80,85}, 1), "20-24", "25-29", "30-34", "35-39", "40-44", "45-49", "50-54", "55-59", "60-64", "65-69", "70-74", "75-79", "80-84", "85+")</f>
        <v>45-49</v>
      </c>
      <c r="D10717" t="s">
        <v>8</v>
      </c>
    </row>
    <row r="10718" spans="1:4">
      <c r="A10718" t="s">
        <v>6</v>
      </c>
      <c r="B10718">
        <v>88</v>
      </c>
      <c r="C10718" t="str">
        <f>CHOOSE(MATCH(B10718, {20,25,30,35,40,45,50,55,60,65,70,75,80,85}, 1), "20-24", "25-29", "30-34", "35-39", "40-44", "45-49", "50-54", "55-59", "60-64", "65-69", "70-74", "75-79", "80-84", "85+")</f>
        <v>85+</v>
      </c>
      <c r="D10718" t="s">
        <v>7</v>
      </c>
    </row>
    <row r="10719" spans="1:4">
      <c r="A10719" t="s">
        <v>6</v>
      </c>
      <c r="B10719">
        <v>46</v>
      </c>
      <c r="C10719" t="str">
        <f>CHOOSE(MATCH(B10719, {20,25,30,35,40,45,50,55,60,65,70,75,80,85}, 1), "20-24", "25-29", "30-34", "35-39", "40-44", "45-49", "50-54", "55-59", "60-64", "65-69", "70-74", "75-79", "80-84", "85+")</f>
        <v>45-49</v>
      </c>
      <c r="D10719" t="s">
        <v>8</v>
      </c>
    </row>
    <row r="10720" spans="1:4">
      <c r="A10720" t="s">
        <v>6</v>
      </c>
      <c r="B10720">
        <v>23</v>
      </c>
      <c r="C10720" t="str">
        <f>CHOOSE(MATCH(B10720, {20,25,30,35,40,45,50,55,60,65,70,75,80,85}, 1), "20-24", "25-29", "30-34", "35-39", "40-44", "45-49", "50-54", "55-59", "60-64", "65-69", "70-74", "75-79", "80-84", "85+")</f>
        <v>20-24</v>
      </c>
      <c r="D10720" t="s">
        <v>8</v>
      </c>
    </row>
    <row r="10721" spans="1:4">
      <c r="A10721" t="s">
        <v>6</v>
      </c>
      <c r="B10721">
        <v>36</v>
      </c>
      <c r="C10721" t="str">
        <f>CHOOSE(MATCH(B10721, {20,25,30,35,40,45,50,55,60,65,70,75,80,85}, 1), "20-24", "25-29", "30-34", "35-39", "40-44", "45-49", "50-54", "55-59", "60-64", "65-69", "70-74", "75-79", "80-84", "85+")</f>
        <v>35-39</v>
      </c>
      <c r="D10721" t="s">
        <v>8</v>
      </c>
    </row>
    <row r="10722" spans="1:4">
      <c r="A10722" t="s">
        <v>6</v>
      </c>
      <c r="B10722">
        <v>29</v>
      </c>
      <c r="C10722" t="str">
        <f>CHOOSE(MATCH(B10722, {20,25,30,35,40,45,50,55,60,65,70,75,80,85}, 1), "20-24", "25-29", "30-34", "35-39", "40-44", "45-49", "50-54", "55-59", "60-64", "65-69", "70-74", "75-79", "80-84", "85+")</f>
        <v>25-29</v>
      </c>
      <c r="D10722" t="s">
        <v>8</v>
      </c>
    </row>
    <row r="10723" spans="1:4">
      <c r="A10723" t="s">
        <v>6</v>
      </c>
      <c r="B10723">
        <v>30</v>
      </c>
      <c r="C10723" t="str">
        <f>CHOOSE(MATCH(B10723, {20,25,30,35,40,45,50,55,60,65,70,75,80,85}, 1), "20-24", "25-29", "30-34", "35-39", "40-44", "45-49", "50-54", "55-59", "60-64", "65-69", "70-74", "75-79", "80-84", "85+")</f>
        <v>30-34</v>
      </c>
      <c r="D10723" t="s">
        <v>7</v>
      </c>
    </row>
    <row r="10724" spans="1:4">
      <c r="A10724" t="s">
        <v>6</v>
      </c>
      <c r="B10724">
        <v>28</v>
      </c>
      <c r="C10724" t="str">
        <f>CHOOSE(MATCH(B10724, {20,25,30,35,40,45,50,55,60,65,70,75,80,85}, 1), "20-24", "25-29", "30-34", "35-39", "40-44", "45-49", "50-54", "55-59", "60-64", "65-69", "70-74", "75-79", "80-84", "85+")</f>
        <v>25-29</v>
      </c>
      <c r="D10724" t="s">
        <v>8</v>
      </c>
    </row>
    <row r="10725" spans="1:4">
      <c r="A10725" t="s">
        <v>6</v>
      </c>
      <c r="B10725">
        <v>40</v>
      </c>
      <c r="C10725" t="str">
        <f>CHOOSE(MATCH(B10725, {20,25,30,35,40,45,50,55,60,65,70,75,80,85}, 1), "20-24", "25-29", "30-34", "35-39", "40-44", "45-49", "50-54", "55-59", "60-64", "65-69", "70-74", "75-79", "80-84", "85+")</f>
        <v>40-44</v>
      </c>
      <c r="D10725" t="s">
        <v>8</v>
      </c>
    </row>
    <row r="10726" spans="1:4">
      <c r="A10726" t="s">
        <v>6</v>
      </c>
      <c r="B10726">
        <v>72</v>
      </c>
      <c r="C10726" t="str">
        <f>CHOOSE(MATCH(B10726, {20,25,30,35,40,45,50,55,60,65,70,75,80,85}, 1), "20-24", "25-29", "30-34", "35-39", "40-44", "45-49", "50-54", "55-59", "60-64", "65-69", "70-74", "75-79", "80-84", "85+")</f>
        <v>70-74</v>
      </c>
      <c r="D10726" t="s">
        <v>8</v>
      </c>
    </row>
    <row r="10727" spans="1:4">
      <c r="A10727" t="s">
        <v>6</v>
      </c>
      <c r="B10727">
        <v>73</v>
      </c>
      <c r="C10727" t="str">
        <f>CHOOSE(MATCH(B10727, {20,25,30,35,40,45,50,55,60,65,70,75,80,85}, 1), "20-24", "25-29", "30-34", "35-39", "40-44", "45-49", "50-54", "55-59", "60-64", "65-69", "70-74", "75-79", "80-84", "85+")</f>
        <v>70-74</v>
      </c>
      <c r="D10727" t="s">
        <v>7</v>
      </c>
    </row>
    <row r="10728" spans="1:4">
      <c r="A10728" t="s">
        <v>6</v>
      </c>
      <c r="B10728">
        <v>52</v>
      </c>
      <c r="C10728" t="str">
        <f>CHOOSE(MATCH(B10728, {20,25,30,35,40,45,50,55,60,65,70,75,80,85}, 1), "20-24", "25-29", "30-34", "35-39", "40-44", "45-49", "50-54", "55-59", "60-64", "65-69", "70-74", "75-79", "80-84", "85+")</f>
        <v>50-54</v>
      </c>
      <c r="D10728" t="s">
        <v>8</v>
      </c>
    </row>
    <row r="10729" spans="1:4">
      <c r="A10729" t="s">
        <v>6</v>
      </c>
      <c r="B10729">
        <v>27</v>
      </c>
      <c r="C10729" t="str">
        <f>CHOOSE(MATCH(B10729, {20,25,30,35,40,45,50,55,60,65,70,75,80,85}, 1), "20-24", "25-29", "30-34", "35-39", "40-44", "45-49", "50-54", "55-59", "60-64", "65-69", "70-74", "75-79", "80-84", "85+")</f>
        <v>25-29</v>
      </c>
      <c r="D10729" t="s">
        <v>8</v>
      </c>
    </row>
    <row r="10730" spans="1:4">
      <c r="A10730" t="s">
        <v>6</v>
      </c>
      <c r="B10730">
        <v>39</v>
      </c>
      <c r="C10730" t="str">
        <f>CHOOSE(MATCH(B10730, {20,25,30,35,40,45,50,55,60,65,70,75,80,85}, 1), "20-24", "25-29", "30-34", "35-39", "40-44", "45-49", "50-54", "55-59", "60-64", "65-69", "70-74", "75-79", "80-84", "85+")</f>
        <v>35-39</v>
      </c>
      <c r="D10730" t="s">
        <v>7</v>
      </c>
    </row>
    <row r="10731" spans="1:4">
      <c r="A10731" t="s">
        <v>6</v>
      </c>
      <c r="B10731">
        <v>50</v>
      </c>
      <c r="C10731" t="str">
        <f>CHOOSE(MATCH(B10731, {20,25,30,35,40,45,50,55,60,65,70,75,80,85}, 1), "20-24", "25-29", "30-34", "35-39", "40-44", "45-49", "50-54", "55-59", "60-64", "65-69", "70-74", "75-79", "80-84", "85+")</f>
        <v>50-54</v>
      </c>
      <c r="D10731" t="s">
        <v>7</v>
      </c>
    </row>
    <row r="10732" spans="1:4">
      <c r="A10732" t="s">
        <v>6</v>
      </c>
      <c r="B10732">
        <v>27</v>
      </c>
      <c r="C10732" t="str">
        <f>CHOOSE(MATCH(B10732, {20,25,30,35,40,45,50,55,60,65,70,75,80,85}, 1), "20-24", "25-29", "30-34", "35-39", "40-44", "45-49", "50-54", "55-59", "60-64", "65-69", "70-74", "75-79", "80-84", "85+")</f>
        <v>25-29</v>
      </c>
      <c r="D10732" t="s">
        <v>7</v>
      </c>
    </row>
    <row r="10733" spans="1:4">
      <c r="A10733" t="s">
        <v>6</v>
      </c>
      <c r="B10733">
        <v>42</v>
      </c>
      <c r="C10733" t="str">
        <f>CHOOSE(MATCH(B10733, {20,25,30,35,40,45,50,55,60,65,70,75,80,85}, 1), "20-24", "25-29", "30-34", "35-39", "40-44", "45-49", "50-54", "55-59", "60-64", "65-69", "70-74", "75-79", "80-84", "85+")</f>
        <v>40-44</v>
      </c>
      <c r="D10733" t="s">
        <v>7</v>
      </c>
    </row>
    <row r="10734" spans="1:4">
      <c r="A10734" t="s">
        <v>6</v>
      </c>
      <c r="B10734">
        <v>42</v>
      </c>
      <c r="C10734" t="str">
        <f>CHOOSE(MATCH(B10734, {20,25,30,35,40,45,50,55,60,65,70,75,80,85}, 1), "20-24", "25-29", "30-34", "35-39", "40-44", "45-49", "50-54", "55-59", "60-64", "65-69", "70-74", "75-79", "80-84", "85+")</f>
        <v>40-44</v>
      </c>
      <c r="D10734" t="s">
        <v>7</v>
      </c>
    </row>
    <row r="10735" spans="1:4">
      <c r="A10735" t="s">
        <v>6</v>
      </c>
      <c r="B10735">
        <v>52</v>
      </c>
      <c r="C10735" t="str">
        <f>CHOOSE(MATCH(B10735, {20,25,30,35,40,45,50,55,60,65,70,75,80,85}, 1), "20-24", "25-29", "30-34", "35-39", "40-44", "45-49", "50-54", "55-59", "60-64", "65-69", "70-74", "75-79", "80-84", "85+")</f>
        <v>50-54</v>
      </c>
      <c r="D10735" t="s">
        <v>8</v>
      </c>
    </row>
    <row r="10736" spans="1:4">
      <c r="A10736" t="s">
        <v>6</v>
      </c>
      <c r="B10736">
        <v>54</v>
      </c>
      <c r="C10736" t="str">
        <f>CHOOSE(MATCH(B10736, {20,25,30,35,40,45,50,55,60,65,70,75,80,85}, 1), "20-24", "25-29", "30-34", "35-39", "40-44", "45-49", "50-54", "55-59", "60-64", "65-69", "70-74", "75-79", "80-84", "85+")</f>
        <v>50-54</v>
      </c>
      <c r="D10736" t="s">
        <v>8</v>
      </c>
    </row>
    <row r="10737" spans="1:4">
      <c r="A10737" t="s">
        <v>6</v>
      </c>
      <c r="B10737">
        <v>28</v>
      </c>
      <c r="C10737" t="str">
        <f>CHOOSE(MATCH(B10737, {20,25,30,35,40,45,50,55,60,65,70,75,80,85}, 1), "20-24", "25-29", "30-34", "35-39", "40-44", "45-49", "50-54", "55-59", "60-64", "65-69", "70-74", "75-79", "80-84", "85+")</f>
        <v>25-29</v>
      </c>
      <c r="D10737" t="s">
        <v>7</v>
      </c>
    </row>
    <row r="10738" spans="1:4">
      <c r="A10738" t="s">
        <v>6</v>
      </c>
      <c r="B10738">
        <v>31</v>
      </c>
      <c r="C10738" t="str">
        <f>CHOOSE(MATCH(B10738, {20,25,30,35,40,45,50,55,60,65,70,75,80,85}, 1), "20-24", "25-29", "30-34", "35-39", "40-44", "45-49", "50-54", "55-59", "60-64", "65-69", "70-74", "75-79", "80-84", "85+")</f>
        <v>30-34</v>
      </c>
      <c r="D10738" t="s">
        <v>7</v>
      </c>
    </row>
    <row r="10739" spans="1:4">
      <c r="A10739" t="s">
        <v>6</v>
      </c>
      <c r="B10739">
        <v>34</v>
      </c>
      <c r="C10739" t="str">
        <f>CHOOSE(MATCH(B10739, {20,25,30,35,40,45,50,55,60,65,70,75,80,85}, 1), "20-24", "25-29", "30-34", "35-39", "40-44", "45-49", "50-54", "55-59", "60-64", "65-69", "70-74", "75-79", "80-84", "85+")</f>
        <v>30-34</v>
      </c>
      <c r="D10739" t="s">
        <v>7</v>
      </c>
    </row>
    <row r="10740" spans="1:4">
      <c r="A10740" t="s">
        <v>6</v>
      </c>
      <c r="B10740">
        <v>44</v>
      </c>
      <c r="C10740" t="str">
        <f>CHOOSE(MATCH(B10740, {20,25,30,35,40,45,50,55,60,65,70,75,80,85}, 1), "20-24", "25-29", "30-34", "35-39", "40-44", "45-49", "50-54", "55-59", "60-64", "65-69", "70-74", "75-79", "80-84", "85+")</f>
        <v>40-44</v>
      </c>
      <c r="D10740" t="s">
        <v>7</v>
      </c>
    </row>
    <row r="10741" spans="1:4">
      <c r="A10741" t="s">
        <v>6</v>
      </c>
      <c r="B10741">
        <v>37</v>
      </c>
      <c r="C10741" t="str">
        <f>CHOOSE(MATCH(B10741, {20,25,30,35,40,45,50,55,60,65,70,75,80,85}, 1), "20-24", "25-29", "30-34", "35-39", "40-44", "45-49", "50-54", "55-59", "60-64", "65-69", "70-74", "75-79", "80-84", "85+")</f>
        <v>35-39</v>
      </c>
      <c r="D10741" t="s">
        <v>7</v>
      </c>
    </row>
    <row r="10742" spans="1:4">
      <c r="A10742" t="s">
        <v>6</v>
      </c>
      <c r="B10742">
        <v>46</v>
      </c>
      <c r="C10742" t="str">
        <f>CHOOSE(MATCH(B10742, {20,25,30,35,40,45,50,55,60,65,70,75,80,85}, 1), "20-24", "25-29", "30-34", "35-39", "40-44", "45-49", "50-54", "55-59", "60-64", "65-69", "70-74", "75-79", "80-84", "85+")</f>
        <v>45-49</v>
      </c>
      <c r="D10742" t="s">
        <v>7</v>
      </c>
    </row>
    <row r="10743" spans="1:4">
      <c r="A10743" t="s">
        <v>6</v>
      </c>
      <c r="B10743">
        <v>52</v>
      </c>
      <c r="C10743" t="str">
        <f>CHOOSE(MATCH(B10743, {20,25,30,35,40,45,50,55,60,65,70,75,80,85}, 1), "20-24", "25-29", "30-34", "35-39", "40-44", "45-49", "50-54", "55-59", "60-64", "65-69", "70-74", "75-79", "80-84", "85+")</f>
        <v>50-54</v>
      </c>
      <c r="D10743" t="s">
        <v>8</v>
      </c>
    </row>
    <row r="10744" spans="1:4">
      <c r="A10744" t="s">
        <v>6</v>
      </c>
      <c r="B10744">
        <v>48</v>
      </c>
      <c r="C10744" t="str">
        <f>CHOOSE(MATCH(B10744, {20,25,30,35,40,45,50,55,60,65,70,75,80,85}, 1), "20-24", "25-29", "30-34", "35-39", "40-44", "45-49", "50-54", "55-59", "60-64", "65-69", "70-74", "75-79", "80-84", "85+")</f>
        <v>45-49</v>
      </c>
      <c r="D10744" t="s">
        <v>8</v>
      </c>
    </row>
    <row r="10745" spans="1:4">
      <c r="A10745" t="s">
        <v>6</v>
      </c>
      <c r="B10745">
        <v>29</v>
      </c>
      <c r="C10745" t="str">
        <f>CHOOSE(MATCH(B10745, {20,25,30,35,40,45,50,55,60,65,70,75,80,85}, 1), "20-24", "25-29", "30-34", "35-39", "40-44", "45-49", "50-54", "55-59", "60-64", "65-69", "70-74", "75-79", "80-84", "85+")</f>
        <v>25-29</v>
      </c>
      <c r="D10745" t="s">
        <v>7</v>
      </c>
    </row>
    <row r="10746" spans="1:4">
      <c r="A10746" t="s">
        <v>6</v>
      </c>
      <c r="B10746">
        <v>29</v>
      </c>
      <c r="C10746" t="str">
        <f>CHOOSE(MATCH(B10746, {20,25,30,35,40,45,50,55,60,65,70,75,80,85}, 1), "20-24", "25-29", "30-34", "35-39", "40-44", "45-49", "50-54", "55-59", "60-64", "65-69", "70-74", "75-79", "80-84", "85+")</f>
        <v>25-29</v>
      </c>
      <c r="D10746" t="s">
        <v>7</v>
      </c>
    </row>
    <row r="10747" spans="1:4">
      <c r="A10747" t="s">
        <v>6</v>
      </c>
      <c r="B10747">
        <v>53</v>
      </c>
      <c r="C10747" t="str">
        <f>CHOOSE(MATCH(B10747, {20,25,30,35,40,45,50,55,60,65,70,75,80,85}, 1), "20-24", "25-29", "30-34", "35-39", "40-44", "45-49", "50-54", "55-59", "60-64", "65-69", "70-74", "75-79", "80-84", "85+")</f>
        <v>50-54</v>
      </c>
      <c r="D10747" t="s">
        <v>8</v>
      </c>
    </row>
    <row r="10748" spans="1:4">
      <c r="A10748" t="s">
        <v>6</v>
      </c>
      <c r="B10748">
        <v>35</v>
      </c>
      <c r="C10748" t="str">
        <f>CHOOSE(MATCH(B10748, {20,25,30,35,40,45,50,55,60,65,70,75,80,85}, 1), "20-24", "25-29", "30-34", "35-39", "40-44", "45-49", "50-54", "55-59", "60-64", "65-69", "70-74", "75-79", "80-84", "85+")</f>
        <v>35-39</v>
      </c>
      <c r="D10748" t="s">
        <v>7</v>
      </c>
    </row>
    <row r="10749" spans="1:4">
      <c r="A10749" t="s">
        <v>6</v>
      </c>
      <c r="B10749">
        <v>31</v>
      </c>
      <c r="C10749" t="str">
        <f>CHOOSE(MATCH(B10749, {20,25,30,35,40,45,50,55,60,65,70,75,80,85}, 1), "20-24", "25-29", "30-34", "35-39", "40-44", "45-49", "50-54", "55-59", "60-64", "65-69", "70-74", "75-79", "80-84", "85+")</f>
        <v>30-34</v>
      </c>
      <c r="D10749" t="s">
        <v>8</v>
      </c>
    </row>
    <row r="10750" spans="1:4">
      <c r="A10750" t="s">
        <v>6</v>
      </c>
      <c r="B10750">
        <v>27</v>
      </c>
      <c r="C10750" t="str">
        <f>CHOOSE(MATCH(B10750, {20,25,30,35,40,45,50,55,60,65,70,75,80,85}, 1), "20-24", "25-29", "30-34", "35-39", "40-44", "45-49", "50-54", "55-59", "60-64", "65-69", "70-74", "75-79", "80-84", "85+")</f>
        <v>25-29</v>
      </c>
      <c r="D10750" t="s">
        <v>7</v>
      </c>
    </row>
    <row r="10751" spans="1:4">
      <c r="A10751" t="s">
        <v>6</v>
      </c>
      <c r="B10751">
        <v>35</v>
      </c>
      <c r="C10751" t="str">
        <f>CHOOSE(MATCH(B10751, {20,25,30,35,40,45,50,55,60,65,70,75,80,85}, 1), "20-24", "25-29", "30-34", "35-39", "40-44", "45-49", "50-54", "55-59", "60-64", "65-69", "70-74", "75-79", "80-84", "85+")</f>
        <v>35-39</v>
      </c>
      <c r="D10751" t="s">
        <v>8</v>
      </c>
    </row>
    <row r="10752" spans="1:4">
      <c r="A10752" t="s">
        <v>6</v>
      </c>
      <c r="B10752">
        <v>43</v>
      </c>
      <c r="C10752" t="str">
        <f>CHOOSE(MATCH(B10752, {20,25,30,35,40,45,50,55,60,65,70,75,80,85}, 1), "20-24", "25-29", "30-34", "35-39", "40-44", "45-49", "50-54", "55-59", "60-64", "65-69", "70-74", "75-79", "80-84", "85+")</f>
        <v>40-44</v>
      </c>
      <c r="D10752" t="s">
        <v>8</v>
      </c>
    </row>
    <row r="10753" spans="1:4">
      <c r="A10753" t="s">
        <v>6</v>
      </c>
      <c r="B10753">
        <v>40</v>
      </c>
      <c r="C10753" t="str">
        <f>CHOOSE(MATCH(B10753, {20,25,30,35,40,45,50,55,60,65,70,75,80,85}, 1), "20-24", "25-29", "30-34", "35-39", "40-44", "45-49", "50-54", "55-59", "60-64", "65-69", "70-74", "75-79", "80-84", "85+")</f>
        <v>40-44</v>
      </c>
      <c r="D10753" t="s">
        <v>7</v>
      </c>
    </row>
    <row r="10754" spans="1:4">
      <c r="A10754" t="s">
        <v>6</v>
      </c>
      <c r="B10754">
        <v>24</v>
      </c>
      <c r="C10754" t="str">
        <f>CHOOSE(MATCH(B10754, {20,25,30,35,40,45,50,55,60,65,70,75,80,85}, 1), "20-24", "25-29", "30-34", "35-39", "40-44", "45-49", "50-54", "55-59", "60-64", "65-69", "70-74", "75-79", "80-84", "85+")</f>
        <v>20-24</v>
      </c>
      <c r="D10754" t="s">
        <v>7</v>
      </c>
    </row>
    <row r="10755" spans="1:4">
      <c r="A10755" t="s">
        <v>6</v>
      </c>
      <c r="B10755">
        <v>54</v>
      </c>
      <c r="C10755" t="str">
        <f>CHOOSE(MATCH(B10755, {20,25,30,35,40,45,50,55,60,65,70,75,80,85}, 1), "20-24", "25-29", "30-34", "35-39", "40-44", "45-49", "50-54", "55-59", "60-64", "65-69", "70-74", "75-79", "80-84", "85+")</f>
        <v>50-54</v>
      </c>
      <c r="D10755" t="s">
        <v>7</v>
      </c>
    </row>
    <row r="10756" spans="1:4">
      <c r="A10756" t="s">
        <v>6</v>
      </c>
      <c r="B10756">
        <v>32</v>
      </c>
      <c r="C10756" t="str">
        <f>CHOOSE(MATCH(B10756, {20,25,30,35,40,45,50,55,60,65,70,75,80,85}, 1), "20-24", "25-29", "30-34", "35-39", "40-44", "45-49", "50-54", "55-59", "60-64", "65-69", "70-74", "75-79", "80-84", "85+")</f>
        <v>30-34</v>
      </c>
      <c r="D10756" t="s">
        <v>8</v>
      </c>
    </row>
    <row r="10757" spans="1:4">
      <c r="A10757" t="s">
        <v>6</v>
      </c>
      <c r="B10757">
        <v>26</v>
      </c>
      <c r="C10757" t="str">
        <f>CHOOSE(MATCH(B10757, {20,25,30,35,40,45,50,55,60,65,70,75,80,85}, 1), "20-24", "25-29", "30-34", "35-39", "40-44", "45-49", "50-54", "55-59", "60-64", "65-69", "70-74", "75-79", "80-84", "85+")</f>
        <v>25-29</v>
      </c>
      <c r="D10757" t="s">
        <v>7</v>
      </c>
    </row>
    <row r="10758" spans="1:4">
      <c r="A10758" t="s">
        <v>6</v>
      </c>
      <c r="B10758">
        <v>44</v>
      </c>
      <c r="C10758" t="str">
        <f>CHOOSE(MATCH(B10758, {20,25,30,35,40,45,50,55,60,65,70,75,80,85}, 1), "20-24", "25-29", "30-34", "35-39", "40-44", "45-49", "50-54", "55-59", "60-64", "65-69", "70-74", "75-79", "80-84", "85+")</f>
        <v>40-44</v>
      </c>
      <c r="D10758" t="s">
        <v>7</v>
      </c>
    </row>
    <row r="10759" spans="1:4">
      <c r="A10759" t="s">
        <v>6</v>
      </c>
      <c r="B10759">
        <v>61</v>
      </c>
      <c r="C10759" t="str">
        <f>CHOOSE(MATCH(B10759, {20,25,30,35,40,45,50,55,60,65,70,75,80,85}, 1), "20-24", "25-29", "30-34", "35-39", "40-44", "45-49", "50-54", "55-59", "60-64", "65-69", "70-74", "75-79", "80-84", "85+")</f>
        <v>60-64</v>
      </c>
      <c r="D10759" t="s">
        <v>8</v>
      </c>
    </row>
    <row r="10760" spans="1:4">
      <c r="A10760" t="s">
        <v>6</v>
      </c>
      <c r="B10760">
        <v>44</v>
      </c>
      <c r="C10760" t="str">
        <f>CHOOSE(MATCH(B10760, {20,25,30,35,40,45,50,55,60,65,70,75,80,85}, 1), "20-24", "25-29", "30-34", "35-39", "40-44", "45-49", "50-54", "55-59", "60-64", "65-69", "70-74", "75-79", "80-84", "85+")</f>
        <v>40-44</v>
      </c>
      <c r="D10760" t="s">
        <v>8</v>
      </c>
    </row>
    <row r="10761" spans="1:4">
      <c r="A10761" t="s">
        <v>6</v>
      </c>
      <c r="B10761">
        <v>37</v>
      </c>
      <c r="C10761" t="str">
        <f>CHOOSE(MATCH(B10761, {20,25,30,35,40,45,50,55,60,65,70,75,80,85}, 1), "20-24", "25-29", "30-34", "35-39", "40-44", "45-49", "50-54", "55-59", "60-64", "65-69", "70-74", "75-79", "80-84", "85+")</f>
        <v>35-39</v>
      </c>
      <c r="D10761" t="s">
        <v>7</v>
      </c>
    </row>
    <row r="10762" spans="1:4">
      <c r="A10762" t="s">
        <v>6</v>
      </c>
      <c r="B10762">
        <v>24</v>
      </c>
      <c r="C10762" t="str">
        <f>CHOOSE(MATCH(B10762, {20,25,30,35,40,45,50,55,60,65,70,75,80,85}, 1), "20-24", "25-29", "30-34", "35-39", "40-44", "45-49", "50-54", "55-59", "60-64", "65-69", "70-74", "75-79", "80-84", "85+")</f>
        <v>20-24</v>
      </c>
      <c r="D10762" t="s">
        <v>7</v>
      </c>
    </row>
    <row r="10763" spans="1:4">
      <c r="A10763" t="s">
        <v>6</v>
      </c>
      <c r="B10763">
        <v>62</v>
      </c>
      <c r="C10763" t="str">
        <f>CHOOSE(MATCH(B10763, {20,25,30,35,40,45,50,55,60,65,70,75,80,85}, 1), "20-24", "25-29", "30-34", "35-39", "40-44", "45-49", "50-54", "55-59", "60-64", "65-69", "70-74", "75-79", "80-84", "85+")</f>
        <v>60-64</v>
      </c>
      <c r="D10763" t="s">
        <v>7</v>
      </c>
    </row>
    <row r="10764" spans="1:4">
      <c r="A10764" t="s">
        <v>6</v>
      </c>
      <c r="B10764">
        <v>44</v>
      </c>
      <c r="C10764" t="str">
        <f>CHOOSE(MATCH(B10764, {20,25,30,35,40,45,50,55,60,65,70,75,80,85}, 1), "20-24", "25-29", "30-34", "35-39", "40-44", "45-49", "50-54", "55-59", "60-64", "65-69", "70-74", "75-79", "80-84", "85+")</f>
        <v>40-44</v>
      </c>
      <c r="D10764" t="s">
        <v>7</v>
      </c>
    </row>
    <row r="10765" spans="1:4">
      <c r="A10765" t="s">
        <v>6</v>
      </c>
      <c r="B10765">
        <v>49</v>
      </c>
      <c r="C10765" t="str">
        <f>CHOOSE(MATCH(B10765, {20,25,30,35,40,45,50,55,60,65,70,75,80,85}, 1), "20-24", "25-29", "30-34", "35-39", "40-44", "45-49", "50-54", "55-59", "60-64", "65-69", "70-74", "75-79", "80-84", "85+")</f>
        <v>45-49</v>
      </c>
      <c r="D10765" t="s">
        <v>8</v>
      </c>
    </row>
    <row r="10766" spans="1:4">
      <c r="A10766" t="s">
        <v>6</v>
      </c>
      <c r="B10766">
        <v>25</v>
      </c>
      <c r="C10766" t="str">
        <f>CHOOSE(MATCH(B10766, {20,25,30,35,40,45,50,55,60,65,70,75,80,85}, 1), "20-24", "25-29", "30-34", "35-39", "40-44", "45-49", "50-54", "55-59", "60-64", "65-69", "70-74", "75-79", "80-84", "85+")</f>
        <v>25-29</v>
      </c>
      <c r="D10766" t="s">
        <v>7</v>
      </c>
    </row>
    <row r="10767" spans="1:4">
      <c r="A10767" t="s">
        <v>6</v>
      </c>
      <c r="B10767">
        <v>44</v>
      </c>
      <c r="C10767" t="str">
        <f>CHOOSE(MATCH(B10767, {20,25,30,35,40,45,50,55,60,65,70,75,80,85}, 1), "20-24", "25-29", "30-34", "35-39", "40-44", "45-49", "50-54", "55-59", "60-64", "65-69", "70-74", "75-79", "80-84", "85+")</f>
        <v>40-44</v>
      </c>
      <c r="D10767" t="s">
        <v>7</v>
      </c>
    </row>
    <row r="10768" spans="1:4">
      <c r="A10768" t="s">
        <v>6</v>
      </c>
      <c r="B10768">
        <v>28</v>
      </c>
      <c r="C10768" t="str">
        <f>CHOOSE(MATCH(B10768, {20,25,30,35,40,45,50,55,60,65,70,75,80,85}, 1), "20-24", "25-29", "30-34", "35-39", "40-44", "45-49", "50-54", "55-59", "60-64", "65-69", "70-74", "75-79", "80-84", "85+")</f>
        <v>25-29</v>
      </c>
      <c r="D10768" t="s">
        <v>8</v>
      </c>
    </row>
    <row r="10769" spans="1:4">
      <c r="A10769" t="s">
        <v>6</v>
      </c>
      <c r="B10769">
        <v>28</v>
      </c>
      <c r="C10769" t="str">
        <f>CHOOSE(MATCH(B10769, {20,25,30,35,40,45,50,55,60,65,70,75,80,85}, 1), "20-24", "25-29", "30-34", "35-39", "40-44", "45-49", "50-54", "55-59", "60-64", "65-69", "70-74", "75-79", "80-84", "85+")</f>
        <v>25-29</v>
      </c>
      <c r="D10769" t="s">
        <v>7</v>
      </c>
    </row>
    <row r="10770" spans="1:4">
      <c r="A10770" t="s">
        <v>6</v>
      </c>
      <c r="B10770">
        <v>39</v>
      </c>
      <c r="C10770" t="str">
        <f>CHOOSE(MATCH(B10770, {20,25,30,35,40,45,50,55,60,65,70,75,80,85}, 1), "20-24", "25-29", "30-34", "35-39", "40-44", "45-49", "50-54", "55-59", "60-64", "65-69", "70-74", "75-79", "80-84", "85+")</f>
        <v>35-39</v>
      </c>
      <c r="D10770" t="s">
        <v>8</v>
      </c>
    </row>
    <row r="10771" spans="1:4">
      <c r="A10771" t="s">
        <v>6</v>
      </c>
      <c r="B10771">
        <v>20</v>
      </c>
      <c r="C10771" t="str">
        <f>CHOOSE(MATCH(B10771, {20,25,30,35,40,45,50,55,60,65,70,75,80,85}, 1), "20-24", "25-29", "30-34", "35-39", "40-44", "45-49", "50-54", "55-59", "60-64", "65-69", "70-74", "75-79", "80-84", "85+")</f>
        <v>20-24</v>
      </c>
      <c r="D10771" t="s">
        <v>7</v>
      </c>
    </row>
    <row r="10772" spans="1:4">
      <c r="A10772" t="s">
        <v>6</v>
      </c>
      <c r="B10772">
        <v>58</v>
      </c>
      <c r="C10772" t="str">
        <f>CHOOSE(MATCH(B10772, {20,25,30,35,40,45,50,55,60,65,70,75,80,85}, 1), "20-24", "25-29", "30-34", "35-39", "40-44", "45-49", "50-54", "55-59", "60-64", "65-69", "70-74", "75-79", "80-84", "85+")</f>
        <v>55-59</v>
      </c>
      <c r="D10772" t="s">
        <v>8</v>
      </c>
    </row>
    <row r="10773" spans="1:4">
      <c r="A10773" t="s">
        <v>6</v>
      </c>
      <c r="B10773">
        <v>24</v>
      </c>
      <c r="C10773" t="str">
        <f>CHOOSE(MATCH(B10773, {20,25,30,35,40,45,50,55,60,65,70,75,80,85}, 1), "20-24", "25-29", "30-34", "35-39", "40-44", "45-49", "50-54", "55-59", "60-64", "65-69", "70-74", "75-79", "80-84", "85+")</f>
        <v>20-24</v>
      </c>
      <c r="D10773" t="s">
        <v>7</v>
      </c>
    </row>
    <row r="10774" spans="1:4">
      <c r="A10774" t="s">
        <v>6</v>
      </c>
      <c r="B10774">
        <v>46</v>
      </c>
      <c r="C10774" t="str">
        <f>CHOOSE(MATCH(B10774, {20,25,30,35,40,45,50,55,60,65,70,75,80,85}, 1), "20-24", "25-29", "30-34", "35-39", "40-44", "45-49", "50-54", "55-59", "60-64", "65-69", "70-74", "75-79", "80-84", "85+")</f>
        <v>45-49</v>
      </c>
      <c r="D10774" t="s">
        <v>8</v>
      </c>
    </row>
    <row r="10775" spans="1:4">
      <c r="A10775" t="s">
        <v>6</v>
      </c>
      <c r="B10775">
        <v>26</v>
      </c>
      <c r="C10775" t="str">
        <f>CHOOSE(MATCH(B10775, {20,25,30,35,40,45,50,55,60,65,70,75,80,85}, 1), "20-24", "25-29", "30-34", "35-39", "40-44", "45-49", "50-54", "55-59", "60-64", "65-69", "70-74", "75-79", "80-84", "85+")</f>
        <v>25-29</v>
      </c>
      <c r="D10775" t="s">
        <v>7</v>
      </c>
    </row>
    <row r="10776" spans="1:4">
      <c r="A10776" t="s">
        <v>6</v>
      </c>
      <c r="B10776">
        <v>57</v>
      </c>
      <c r="C10776" t="str">
        <f>CHOOSE(MATCH(B10776, {20,25,30,35,40,45,50,55,60,65,70,75,80,85}, 1), "20-24", "25-29", "30-34", "35-39", "40-44", "45-49", "50-54", "55-59", "60-64", "65-69", "70-74", "75-79", "80-84", "85+")</f>
        <v>55-59</v>
      </c>
      <c r="D10776" t="s">
        <v>7</v>
      </c>
    </row>
    <row r="10777" spans="1:4">
      <c r="A10777" t="s">
        <v>6</v>
      </c>
      <c r="B10777">
        <v>28</v>
      </c>
      <c r="C10777" t="str">
        <f>CHOOSE(MATCH(B10777, {20,25,30,35,40,45,50,55,60,65,70,75,80,85}, 1), "20-24", "25-29", "30-34", "35-39", "40-44", "45-49", "50-54", "55-59", "60-64", "65-69", "70-74", "75-79", "80-84", "85+")</f>
        <v>25-29</v>
      </c>
      <c r="D10777" t="s">
        <v>8</v>
      </c>
    </row>
    <row r="10778" spans="1:4">
      <c r="A10778" t="s">
        <v>6</v>
      </c>
      <c r="B10778">
        <v>83</v>
      </c>
      <c r="C10778" t="str">
        <f>CHOOSE(MATCH(B10778, {20,25,30,35,40,45,50,55,60,65,70,75,80,85}, 1), "20-24", "25-29", "30-34", "35-39", "40-44", "45-49", "50-54", "55-59", "60-64", "65-69", "70-74", "75-79", "80-84", "85+")</f>
        <v>80-84</v>
      </c>
      <c r="D10778" t="s">
        <v>7</v>
      </c>
    </row>
    <row r="10779" spans="1:4">
      <c r="A10779" t="s">
        <v>6</v>
      </c>
      <c r="B10779">
        <v>41</v>
      </c>
      <c r="C10779" t="str">
        <f>CHOOSE(MATCH(B10779, {20,25,30,35,40,45,50,55,60,65,70,75,80,85}, 1), "20-24", "25-29", "30-34", "35-39", "40-44", "45-49", "50-54", "55-59", "60-64", "65-69", "70-74", "75-79", "80-84", "85+")</f>
        <v>40-44</v>
      </c>
      <c r="D10779" t="s">
        <v>7</v>
      </c>
    </row>
    <row r="10780" spans="1:4">
      <c r="A10780" t="s">
        <v>6</v>
      </c>
      <c r="B10780">
        <v>27</v>
      </c>
      <c r="C10780" t="str">
        <f>CHOOSE(MATCH(B10780, {20,25,30,35,40,45,50,55,60,65,70,75,80,85}, 1), "20-24", "25-29", "30-34", "35-39", "40-44", "45-49", "50-54", "55-59", "60-64", "65-69", "70-74", "75-79", "80-84", "85+")</f>
        <v>25-29</v>
      </c>
      <c r="D10780" t="s">
        <v>7</v>
      </c>
    </row>
    <row r="10781" spans="1:4">
      <c r="A10781" t="s">
        <v>6</v>
      </c>
      <c r="B10781">
        <v>36</v>
      </c>
      <c r="C10781" t="str">
        <f>CHOOSE(MATCH(B10781, {20,25,30,35,40,45,50,55,60,65,70,75,80,85}, 1), "20-24", "25-29", "30-34", "35-39", "40-44", "45-49", "50-54", "55-59", "60-64", "65-69", "70-74", "75-79", "80-84", "85+")</f>
        <v>35-39</v>
      </c>
      <c r="D10781" t="s">
        <v>7</v>
      </c>
    </row>
    <row r="10782" spans="1:4">
      <c r="A10782" t="s">
        <v>6</v>
      </c>
      <c r="B10782">
        <v>27</v>
      </c>
      <c r="C10782" t="str">
        <f>CHOOSE(MATCH(B10782, {20,25,30,35,40,45,50,55,60,65,70,75,80,85}, 1), "20-24", "25-29", "30-34", "35-39", "40-44", "45-49", "50-54", "55-59", "60-64", "65-69", "70-74", "75-79", "80-84", "85+")</f>
        <v>25-29</v>
      </c>
      <c r="D10782" t="s">
        <v>7</v>
      </c>
    </row>
    <row r="10783" spans="1:4">
      <c r="A10783" t="s">
        <v>6</v>
      </c>
      <c r="B10783">
        <v>25</v>
      </c>
      <c r="C10783" t="str">
        <f>CHOOSE(MATCH(B10783, {20,25,30,35,40,45,50,55,60,65,70,75,80,85}, 1), "20-24", "25-29", "30-34", "35-39", "40-44", "45-49", "50-54", "55-59", "60-64", "65-69", "70-74", "75-79", "80-84", "85+")</f>
        <v>25-29</v>
      </c>
      <c r="D10783" t="s">
        <v>8</v>
      </c>
    </row>
    <row r="10784" spans="1:4">
      <c r="A10784" t="s">
        <v>6</v>
      </c>
      <c r="B10784">
        <v>35</v>
      </c>
      <c r="C10784" t="str">
        <f>CHOOSE(MATCH(B10784, {20,25,30,35,40,45,50,55,60,65,70,75,80,85}, 1), "20-24", "25-29", "30-34", "35-39", "40-44", "45-49", "50-54", "55-59", "60-64", "65-69", "70-74", "75-79", "80-84", "85+")</f>
        <v>35-39</v>
      </c>
      <c r="D10784" t="s">
        <v>7</v>
      </c>
    </row>
    <row r="10785" spans="1:4">
      <c r="A10785" t="s">
        <v>6</v>
      </c>
      <c r="B10785">
        <v>33</v>
      </c>
      <c r="C10785" t="str">
        <f>CHOOSE(MATCH(B10785, {20,25,30,35,40,45,50,55,60,65,70,75,80,85}, 1), "20-24", "25-29", "30-34", "35-39", "40-44", "45-49", "50-54", "55-59", "60-64", "65-69", "70-74", "75-79", "80-84", "85+")</f>
        <v>30-34</v>
      </c>
      <c r="D10785" t="s">
        <v>8</v>
      </c>
    </row>
    <row r="10786" spans="1:4">
      <c r="A10786" t="s">
        <v>6</v>
      </c>
      <c r="B10786">
        <v>37</v>
      </c>
      <c r="C10786" t="str">
        <f>CHOOSE(MATCH(B10786, {20,25,30,35,40,45,50,55,60,65,70,75,80,85}, 1), "20-24", "25-29", "30-34", "35-39", "40-44", "45-49", "50-54", "55-59", "60-64", "65-69", "70-74", "75-79", "80-84", "85+")</f>
        <v>35-39</v>
      </c>
      <c r="D10786" t="s">
        <v>7</v>
      </c>
    </row>
    <row r="10787" spans="1:4">
      <c r="A10787" t="s">
        <v>6</v>
      </c>
      <c r="B10787">
        <v>33</v>
      </c>
      <c r="C10787" t="str">
        <f>CHOOSE(MATCH(B10787, {20,25,30,35,40,45,50,55,60,65,70,75,80,85}, 1), "20-24", "25-29", "30-34", "35-39", "40-44", "45-49", "50-54", "55-59", "60-64", "65-69", "70-74", "75-79", "80-84", "85+")</f>
        <v>30-34</v>
      </c>
      <c r="D10787" t="s">
        <v>7</v>
      </c>
    </row>
    <row r="10788" spans="1:4">
      <c r="A10788" t="s">
        <v>6</v>
      </c>
      <c r="B10788">
        <v>66</v>
      </c>
      <c r="C10788" t="str">
        <f>CHOOSE(MATCH(B10788, {20,25,30,35,40,45,50,55,60,65,70,75,80,85}, 1), "20-24", "25-29", "30-34", "35-39", "40-44", "45-49", "50-54", "55-59", "60-64", "65-69", "70-74", "75-79", "80-84", "85+")</f>
        <v>65-69</v>
      </c>
      <c r="D10788" t="s">
        <v>8</v>
      </c>
    </row>
    <row r="10789" spans="1:4">
      <c r="A10789" t="s">
        <v>6</v>
      </c>
      <c r="B10789">
        <v>53</v>
      </c>
      <c r="C10789" t="str">
        <f>CHOOSE(MATCH(B10789, {20,25,30,35,40,45,50,55,60,65,70,75,80,85}, 1), "20-24", "25-29", "30-34", "35-39", "40-44", "45-49", "50-54", "55-59", "60-64", "65-69", "70-74", "75-79", "80-84", "85+")</f>
        <v>50-54</v>
      </c>
      <c r="D10789" t="s">
        <v>8</v>
      </c>
    </row>
    <row r="10790" spans="1:4">
      <c r="A10790" t="s">
        <v>6</v>
      </c>
      <c r="B10790">
        <v>67</v>
      </c>
      <c r="C10790" t="str">
        <f>CHOOSE(MATCH(B10790, {20,25,30,35,40,45,50,55,60,65,70,75,80,85}, 1), "20-24", "25-29", "30-34", "35-39", "40-44", "45-49", "50-54", "55-59", "60-64", "65-69", "70-74", "75-79", "80-84", "85+")</f>
        <v>65-69</v>
      </c>
      <c r="D10790" t="s">
        <v>8</v>
      </c>
    </row>
    <row r="10791" spans="1:4">
      <c r="A10791" t="s">
        <v>6</v>
      </c>
      <c r="B10791">
        <v>28</v>
      </c>
      <c r="C10791" t="str">
        <f>CHOOSE(MATCH(B10791, {20,25,30,35,40,45,50,55,60,65,70,75,80,85}, 1), "20-24", "25-29", "30-34", "35-39", "40-44", "45-49", "50-54", "55-59", "60-64", "65-69", "70-74", "75-79", "80-84", "85+")</f>
        <v>25-29</v>
      </c>
      <c r="D10791" t="s">
        <v>7</v>
      </c>
    </row>
    <row r="10792" spans="1:4">
      <c r="A10792" t="s">
        <v>6</v>
      </c>
      <c r="B10792">
        <v>33</v>
      </c>
      <c r="C10792" t="str">
        <f>CHOOSE(MATCH(B10792, {20,25,30,35,40,45,50,55,60,65,70,75,80,85}, 1), "20-24", "25-29", "30-34", "35-39", "40-44", "45-49", "50-54", "55-59", "60-64", "65-69", "70-74", "75-79", "80-84", "85+")</f>
        <v>30-34</v>
      </c>
      <c r="D10792" t="s">
        <v>7</v>
      </c>
    </row>
    <row r="10793" spans="1:4">
      <c r="A10793" t="s">
        <v>6</v>
      </c>
      <c r="B10793">
        <v>51</v>
      </c>
      <c r="C10793" t="str">
        <f>CHOOSE(MATCH(B10793, {20,25,30,35,40,45,50,55,60,65,70,75,80,85}, 1), "20-24", "25-29", "30-34", "35-39", "40-44", "45-49", "50-54", "55-59", "60-64", "65-69", "70-74", "75-79", "80-84", "85+")</f>
        <v>50-54</v>
      </c>
      <c r="D10793" t="s">
        <v>8</v>
      </c>
    </row>
    <row r="10794" spans="1:4">
      <c r="A10794" t="s">
        <v>6</v>
      </c>
      <c r="B10794">
        <v>35</v>
      </c>
      <c r="C10794" t="str">
        <f>CHOOSE(MATCH(B10794, {20,25,30,35,40,45,50,55,60,65,70,75,80,85}, 1), "20-24", "25-29", "30-34", "35-39", "40-44", "45-49", "50-54", "55-59", "60-64", "65-69", "70-74", "75-79", "80-84", "85+")</f>
        <v>35-39</v>
      </c>
      <c r="D10794" t="s">
        <v>8</v>
      </c>
    </row>
    <row r="10795" spans="1:4">
      <c r="A10795" t="s">
        <v>6</v>
      </c>
      <c r="B10795">
        <v>76</v>
      </c>
      <c r="C10795" t="str">
        <f>CHOOSE(MATCH(B10795, {20,25,30,35,40,45,50,55,60,65,70,75,80,85}, 1), "20-24", "25-29", "30-34", "35-39", "40-44", "45-49", "50-54", "55-59", "60-64", "65-69", "70-74", "75-79", "80-84", "85+")</f>
        <v>75-79</v>
      </c>
      <c r="D10795" t="s">
        <v>8</v>
      </c>
    </row>
    <row r="10796" spans="1:4">
      <c r="A10796" t="s">
        <v>6</v>
      </c>
      <c r="B10796">
        <v>29</v>
      </c>
      <c r="C10796" t="str">
        <f>CHOOSE(MATCH(B10796, {20,25,30,35,40,45,50,55,60,65,70,75,80,85}, 1), "20-24", "25-29", "30-34", "35-39", "40-44", "45-49", "50-54", "55-59", "60-64", "65-69", "70-74", "75-79", "80-84", "85+")</f>
        <v>25-29</v>
      </c>
      <c r="D10796" t="s">
        <v>8</v>
      </c>
    </row>
    <row r="10797" spans="1:4">
      <c r="A10797" t="s">
        <v>6</v>
      </c>
      <c r="B10797">
        <v>31</v>
      </c>
      <c r="C10797" t="str">
        <f>CHOOSE(MATCH(B10797, {20,25,30,35,40,45,50,55,60,65,70,75,80,85}, 1), "20-24", "25-29", "30-34", "35-39", "40-44", "45-49", "50-54", "55-59", "60-64", "65-69", "70-74", "75-79", "80-84", "85+")</f>
        <v>30-34</v>
      </c>
      <c r="D10797" t="s">
        <v>7</v>
      </c>
    </row>
    <row r="10798" spans="1:4">
      <c r="A10798" t="s">
        <v>6</v>
      </c>
      <c r="B10798">
        <v>59</v>
      </c>
      <c r="C10798" t="str">
        <f>CHOOSE(MATCH(B10798, {20,25,30,35,40,45,50,55,60,65,70,75,80,85}, 1), "20-24", "25-29", "30-34", "35-39", "40-44", "45-49", "50-54", "55-59", "60-64", "65-69", "70-74", "75-79", "80-84", "85+")</f>
        <v>55-59</v>
      </c>
      <c r="D10798" t="s">
        <v>8</v>
      </c>
    </row>
    <row r="10799" spans="1:4">
      <c r="A10799" t="s">
        <v>6</v>
      </c>
      <c r="B10799">
        <v>24</v>
      </c>
      <c r="C10799" t="str">
        <f>CHOOSE(MATCH(B10799, {20,25,30,35,40,45,50,55,60,65,70,75,80,85}, 1), "20-24", "25-29", "30-34", "35-39", "40-44", "45-49", "50-54", "55-59", "60-64", "65-69", "70-74", "75-79", "80-84", "85+")</f>
        <v>20-24</v>
      </c>
      <c r="D10799" t="s">
        <v>7</v>
      </c>
    </row>
    <row r="10800" spans="1:4">
      <c r="A10800" t="s">
        <v>6</v>
      </c>
      <c r="B10800">
        <v>47</v>
      </c>
      <c r="C10800" t="str">
        <f>CHOOSE(MATCH(B10800, {20,25,30,35,40,45,50,55,60,65,70,75,80,85}, 1), "20-24", "25-29", "30-34", "35-39", "40-44", "45-49", "50-54", "55-59", "60-64", "65-69", "70-74", "75-79", "80-84", "85+")</f>
        <v>45-49</v>
      </c>
      <c r="D10800" t="s">
        <v>7</v>
      </c>
    </row>
    <row r="10801" spans="1:4">
      <c r="A10801" t="s">
        <v>6</v>
      </c>
      <c r="B10801">
        <v>42</v>
      </c>
      <c r="C10801" t="str">
        <f>CHOOSE(MATCH(B10801, {20,25,30,35,40,45,50,55,60,65,70,75,80,85}, 1), "20-24", "25-29", "30-34", "35-39", "40-44", "45-49", "50-54", "55-59", "60-64", "65-69", "70-74", "75-79", "80-84", "85+")</f>
        <v>40-44</v>
      </c>
      <c r="D10801" t="s">
        <v>7</v>
      </c>
    </row>
    <row r="10802" spans="1:4">
      <c r="A10802" t="s">
        <v>6</v>
      </c>
      <c r="B10802">
        <v>29</v>
      </c>
      <c r="C10802" t="str">
        <f>CHOOSE(MATCH(B10802, {20,25,30,35,40,45,50,55,60,65,70,75,80,85}, 1), "20-24", "25-29", "30-34", "35-39", "40-44", "45-49", "50-54", "55-59", "60-64", "65-69", "70-74", "75-79", "80-84", "85+")</f>
        <v>25-29</v>
      </c>
      <c r="D10802" t="s">
        <v>7</v>
      </c>
    </row>
    <row r="10803" spans="1:4">
      <c r="A10803" t="s">
        <v>6</v>
      </c>
      <c r="B10803">
        <v>34</v>
      </c>
      <c r="C10803" t="str">
        <f>CHOOSE(MATCH(B10803, {20,25,30,35,40,45,50,55,60,65,70,75,80,85}, 1), "20-24", "25-29", "30-34", "35-39", "40-44", "45-49", "50-54", "55-59", "60-64", "65-69", "70-74", "75-79", "80-84", "85+")</f>
        <v>30-34</v>
      </c>
      <c r="D10803" t="s">
        <v>7</v>
      </c>
    </row>
    <row r="10804" spans="1:4">
      <c r="A10804" t="s">
        <v>6</v>
      </c>
      <c r="B10804">
        <v>37</v>
      </c>
      <c r="C10804" t="str">
        <f>CHOOSE(MATCH(B10804, {20,25,30,35,40,45,50,55,60,65,70,75,80,85}, 1), "20-24", "25-29", "30-34", "35-39", "40-44", "45-49", "50-54", "55-59", "60-64", "65-69", "70-74", "75-79", "80-84", "85+")</f>
        <v>35-39</v>
      </c>
      <c r="D10804" t="s">
        <v>7</v>
      </c>
    </row>
    <row r="10805" spans="1:4">
      <c r="A10805" t="s">
        <v>6</v>
      </c>
      <c r="B10805">
        <v>35</v>
      </c>
      <c r="C10805" t="str">
        <f>CHOOSE(MATCH(B10805, {20,25,30,35,40,45,50,55,60,65,70,75,80,85}, 1), "20-24", "25-29", "30-34", "35-39", "40-44", "45-49", "50-54", "55-59", "60-64", "65-69", "70-74", "75-79", "80-84", "85+")</f>
        <v>35-39</v>
      </c>
      <c r="D10805" t="s">
        <v>7</v>
      </c>
    </row>
    <row r="10806" spans="1:4">
      <c r="A10806" t="s">
        <v>6</v>
      </c>
      <c r="B10806">
        <v>33</v>
      </c>
      <c r="C10806" t="str">
        <f>CHOOSE(MATCH(B10806, {20,25,30,35,40,45,50,55,60,65,70,75,80,85}, 1), "20-24", "25-29", "30-34", "35-39", "40-44", "45-49", "50-54", "55-59", "60-64", "65-69", "70-74", "75-79", "80-84", "85+")</f>
        <v>30-34</v>
      </c>
      <c r="D10806" t="s">
        <v>8</v>
      </c>
    </row>
    <row r="10807" spans="1:4">
      <c r="A10807" t="s">
        <v>6</v>
      </c>
      <c r="B10807">
        <v>48</v>
      </c>
      <c r="C10807" t="str">
        <f>CHOOSE(MATCH(B10807, {20,25,30,35,40,45,50,55,60,65,70,75,80,85}, 1), "20-24", "25-29", "30-34", "35-39", "40-44", "45-49", "50-54", "55-59", "60-64", "65-69", "70-74", "75-79", "80-84", "85+")</f>
        <v>45-49</v>
      </c>
      <c r="D10807" t="s">
        <v>7</v>
      </c>
    </row>
    <row r="10808" spans="1:4">
      <c r="A10808" t="s">
        <v>6</v>
      </c>
      <c r="B10808">
        <v>27</v>
      </c>
      <c r="C10808" t="str">
        <f>CHOOSE(MATCH(B10808, {20,25,30,35,40,45,50,55,60,65,70,75,80,85}, 1), "20-24", "25-29", "30-34", "35-39", "40-44", "45-49", "50-54", "55-59", "60-64", "65-69", "70-74", "75-79", "80-84", "85+")</f>
        <v>25-29</v>
      </c>
      <c r="D10808" t="s">
        <v>7</v>
      </c>
    </row>
    <row r="10809" spans="1:4">
      <c r="A10809" t="s">
        <v>6</v>
      </c>
      <c r="B10809">
        <v>32</v>
      </c>
      <c r="C10809" t="str">
        <f>CHOOSE(MATCH(B10809, {20,25,30,35,40,45,50,55,60,65,70,75,80,85}, 1), "20-24", "25-29", "30-34", "35-39", "40-44", "45-49", "50-54", "55-59", "60-64", "65-69", "70-74", "75-79", "80-84", "85+")</f>
        <v>30-34</v>
      </c>
      <c r="D10809" t="s">
        <v>7</v>
      </c>
    </row>
    <row r="10810" spans="1:4">
      <c r="A10810" t="s">
        <v>6</v>
      </c>
      <c r="B10810">
        <v>69</v>
      </c>
      <c r="C10810" t="str">
        <f>CHOOSE(MATCH(B10810, {20,25,30,35,40,45,50,55,60,65,70,75,80,85}, 1), "20-24", "25-29", "30-34", "35-39", "40-44", "45-49", "50-54", "55-59", "60-64", "65-69", "70-74", "75-79", "80-84", "85+")</f>
        <v>65-69</v>
      </c>
      <c r="D10810" t="s">
        <v>7</v>
      </c>
    </row>
    <row r="10811" spans="1:4">
      <c r="A10811" t="s">
        <v>6</v>
      </c>
      <c r="B10811">
        <v>45</v>
      </c>
      <c r="C10811" t="str">
        <f>CHOOSE(MATCH(B10811, {20,25,30,35,40,45,50,55,60,65,70,75,80,85}, 1), "20-24", "25-29", "30-34", "35-39", "40-44", "45-49", "50-54", "55-59", "60-64", "65-69", "70-74", "75-79", "80-84", "85+")</f>
        <v>45-49</v>
      </c>
      <c r="D10811" t="s">
        <v>8</v>
      </c>
    </row>
    <row r="10812" spans="1:4">
      <c r="A10812" t="s">
        <v>6</v>
      </c>
      <c r="B10812">
        <v>83</v>
      </c>
      <c r="C10812" t="str">
        <f>CHOOSE(MATCH(B10812, {20,25,30,35,40,45,50,55,60,65,70,75,80,85}, 1), "20-24", "25-29", "30-34", "35-39", "40-44", "45-49", "50-54", "55-59", "60-64", "65-69", "70-74", "75-79", "80-84", "85+")</f>
        <v>80-84</v>
      </c>
      <c r="D10812" t="s">
        <v>8</v>
      </c>
    </row>
    <row r="10813" spans="1:4">
      <c r="A10813" t="s">
        <v>6</v>
      </c>
      <c r="B10813">
        <v>49</v>
      </c>
      <c r="C10813" t="str">
        <f>CHOOSE(MATCH(B10813, {20,25,30,35,40,45,50,55,60,65,70,75,80,85}, 1), "20-24", "25-29", "30-34", "35-39", "40-44", "45-49", "50-54", "55-59", "60-64", "65-69", "70-74", "75-79", "80-84", "85+")</f>
        <v>45-49</v>
      </c>
      <c r="D10813" t="s">
        <v>7</v>
      </c>
    </row>
    <row r="10814" spans="1:4">
      <c r="A10814" t="s">
        <v>6</v>
      </c>
      <c r="B10814">
        <v>59</v>
      </c>
      <c r="C10814" t="str">
        <f>CHOOSE(MATCH(B10814, {20,25,30,35,40,45,50,55,60,65,70,75,80,85}, 1), "20-24", "25-29", "30-34", "35-39", "40-44", "45-49", "50-54", "55-59", "60-64", "65-69", "70-74", "75-79", "80-84", "85+")</f>
        <v>55-59</v>
      </c>
      <c r="D10814" t="s">
        <v>7</v>
      </c>
    </row>
    <row r="10815" spans="1:4">
      <c r="A10815" t="s">
        <v>6</v>
      </c>
      <c r="B10815">
        <v>65</v>
      </c>
      <c r="C10815" t="str">
        <f>CHOOSE(MATCH(B10815, {20,25,30,35,40,45,50,55,60,65,70,75,80,85}, 1), "20-24", "25-29", "30-34", "35-39", "40-44", "45-49", "50-54", "55-59", "60-64", "65-69", "70-74", "75-79", "80-84", "85+")</f>
        <v>65-69</v>
      </c>
      <c r="D10815" t="s">
        <v>7</v>
      </c>
    </row>
    <row r="10816" spans="1:4">
      <c r="A10816" t="s">
        <v>6</v>
      </c>
      <c r="B10816">
        <v>27</v>
      </c>
      <c r="C10816" t="str">
        <f>CHOOSE(MATCH(B10816, {20,25,30,35,40,45,50,55,60,65,70,75,80,85}, 1), "20-24", "25-29", "30-34", "35-39", "40-44", "45-49", "50-54", "55-59", "60-64", "65-69", "70-74", "75-79", "80-84", "85+")</f>
        <v>25-29</v>
      </c>
      <c r="D10816" t="s">
        <v>8</v>
      </c>
    </row>
    <row r="10817" spans="1:4">
      <c r="A10817" t="s">
        <v>6</v>
      </c>
      <c r="B10817">
        <v>43</v>
      </c>
      <c r="C10817" t="str">
        <f>CHOOSE(MATCH(B10817, {20,25,30,35,40,45,50,55,60,65,70,75,80,85}, 1), "20-24", "25-29", "30-34", "35-39", "40-44", "45-49", "50-54", "55-59", "60-64", "65-69", "70-74", "75-79", "80-84", "85+")</f>
        <v>40-44</v>
      </c>
      <c r="D10817" t="s">
        <v>7</v>
      </c>
    </row>
    <row r="10818" spans="1:4">
      <c r="A10818" t="s">
        <v>6</v>
      </c>
      <c r="B10818">
        <v>34</v>
      </c>
      <c r="C10818" t="str">
        <f>CHOOSE(MATCH(B10818, {20,25,30,35,40,45,50,55,60,65,70,75,80,85}, 1), "20-24", "25-29", "30-34", "35-39", "40-44", "45-49", "50-54", "55-59", "60-64", "65-69", "70-74", "75-79", "80-84", "85+")</f>
        <v>30-34</v>
      </c>
      <c r="D10818" t="s">
        <v>8</v>
      </c>
    </row>
    <row r="10819" spans="1:4">
      <c r="A10819" t="s">
        <v>6</v>
      </c>
      <c r="B10819">
        <v>30</v>
      </c>
      <c r="C10819" t="str">
        <f>CHOOSE(MATCH(B10819, {20,25,30,35,40,45,50,55,60,65,70,75,80,85}, 1), "20-24", "25-29", "30-34", "35-39", "40-44", "45-49", "50-54", "55-59", "60-64", "65-69", "70-74", "75-79", "80-84", "85+")</f>
        <v>30-34</v>
      </c>
      <c r="D10819" t="s">
        <v>7</v>
      </c>
    </row>
    <row r="10820" spans="1:4">
      <c r="A10820" t="s">
        <v>6</v>
      </c>
      <c r="B10820">
        <v>26</v>
      </c>
      <c r="C10820" t="str">
        <f>CHOOSE(MATCH(B10820, {20,25,30,35,40,45,50,55,60,65,70,75,80,85}, 1), "20-24", "25-29", "30-34", "35-39", "40-44", "45-49", "50-54", "55-59", "60-64", "65-69", "70-74", "75-79", "80-84", "85+")</f>
        <v>25-29</v>
      </c>
      <c r="D10820" t="s">
        <v>7</v>
      </c>
    </row>
    <row r="10821" spans="1:4">
      <c r="A10821" t="s">
        <v>6</v>
      </c>
      <c r="B10821">
        <v>45</v>
      </c>
      <c r="C10821" t="str">
        <f>CHOOSE(MATCH(B10821, {20,25,30,35,40,45,50,55,60,65,70,75,80,85}, 1), "20-24", "25-29", "30-34", "35-39", "40-44", "45-49", "50-54", "55-59", "60-64", "65-69", "70-74", "75-79", "80-84", "85+")</f>
        <v>45-49</v>
      </c>
      <c r="D10821" t="s">
        <v>7</v>
      </c>
    </row>
    <row r="10822" spans="1:4">
      <c r="A10822" t="s">
        <v>6</v>
      </c>
      <c r="B10822">
        <v>44</v>
      </c>
      <c r="C10822" t="str">
        <f>CHOOSE(MATCH(B10822, {20,25,30,35,40,45,50,55,60,65,70,75,80,85}, 1), "20-24", "25-29", "30-34", "35-39", "40-44", "45-49", "50-54", "55-59", "60-64", "65-69", "70-74", "75-79", "80-84", "85+")</f>
        <v>40-44</v>
      </c>
      <c r="D10822" t="s">
        <v>7</v>
      </c>
    </row>
    <row r="10823" spans="1:4">
      <c r="A10823" t="s">
        <v>6</v>
      </c>
      <c r="B10823">
        <v>55</v>
      </c>
      <c r="C10823" t="str">
        <f>CHOOSE(MATCH(B10823, {20,25,30,35,40,45,50,55,60,65,70,75,80,85}, 1), "20-24", "25-29", "30-34", "35-39", "40-44", "45-49", "50-54", "55-59", "60-64", "65-69", "70-74", "75-79", "80-84", "85+")</f>
        <v>55-59</v>
      </c>
      <c r="D10823" t="s">
        <v>7</v>
      </c>
    </row>
    <row r="10824" spans="1:4">
      <c r="A10824" t="s">
        <v>6</v>
      </c>
      <c r="B10824">
        <v>34</v>
      </c>
      <c r="C10824" t="str">
        <f>CHOOSE(MATCH(B10824, {20,25,30,35,40,45,50,55,60,65,70,75,80,85}, 1), "20-24", "25-29", "30-34", "35-39", "40-44", "45-49", "50-54", "55-59", "60-64", "65-69", "70-74", "75-79", "80-84", "85+")</f>
        <v>30-34</v>
      </c>
      <c r="D10824" t="s">
        <v>7</v>
      </c>
    </row>
    <row r="10825" spans="1:4">
      <c r="A10825" t="s">
        <v>6</v>
      </c>
      <c r="B10825">
        <v>39</v>
      </c>
      <c r="C10825" t="str">
        <f>CHOOSE(MATCH(B10825, {20,25,30,35,40,45,50,55,60,65,70,75,80,85}, 1), "20-24", "25-29", "30-34", "35-39", "40-44", "45-49", "50-54", "55-59", "60-64", "65-69", "70-74", "75-79", "80-84", "85+")</f>
        <v>35-39</v>
      </c>
      <c r="D10825" t="s">
        <v>7</v>
      </c>
    </row>
    <row r="10826" spans="1:4">
      <c r="A10826" t="s">
        <v>6</v>
      </c>
      <c r="B10826">
        <v>49</v>
      </c>
      <c r="C10826" t="str">
        <f>CHOOSE(MATCH(B10826, {20,25,30,35,40,45,50,55,60,65,70,75,80,85}, 1), "20-24", "25-29", "30-34", "35-39", "40-44", "45-49", "50-54", "55-59", "60-64", "65-69", "70-74", "75-79", "80-84", "85+")</f>
        <v>45-49</v>
      </c>
      <c r="D10826" t="s">
        <v>8</v>
      </c>
    </row>
    <row r="10827" spans="1:4">
      <c r="A10827" t="s">
        <v>6</v>
      </c>
      <c r="B10827">
        <v>37</v>
      </c>
      <c r="C10827" t="str">
        <f>CHOOSE(MATCH(B10827, {20,25,30,35,40,45,50,55,60,65,70,75,80,85}, 1), "20-24", "25-29", "30-34", "35-39", "40-44", "45-49", "50-54", "55-59", "60-64", "65-69", "70-74", "75-79", "80-84", "85+")</f>
        <v>35-39</v>
      </c>
      <c r="D10827" t="s">
        <v>7</v>
      </c>
    </row>
    <row r="10828" spans="1:4">
      <c r="A10828" t="s">
        <v>6</v>
      </c>
      <c r="B10828">
        <v>48</v>
      </c>
      <c r="C10828" t="str">
        <f>CHOOSE(MATCH(B10828, {20,25,30,35,40,45,50,55,60,65,70,75,80,85}, 1), "20-24", "25-29", "30-34", "35-39", "40-44", "45-49", "50-54", "55-59", "60-64", "65-69", "70-74", "75-79", "80-84", "85+")</f>
        <v>45-49</v>
      </c>
      <c r="D10828" t="s">
        <v>7</v>
      </c>
    </row>
    <row r="10829" spans="1:4">
      <c r="A10829" t="s">
        <v>6</v>
      </c>
      <c r="B10829">
        <v>31</v>
      </c>
      <c r="C10829" t="str">
        <f>CHOOSE(MATCH(B10829, {20,25,30,35,40,45,50,55,60,65,70,75,80,85}, 1), "20-24", "25-29", "30-34", "35-39", "40-44", "45-49", "50-54", "55-59", "60-64", "65-69", "70-74", "75-79", "80-84", "85+")</f>
        <v>30-34</v>
      </c>
      <c r="D10829" t="s">
        <v>7</v>
      </c>
    </row>
    <row r="10830" spans="1:4">
      <c r="A10830" t="s">
        <v>6</v>
      </c>
      <c r="B10830">
        <v>60</v>
      </c>
      <c r="C10830" t="str">
        <f>CHOOSE(MATCH(B10830, {20,25,30,35,40,45,50,55,60,65,70,75,80,85}, 1), "20-24", "25-29", "30-34", "35-39", "40-44", "45-49", "50-54", "55-59", "60-64", "65-69", "70-74", "75-79", "80-84", "85+")</f>
        <v>60-64</v>
      </c>
      <c r="D10830" t="s">
        <v>8</v>
      </c>
    </row>
    <row r="10831" spans="1:4">
      <c r="A10831" t="s">
        <v>6</v>
      </c>
      <c r="B10831">
        <v>74</v>
      </c>
      <c r="C10831" t="str">
        <f>CHOOSE(MATCH(B10831, {20,25,30,35,40,45,50,55,60,65,70,75,80,85}, 1), "20-24", "25-29", "30-34", "35-39", "40-44", "45-49", "50-54", "55-59", "60-64", "65-69", "70-74", "75-79", "80-84", "85+")</f>
        <v>70-74</v>
      </c>
      <c r="D10831" t="s">
        <v>7</v>
      </c>
    </row>
    <row r="10832" spans="1:4">
      <c r="A10832" t="s">
        <v>6</v>
      </c>
      <c r="B10832">
        <v>40</v>
      </c>
      <c r="C10832" t="str">
        <f>CHOOSE(MATCH(B10832, {20,25,30,35,40,45,50,55,60,65,70,75,80,85}, 1), "20-24", "25-29", "30-34", "35-39", "40-44", "45-49", "50-54", "55-59", "60-64", "65-69", "70-74", "75-79", "80-84", "85+")</f>
        <v>40-44</v>
      </c>
      <c r="D10832" t="s">
        <v>7</v>
      </c>
    </row>
    <row r="10833" spans="1:4">
      <c r="A10833" t="s">
        <v>6</v>
      </c>
      <c r="B10833">
        <v>52</v>
      </c>
      <c r="C10833" t="str">
        <f>CHOOSE(MATCH(B10833, {20,25,30,35,40,45,50,55,60,65,70,75,80,85}, 1), "20-24", "25-29", "30-34", "35-39", "40-44", "45-49", "50-54", "55-59", "60-64", "65-69", "70-74", "75-79", "80-84", "85+")</f>
        <v>50-54</v>
      </c>
      <c r="D10833" t="s">
        <v>7</v>
      </c>
    </row>
    <row r="10834" spans="1:4">
      <c r="A10834" t="s">
        <v>6</v>
      </c>
      <c r="B10834">
        <v>66</v>
      </c>
      <c r="C10834" t="str">
        <f>CHOOSE(MATCH(B10834, {20,25,30,35,40,45,50,55,60,65,70,75,80,85}, 1), "20-24", "25-29", "30-34", "35-39", "40-44", "45-49", "50-54", "55-59", "60-64", "65-69", "70-74", "75-79", "80-84", "85+")</f>
        <v>65-69</v>
      </c>
      <c r="D10834" t="s">
        <v>8</v>
      </c>
    </row>
    <row r="10835" spans="1:4">
      <c r="A10835" t="s">
        <v>6</v>
      </c>
      <c r="B10835">
        <v>60</v>
      </c>
      <c r="C10835" t="str">
        <f>CHOOSE(MATCH(B10835, {20,25,30,35,40,45,50,55,60,65,70,75,80,85}, 1), "20-24", "25-29", "30-34", "35-39", "40-44", "45-49", "50-54", "55-59", "60-64", "65-69", "70-74", "75-79", "80-84", "85+")</f>
        <v>60-64</v>
      </c>
      <c r="D10835" t="s">
        <v>8</v>
      </c>
    </row>
    <row r="10836" spans="1:4">
      <c r="A10836" t="s">
        <v>6</v>
      </c>
      <c r="B10836">
        <v>32</v>
      </c>
      <c r="C10836" t="str">
        <f>CHOOSE(MATCH(B10836, {20,25,30,35,40,45,50,55,60,65,70,75,80,85}, 1), "20-24", "25-29", "30-34", "35-39", "40-44", "45-49", "50-54", "55-59", "60-64", "65-69", "70-74", "75-79", "80-84", "85+")</f>
        <v>30-34</v>
      </c>
      <c r="D10836" t="s">
        <v>8</v>
      </c>
    </row>
    <row r="10837" spans="1:4">
      <c r="A10837" t="s">
        <v>6</v>
      </c>
      <c r="B10837">
        <v>43</v>
      </c>
      <c r="C10837" t="str">
        <f>CHOOSE(MATCH(B10837, {20,25,30,35,40,45,50,55,60,65,70,75,80,85}, 1), "20-24", "25-29", "30-34", "35-39", "40-44", "45-49", "50-54", "55-59", "60-64", "65-69", "70-74", "75-79", "80-84", "85+")</f>
        <v>40-44</v>
      </c>
      <c r="D10837" t="s">
        <v>8</v>
      </c>
    </row>
    <row r="10838" spans="1:4">
      <c r="A10838" t="s">
        <v>6</v>
      </c>
      <c r="B10838">
        <v>56</v>
      </c>
      <c r="C10838" t="str">
        <f>CHOOSE(MATCH(B10838, {20,25,30,35,40,45,50,55,60,65,70,75,80,85}, 1), "20-24", "25-29", "30-34", "35-39", "40-44", "45-49", "50-54", "55-59", "60-64", "65-69", "70-74", "75-79", "80-84", "85+")</f>
        <v>55-59</v>
      </c>
      <c r="D10838" t="s">
        <v>8</v>
      </c>
    </row>
    <row r="10839" spans="1:4">
      <c r="A10839" t="s">
        <v>6</v>
      </c>
      <c r="B10839">
        <v>24</v>
      </c>
      <c r="C10839" t="str">
        <f>CHOOSE(MATCH(B10839, {20,25,30,35,40,45,50,55,60,65,70,75,80,85}, 1), "20-24", "25-29", "30-34", "35-39", "40-44", "45-49", "50-54", "55-59", "60-64", "65-69", "70-74", "75-79", "80-84", "85+")</f>
        <v>20-24</v>
      </c>
      <c r="D10839" t="s">
        <v>7</v>
      </c>
    </row>
    <row r="10840" spans="1:4">
      <c r="A10840" t="s">
        <v>6</v>
      </c>
      <c r="B10840">
        <v>47</v>
      </c>
      <c r="C10840" t="str">
        <f>CHOOSE(MATCH(B10840, {20,25,30,35,40,45,50,55,60,65,70,75,80,85}, 1), "20-24", "25-29", "30-34", "35-39", "40-44", "45-49", "50-54", "55-59", "60-64", "65-69", "70-74", "75-79", "80-84", "85+")</f>
        <v>45-49</v>
      </c>
      <c r="D10840" t="s">
        <v>7</v>
      </c>
    </row>
    <row r="10841" spans="1:4">
      <c r="A10841" t="s">
        <v>6</v>
      </c>
      <c r="B10841">
        <v>73</v>
      </c>
      <c r="C10841" t="str">
        <f>CHOOSE(MATCH(B10841, {20,25,30,35,40,45,50,55,60,65,70,75,80,85}, 1), "20-24", "25-29", "30-34", "35-39", "40-44", "45-49", "50-54", "55-59", "60-64", "65-69", "70-74", "75-79", "80-84", "85+")</f>
        <v>70-74</v>
      </c>
      <c r="D10841" t="s">
        <v>7</v>
      </c>
    </row>
    <row r="10842" spans="1:4">
      <c r="A10842" t="s">
        <v>6</v>
      </c>
      <c r="B10842">
        <v>30</v>
      </c>
      <c r="C10842" t="str">
        <f>CHOOSE(MATCH(B10842, {20,25,30,35,40,45,50,55,60,65,70,75,80,85}, 1), "20-24", "25-29", "30-34", "35-39", "40-44", "45-49", "50-54", "55-59", "60-64", "65-69", "70-74", "75-79", "80-84", "85+")</f>
        <v>30-34</v>
      </c>
      <c r="D10842" t="s">
        <v>7</v>
      </c>
    </row>
    <row r="10843" spans="1:4">
      <c r="A10843" t="s">
        <v>6</v>
      </c>
      <c r="B10843">
        <v>69</v>
      </c>
      <c r="C10843" t="str">
        <f>CHOOSE(MATCH(B10843, {20,25,30,35,40,45,50,55,60,65,70,75,80,85}, 1), "20-24", "25-29", "30-34", "35-39", "40-44", "45-49", "50-54", "55-59", "60-64", "65-69", "70-74", "75-79", "80-84", "85+")</f>
        <v>65-69</v>
      </c>
      <c r="D10843" t="s">
        <v>7</v>
      </c>
    </row>
    <row r="10844" spans="1:4">
      <c r="A10844" t="s">
        <v>6</v>
      </c>
      <c r="B10844">
        <v>52</v>
      </c>
      <c r="C10844" t="str">
        <f>CHOOSE(MATCH(B10844, {20,25,30,35,40,45,50,55,60,65,70,75,80,85}, 1), "20-24", "25-29", "30-34", "35-39", "40-44", "45-49", "50-54", "55-59", "60-64", "65-69", "70-74", "75-79", "80-84", "85+")</f>
        <v>50-54</v>
      </c>
      <c r="D10844" t="s">
        <v>7</v>
      </c>
    </row>
    <row r="10845" spans="1:4">
      <c r="A10845" t="s">
        <v>6</v>
      </c>
      <c r="B10845">
        <v>25</v>
      </c>
      <c r="C10845" t="str">
        <f>CHOOSE(MATCH(B10845, {20,25,30,35,40,45,50,55,60,65,70,75,80,85}, 1), "20-24", "25-29", "30-34", "35-39", "40-44", "45-49", "50-54", "55-59", "60-64", "65-69", "70-74", "75-79", "80-84", "85+")</f>
        <v>25-29</v>
      </c>
      <c r="D10845" t="s">
        <v>7</v>
      </c>
    </row>
    <row r="10846" spans="1:4">
      <c r="A10846" t="s">
        <v>6</v>
      </c>
      <c r="B10846">
        <v>47</v>
      </c>
      <c r="C10846" t="str">
        <f>CHOOSE(MATCH(B10846, {20,25,30,35,40,45,50,55,60,65,70,75,80,85}, 1), "20-24", "25-29", "30-34", "35-39", "40-44", "45-49", "50-54", "55-59", "60-64", "65-69", "70-74", "75-79", "80-84", "85+")</f>
        <v>45-49</v>
      </c>
      <c r="D10846" t="s">
        <v>7</v>
      </c>
    </row>
    <row r="10847" spans="1:4">
      <c r="A10847" t="s">
        <v>6</v>
      </c>
      <c r="B10847">
        <v>33</v>
      </c>
      <c r="C10847" t="str">
        <f>CHOOSE(MATCH(B10847, {20,25,30,35,40,45,50,55,60,65,70,75,80,85}, 1), "20-24", "25-29", "30-34", "35-39", "40-44", "45-49", "50-54", "55-59", "60-64", "65-69", "70-74", "75-79", "80-84", "85+")</f>
        <v>30-34</v>
      </c>
      <c r="D10847" t="s">
        <v>8</v>
      </c>
    </row>
    <row r="10848" spans="1:4">
      <c r="A10848" t="s">
        <v>6</v>
      </c>
      <c r="B10848">
        <v>38</v>
      </c>
      <c r="C10848" t="str">
        <f>CHOOSE(MATCH(B10848, {20,25,30,35,40,45,50,55,60,65,70,75,80,85}, 1), "20-24", "25-29", "30-34", "35-39", "40-44", "45-49", "50-54", "55-59", "60-64", "65-69", "70-74", "75-79", "80-84", "85+")</f>
        <v>35-39</v>
      </c>
      <c r="D10848" t="s">
        <v>7</v>
      </c>
    </row>
    <row r="10849" spans="1:4">
      <c r="A10849" t="s">
        <v>6</v>
      </c>
      <c r="B10849">
        <v>63</v>
      </c>
      <c r="C10849" t="str">
        <f>CHOOSE(MATCH(B10849, {20,25,30,35,40,45,50,55,60,65,70,75,80,85}, 1), "20-24", "25-29", "30-34", "35-39", "40-44", "45-49", "50-54", "55-59", "60-64", "65-69", "70-74", "75-79", "80-84", "85+")</f>
        <v>60-64</v>
      </c>
      <c r="D10849" t="s">
        <v>8</v>
      </c>
    </row>
    <row r="10850" spans="1:4">
      <c r="A10850" t="s">
        <v>6</v>
      </c>
      <c r="B10850">
        <v>28</v>
      </c>
      <c r="C10850" t="str">
        <f>CHOOSE(MATCH(B10850, {20,25,30,35,40,45,50,55,60,65,70,75,80,85}, 1), "20-24", "25-29", "30-34", "35-39", "40-44", "45-49", "50-54", "55-59", "60-64", "65-69", "70-74", "75-79", "80-84", "85+")</f>
        <v>25-29</v>
      </c>
      <c r="D10850" t="s">
        <v>7</v>
      </c>
    </row>
    <row r="10851" spans="1:4">
      <c r="A10851" t="s">
        <v>6</v>
      </c>
      <c r="B10851">
        <v>25</v>
      </c>
      <c r="C10851" t="str">
        <f>CHOOSE(MATCH(B10851, {20,25,30,35,40,45,50,55,60,65,70,75,80,85}, 1), "20-24", "25-29", "30-34", "35-39", "40-44", "45-49", "50-54", "55-59", "60-64", "65-69", "70-74", "75-79", "80-84", "85+")</f>
        <v>25-29</v>
      </c>
      <c r="D10851" t="s">
        <v>7</v>
      </c>
    </row>
    <row r="10852" spans="1:4">
      <c r="A10852" t="s">
        <v>6</v>
      </c>
      <c r="B10852">
        <v>34</v>
      </c>
      <c r="C10852" t="str">
        <f>CHOOSE(MATCH(B10852, {20,25,30,35,40,45,50,55,60,65,70,75,80,85}, 1), "20-24", "25-29", "30-34", "35-39", "40-44", "45-49", "50-54", "55-59", "60-64", "65-69", "70-74", "75-79", "80-84", "85+")</f>
        <v>30-34</v>
      </c>
      <c r="D10852" t="s">
        <v>7</v>
      </c>
    </row>
    <row r="10853" spans="1:4">
      <c r="A10853" t="s">
        <v>6</v>
      </c>
      <c r="B10853">
        <v>52</v>
      </c>
      <c r="C10853" t="str">
        <f>CHOOSE(MATCH(B10853, {20,25,30,35,40,45,50,55,60,65,70,75,80,85}, 1), "20-24", "25-29", "30-34", "35-39", "40-44", "45-49", "50-54", "55-59", "60-64", "65-69", "70-74", "75-79", "80-84", "85+")</f>
        <v>50-54</v>
      </c>
      <c r="D10853" t="s">
        <v>7</v>
      </c>
    </row>
    <row r="10854" spans="1:4">
      <c r="A10854" t="s">
        <v>6</v>
      </c>
      <c r="B10854">
        <v>45</v>
      </c>
      <c r="C10854" t="str">
        <f>CHOOSE(MATCH(B10854, {20,25,30,35,40,45,50,55,60,65,70,75,80,85}, 1), "20-24", "25-29", "30-34", "35-39", "40-44", "45-49", "50-54", "55-59", "60-64", "65-69", "70-74", "75-79", "80-84", "85+")</f>
        <v>45-49</v>
      </c>
      <c r="D10854" t="s">
        <v>7</v>
      </c>
    </row>
    <row r="10855" spans="1:4">
      <c r="A10855" t="s">
        <v>6</v>
      </c>
      <c r="B10855">
        <v>35</v>
      </c>
      <c r="C10855" t="str">
        <f>CHOOSE(MATCH(B10855, {20,25,30,35,40,45,50,55,60,65,70,75,80,85}, 1), "20-24", "25-29", "30-34", "35-39", "40-44", "45-49", "50-54", "55-59", "60-64", "65-69", "70-74", "75-79", "80-84", "85+")</f>
        <v>35-39</v>
      </c>
      <c r="D10855" t="s">
        <v>7</v>
      </c>
    </row>
    <row r="10856" spans="1:4">
      <c r="A10856" t="s">
        <v>6</v>
      </c>
      <c r="B10856">
        <v>57</v>
      </c>
      <c r="C10856" t="str">
        <f>CHOOSE(MATCH(B10856, {20,25,30,35,40,45,50,55,60,65,70,75,80,85}, 1), "20-24", "25-29", "30-34", "35-39", "40-44", "45-49", "50-54", "55-59", "60-64", "65-69", "70-74", "75-79", "80-84", "85+")</f>
        <v>55-59</v>
      </c>
      <c r="D10856" t="s">
        <v>7</v>
      </c>
    </row>
    <row r="10857" spans="1:4">
      <c r="A10857" t="s">
        <v>6</v>
      </c>
      <c r="B10857">
        <v>22</v>
      </c>
      <c r="C10857" t="str">
        <f>CHOOSE(MATCH(B10857, {20,25,30,35,40,45,50,55,60,65,70,75,80,85}, 1), "20-24", "25-29", "30-34", "35-39", "40-44", "45-49", "50-54", "55-59", "60-64", "65-69", "70-74", "75-79", "80-84", "85+")</f>
        <v>20-24</v>
      </c>
      <c r="D10857" t="s">
        <v>7</v>
      </c>
    </row>
    <row r="10858" spans="1:4">
      <c r="A10858" t="s">
        <v>6</v>
      </c>
      <c r="B10858">
        <v>43</v>
      </c>
      <c r="C10858" t="str">
        <f>CHOOSE(MATCH(B10858, {20,25,30,35,40,45,50,55,60,65,70,75,80,85}, 1), "20-24", "25-29", "30-34", "35-39", "40-44", "45-49", "50-54", "55-59", "60-64", "65-69", "70-74", "75-79", "80-84", "85+")</f>
        <v>40-44</v>
      </c>
      <c r="D10858" t="s">
        <v>7</v>
      </c>
    </row>
    <row r="10859" spans="1:4">
      <c r="A10859" t="s">
        <v>6</v>
      </c>
      <c r="B10859">
        <v>58</v>
      </c>
      <c r="C10859" t="str">
        <f>CHOOSE(MATCH(B10859, {20,25,30,35,40,45,50,55,60,65,70,75,80,85}, 1), "20-24", "25-29", "30-34", "35-39", "40-44", "45-49", "50-54", "55-59", "60-64", "65-69", "70-74", "75-79", "80-84", "85+")</f>
        <v>55-59</v>
      </c>
      <c r="D10859" t="s">
        <v>7</v>
      </c>
    </row>
    <row r="10860" spans="1:4">
      <c r="A10860" t="s">
        <v>6</v>
      </c>
      <c r="B10860">
        <v>32</v>
      </c>
      <c r="C10860" t="str">
        <f>CHOOSE(MATCH(B10860, {20,25,30,35,40,45,50,55,60,65,70,75,80,85}, 1), "20-24", "25-29", "30-34", "35-39", "40-44", "45-49", "50-54", "55-59", "60-64", "65-69", "70-74", "75-79", "80-84", "85+")</f>
        <v>30-34</v>
      </c>
      <c r="D10860" t="s">
        <v>7</v>
      </c>
    </row>
    <row r="10861" spans="1:4">
      <c r="A10861" t="s">
        <v>6</v>
      </c>
      <c r="B10861">
        <v>39</v>
      </c>
      <c r="C10861" t="str">
        <f>CHOOSE(MATCH(B10861, {20,25,30,35,40,45,50,55,60,65,70,75,80,85}, 1), "20-24", "25-29", "30-34", "35-39", "40-44", "45-49", "50-54", "55-59", "60-64", "65-69", "70-74", "75-79", "80-84", "85+")</f>
        <v>35-39</v>
      </c>
      <c r="D10861" t="s">
        <v>7</v>
      </c>
    </row>
    <row r="10862" spans="1:4">
      <c r="A10862" t="s">
        <v>6</v>
      </c>
      <c r="B10862">
        <v>38</v>
      </c>
      <c r="C10862" t="str">
        <f>CHOOSE(MATCH(B10862, {20,25,30,35,40,45,50,55,60,65,70,75,80,85}, 1), "20-24", "25-29", "30-34", "35-39", "40-44", "45-49", "50-54", "55-59", "60-64", "65-69", "70-74", "75-79", "80-84", "85+")</f>
        <v>35-39</v>
      </c>
      <c r="D10862" t="s">
        <v>7</v>
      </c>
    </row>
    <row r="10863" spans="1:4">
      <c r="A10863" t="s">
        <v>6</v>
      </c>
      <c r="B10863">
        <v>49</v>
      </c>
      <c r="C10863" t="str">
        <f>CHOOSE(MATCH(B10863, {20,25,30,35,40,45,50,55,60,65,70,75,80,85}, 1), "20-24", "25-29", "30-34", "35-39", "40-44", "45-49", "50-54", "55-59", "60-64", "65-69", "70-74", "75-79", "80-84", "85+")</f>
        <v>45-49</v>
      </c>
      <c r="D10863" t="s">
        <v>8</v>
      </c>
    </row>
    <row r="10864" spans="1:4">
      <c r="A10864" t="s">
        <v>6</v>
      </c>
      <c r="B10864">
        <v>87</v>
      </c>
      <c r="C10864" t="str">
        <f>CHOOSE(MATCH(B10864, {20,25,30,35,40,45,50,55,60,65,70,75,80,85}, 1), "20-24", "25-29", "30-34", "35-39", "40-44", "45-49", "50-54", "55-59", "60-64", "65-69", "70-74", "75-79", "80-84", "85+")</f>
        <v>85+</v>
      </c>
      <c r="D10864" t="s">
        <v>7</v>
      </c>
    </row>
    <row r="10865" spans="1:4">
      <c r="A10865" t="s">
        <v>6</v>
      </c>
      <c r="B10865">
        <v>54</v>
      </c>
      <c r="C10865" t="str">
        <f>CHOOSE(MATCH(B10865, {20,25,30,35,40,45,50,55,60,65,70,75,80,85}, 1), "20-24", "25-29", "30-34", "35-39", "40-44", "45-49", "50-54", "55-59", "60-64", "65-69", "70-74", "75-79", "80-84", "85+")</f>
        <v>50-54</v>
      </c>
      <c r="D10865" t="s">
        <v>7</v>
      </c>
    </row>
    <row r="10866" spans="1:4">
      <c r="A10866" t="s">
        <v>6</v>
      </c>
      <c r="B10866">
        <v>46</v>
      </c>
      <c r="C10866" t="str">
        <f>CHOOSE(MATCH(B10866, {20,25,30,35,40,45,50,55,60,65,70,75,80,85}, 1), "20-24", "25-29", "30-34", "35-39", "40-44", "45-49", "50-54", "55-59", "60-64", "65-69", "70-74", "75-79", "80-84", "85+")</f>
        <v>45-49</v>
      </c>
      <c r="D10866" t="s">
        <v>7</v>
      </c>
    </row>
    <row r="10867" spans="1:4">
      <c r="A10867" t="s">
        <v>6</v>
      </c>
      <c r="B10867">
        <v>24</v>
      </c>
      <c r="C10867" t="str">
        <f>CHOOSE(MATCH(B10867, {20,25,30,35,40,45,50,55,60,65,70,75,80,85}, 1), "20-24", "25-29", "30-34", "35-39", "40-44", "45-49", "50-54", "55-59", "60-64", "65-69", "70-74", "75-79", "80-84", "85+")</f>
        <v>20-24</v>
      </c>
      <c r="D10867" t="s">
        <v>7</v>
      </c>
    </row>
    <row r="10868" spans="1:4">
      <c r="A10868" t="s">
        <v>6</v>
      </c>
      <c r="B10868">
        <v>31</v>
      </c>
      <c r="C10868" t="str">
        <f>CHOOSE(MATCH(B10868, {20,25,30,35,40,45,50,55,60,65,70,75,80,85}, 1), "20-24", "25-29", "30-34", "35-39", "40-44", "45-49", "50-54", "55-59", "60-64", "65-69", "70-74", "75-79", "80-84", "85+")</f>
        <v>30-34</v>
      </c>
      <c r="D10868" t="s">
        <v>7</v>
      </c>
    </row>
    <row r="10869" spans="1:4">
      <c r="A10869" t="s">
        <v>6</v>
      </c>
      <c r="B10869">
        <v>39</v>
      </c>
      <c r="C10869" t="str">
        <f>CHOOSE(MATCH(B10869, {20,25,30,35,40,45,50,55,60,65,70,75,80,85}, 1), "20-24", "25-29", "30-34", "35-39", "40-44", "45-49", "50-54", "55-59", "60-64", "65-69", "70-74", "75-79", "80-84", "85+")</f>
        <v>35-39</v>
      </c>
      <c r="D10869" t="s">
        <v>8</v>
      </c>
    </row>
    <row r="10870" spans="1:4">
      <c r="A10870" t="s">
        <v>6</v>
      </c>
      <c r="B10870">
        <v>49</v>
      </c>
      <c r="C10870" t="str">
        <f>CHOOSE(MATCH(B10870, {20,25,30,35,40,45,50,55,60,65,70,75,80,85}, 1), "20-24", "25-29", "30-34", "35-39", "40-44", "45-49", "50-54", "55-59", "60-64", "65-69", "70-74", "75-79", "80-84", "85+")</f>
        <v>45-49</v>
      </c>
      <c r="D10870" t="s">
        <v>7</v>
      </c>
    </row>
    <row r="10871" spans="1:4">
      <c r="A10871" t="s">
        <v>6</v>
      </c>
      <c r="B10871">
        <v>53</v>
      </c>
      <c r="C10871" t="str">
        <f>CHOOSE(MATCH(B10871, {20,25,30,35,40,45,50,55,60,65,70,75,80,85}, 1), "20-24", "25-29", "30-34", "35-39", "40-44", "45-49", "50-54", "55-59", "60-64", "65-69", "70-74", "75-79", "80-84", "85+")</f>
        <v>50-54</v>
      </c>
      <c r="D10871" t="s">
        <v>7</v>
      </c>
    </row>
    <row r="10872" spans="1:4">
      <c r="A10872" t="s">
        <v>6</v>
      </c>
      <c r="B10872">
        <v>46</v>
      </c>
      <c r="C10872" t="str">
        <f>CHOOSE(MATCH(B10872, {20,25,30,35,40,45,50,55,60,65,70,75,80,85}, 1), "20-24", "25-29", "30-34", "35-39", "40-44", "45-49", "50-54", "55-59", "60-64", "65-69", "70-74", "75-79", "80-84", "85+")</f>
        <v>45-49</v>
      </c>
      <c r="D10872" t="s">
        <v>7</v>
      </c>
    </row>
    <row r="10873" spans="1:4">
      <c r="A10873" t="s">
        <v>6</v>
      </c>
      <c r="B10873">
        <v>39</v>
      </c>
      <c r="C10873" t="str">
        <f>CHOOSE(MATCH(B10873, {20,25,30,35,40,45,50,55,60,65,70,75,80,85}, 1), "20-24", "25-29", "30-34", "35-39", "40-44", "45-49", "50-54", "55-59", "60-64", "65-69", "70-74", "75-79", "80-84", "85+")</f>
        <v>35-39</v>
      </c>
      <c r="D10873" t="s">
        <v>7</v>
      </c>
    </row>
    <row r="10874" spans="1:4">
      <c r="A10874" t="s">
        <v>6</v>
      </c>
      <c r="B10874">
        <v>40</v>
      </c>
      <c r="C10874" t="str">
        <f>CHOOSE(MATCH(B10874, {20,25,30,35,40,45,50,55,60,65,70,75,80,85}, 1), "20-24", "25-29", "30-34", "35-39", "40-44", "45-49", "50-54", "55-59", "60-64", "65-69", "70-74", "75-79", "80-84", "85+")</f>
        <v>40-44</v>
      </c>
      <c r="D10874" t="s">
        <v>8</v>
      </c>
    </row>
    <row r="10875" spans="1:4">
      <c r="A10875" t="s">
        <v>6</v>
      </c>
      <c r="B10875">
        <v>32</v>
      </c>
      <c r="C10875" t="str">
        <f>CHOOSE(MATCH(B10875, {20,25,30,35,40,45,50,55,60,65,70,75,80,85}, 1), "20-24", "25-29", "30-34", "35-39", "40-44", "45-49", "50-54", "55-59", "60-64", "65-69", "70-74", "75-79", "80-84", "85+")</f>
        <v>30-34</v>
      </c>
      <c r="D10875" t="s">
        <v>7</v>
      </c>
    </row>
    <row r="10876" spans="1:4">
      <c r="A10876" t="s">
        <v>6</v>
      </c>
      <c r="B10876">
        <v>68</v>
      </c>
      <c r="C10876" t="str">
        <f>CHOOSE(MATCH(B10876, {20,25,30,35,40,45,50,55,60,65,70,75,80,85}, 1), "20-24", "25-29", "30-34", "35-39", "40-44", "45-49", "50-54", "55-59", "60-64", "65-69", "70-74", "75-79", "80-84", "85+")</f>
        <v>65-69</v>
      </c>
      <c r="D10876" t="s">
        <v>7</v>
      </c>
    </row>
    <row r="10877" spans="1:4">
      <c r="A10877" t="s">
        <v>6</v>
      </c>
      <c r="B10877">
        <v>26</v>
      </c>
      <c r="C10877" t="str">
        <f>CHOOSE(MATCH(B10877, {20,25,30,35,40,45,50,55,60,65,70,75,80,85}, 1), "20-24", "25-29", "30-34", "35-39", "40-44", "45-49", "50-54", "55-59", "60-64", "65-69", "70-74", "75-79", "80-84", "85+")</f>
        <v>25-29</v>
      </c>
      <c r="D10877" t="s">
        <v>8</v>
      </c>
    </row>
    <row r="10878" spans="1:4">
      <c r="A10878" t="s">
        <v>6</v>
      </c>
      <c r="B10878">
        <v>26</v>
      </c>
      <c r="C10878" t="str">
        <f>CHOOSE(MATCH(B10878, {20,25,30,35,40,45,50,55,60,65,70,75,80,85}, 1), "20-24", "25-29", "30-34", "35-39", "40-44", "45-49", "50-54", "55-59", "60-64", "65-69", "70-74", "75-79", "80-84", "85+")</f>
        <v>25-29</v>
      </c>
      <c r="D10878" t="s">
        <v>7</v>
      </c>
    </row>
    <row r="10879" spans="1:4">
      <c r="A10879" t="s">
        <v>6</v>
      </c>
      <c r="B10879">
        <v>38</v>
      </c>
      <c r="C10879" t="str">
        <f>CHOOSE(MATCH(B10879, {20,25,30,35,40,45,50,55,60,65,70,75,80,85}, 1), "20-24", "25-29", "30-34", "35-39", "40-44", "45-49", "50-54", "55-59", "60-64", "65-69", "70-74", "75-79", "80-84", "85+")</f>
        <v>35-39</v>
      </c>
      <c r="D10879" t="s">
        <v>7</v>
      </c>
    </row>
    <row r="10880" spans="1:4">
      <c r="A10880" t="s">
        <v>6</v>
      </c>
      <c r="B10880">
        <v>51</v>
      </c>
      <c r="C10880" t="str">
        <f>CHOOSE(MATCH(B10880, {20,25,30,35,40,45,50,55,60,65,70,75,80,85}, 1), "20-24", "25-29", "30-34", "35-39", "40-44", "45-49", "50-54", "55-59", "60-64", "65-69", "70-74", "75-79", "80-84", "85+")</f>
        <v>50-54</v>
      </c>
      <c r="D10880" t="s">
        <v>8</v>
      </c>
    </row>
    <row r="10881" spans="1:4">
      <c r="A10881" t="s">
        <v>6</v>
      </c>
      <c r="B10881">
        <v>37</v>
      </c>
      <c r="C10881" t="str">
        <f>CHOOSE(MATCH(B10881, {20,25,30,35,40,45,50,55,60,65,70,75,80,85}, 1), "20-24", "25-29", "30-34", "35-39", "40-44", "45-49", "50-54", "55-59", "60-64", "65-69", "70-74", "75-79", "80-84", "85+")</f>
        <v>35-39</v>
      </c>
      <c r="D10881" t="s">
        <v>7</v>
      </c>
    </row>
    <row r="10882" spans="1:4">
      <c r="A10882" t="s">
        <v>6</v>
      </c>
      <c r="B10882">
        <v>45</v>
      </c>
      <c r="C10882" t="str">
        <f>CHOOSE(MATCH(B10882, {20,25,30,35,40,45,50,55,60,65,70,75,80,85}, 1), "20-24", "25-29", "30-34", "35-39", "40-44", "45-49", "50-54", "55-59", "60-64", "65-69", "70-74", "75-79", "80-84", "85+")</f>
        <v>45-49</v>
      </c>
      <c r="D10882" t="s">
        <v>8</v>
      </c>
    </row>
    <row r="10883" spans="1:4">
      <c r="A10883" t="s">
        <v>6</v>
      </c>
      <c r="B10883">
        <v>21</v>
      </c>
      <c r="C10883" t="str">
        <f>CHOOSE(MATCH(B10883, {20,25,30,35,40,45,50,55,60,65,70,75,80,85}, 1), "20-24", "25-29", "30-34", "35-39", "40-44", "45-49", "50-54", "55-59", "60-64", "65-69", "70-74", "75-79", "80-84", "85+")</f>
        <v>20-24</v>
      </c>
      <c r="D10883" t="s">
        <v>7</v>
      </c>
    </row>
    <row r="10884" spans="1:4">
      <c r="A10884" t="s">
        <v>6</v>
      </c>
      <c r="B10884">
        <v>38</v>
      </c>
      <c r="C10884" t="str">
        <f>CHOOSE(MATCH(B10884, {20,25,30,35,40,45,50,55,60,65,70,75,80,85}, 1), "20-24", "25-29", "30-34", "35-39", "40-44", "45-49", "50-54", "55-59", "60-64", "65-69", "70-74", "75-79", "80-84", "85+")</f>
        <v>35-39</v>
      </c>
      <c r="D10884" t="s">
        <v>8</v>
      </c>
    </row>
    <row r="10885" spans="1:4">
      <c r="A10885" t="s">
        <v>6</v>
      </c>
      <c r="B10885">
        <v>38</v>
      </c>
      <c r="C10885" t="str">
        <f>CHOOSE(MATCH(B10885, {20,25,30,35,40,45,50,55,60,65,70,75,80,85}, 1), "20-24", "25-29", "30-34", "35-39", "40-44", "45-49", "50-54", "55-59", "60-64", "65-69", "70-74", "75-79", "80-84", "85+")</f>
        <v>35-39</v>
      </c>
      <c r="D10885" t="s">
        <v>8</v>
      </c>
    </row>
    <row r="10886" spans="1:4">
      <c r="A10886" t="s">
        <v>6</v>
      </c>
      <c r="B10886">
        <v>73</v>
      </c>
      <c r="C10886" t="str">
        <f>CHOOSE(MATCH(B10886, {20,25,30,35,40,45,50,55,60,65,70,75,80,85}, 1), "20-24", "25-29", "30-34", "35-39", "40-44", "45-49", "50-54", "55-59", "60-64", "65-69", "70-74", "75-79", "80-84", "85+")</f>
        <v>70-74</v>
      </c>
      <c r="D10886" t="s">
        <v>7</v>
      </c>
    </row>
    <row r="10887" spans="1:4">
      <c r="A10887" t="s">
        <v>6</v>
      </c>
      <c r="B10887">
        <v>31</v>
      </c>
      <c r="C10887" t="str">
        <f>CHOOSE(MATCH(B10887, {20,25,30,35,40,45,50,55,60,65,70,75,80,85}, 1), "20-24", "25-29", "30-34", "35-39", "40-44", "45-49", "50-54", "55-59", "60-64", "65-69", "70-74", "75-79", "80-84", "85+")</f>
        <v>30-34</v>
      </c>
      <c r="D10887" t="s">
        <v>7</v>
      </c>
    </row>
    <row r="10888" spans="1:4">
      <c r="A10888" t="s">
        <v>6</v>
      </c>
      <c r="B10888">
        <v>27</v>
      </c>
      <c r="C10888" t="str">
        <f>CHOOSE(MATCH(B10888, {20,25,30,35,40,45,50,55,60,65,70,75,80,85}, 1), "20-24", "25-29", "30-34", "35-39", "40-44", "45-49", "50-54", "55-59", "60-64", "65-69", "70-74", "75-79", "80-84", "85+")</f>
        <v>25-29</v>
      </c>
      <c r="D10888" t="s">
        <v>7</v>
      </c>
    </row>
    <row r="10889" spans="1:4">
      <c r="A10889" t="s">
        <v>6</v>
      </c>
      <c r="B10889">
        <v>30</v>
      </c>
      <c r="C10889" t="str">
        <f>CHOOSE(MATCH(B10889, {20,25,30,35,40,45,50,55,60,65,70,75,80,85}, 1), "20-24", "25-29", "30-34", "35-39", "40-44", "45-49", "50-54", "55-59", "60-64", "65-69", "70-74", "75-79", "80-84", "85+")</f>
        <v>30-34</v>
      </c>
      <c r="D10889" t="s">
        <v>8</v>
      </c>
    </row>
    <row r="10890" spans="1:4">
      <c r="A10890" t="s">
        <v>6</v>
      </c>
      <c r="B10890">
        <v>44</v>
      </c>
      <c r="C10890" t="str">
        <f>CHOOSE(MATCH(B10890, {20,25,30,35,40,45,50,55,60,65,70,75,80,85}, 1), "20-24", "25-29", "30-34", "35-39", "40-44", "45-49", "50-54", "55-59", "60-64", "65-69", "70-74", "75-79", "80-84", "85+")</f>
        <v>40-44</v>
      </c>
      <c r="D10890" t="s">
        <v>8</v>
      </c>
    </row>
    <row r="10891" spans="1:4">
      <c r="A10891" t="s">
        <v>6</v>
      </c>
      <c r="B10891">
        <v>41</v>
      </c>
      <c r="C10891" t="str">
        <f>CHOOSE(MATCH(B10891, {20,25,30,35,40,45,50,55,60,65,70,75,80,85}, 1), "20-24", "25-29", "30-34", "35-39", "40-44", "45-49", "50-54", "55-59", "60-64", "65-69", "70-74", "75-79", "80-84", "85+")</f>
        <v>40-44</v>
      </c>
      <c r="D10891" t="s">
        <v>8</v>
      </c>
    </row>
    <row r="10892" spans="1:4">
      <c r="A10892" t="s">
        <v>6</v>
      </c>
      <c r="B10892">
        <v>40</v>
      </c>
      <c r="C10892" t="str">
        <f>CHOOSE(MATCH(B10892, {20,25,30,35,40,45,50,55,60,65,70,75,80,85}, 1), "20-24", "25-29", "30-34", "35-39", "40-44", "45-49", "50-54", "55-59", "60-64", "65-69", "70-74", "75-79", "80-84", "85+")</f>
        <v>40-44</v>
      </c>
      <c r="D10892" t="s">
        <v>8</v>
      </c>
    </row>
    <row r="10893" spans="1:4">
      <c r="A10893" t="s">
        <v>6</v>
      </c>
      <c r="B10893">
        <v>35</v>
      </c>
      <c r="C10893" t="str">
        <f>CHOOSE(MATCH(B10893, {20,25,30,35,40,45,50,55,60,65,70,75,80,85}, 1), "20-24", "25-29", "30-34", "35-39", "40-44", "45-49", "50-54", "55-59", "60-64", "65-69", "70-74", "75-79", "80-84", "85+")</f>
        <v>35-39</v>
      </c>
      <c r="D10893" t="s">
        <v>7</v>
      </c>
    </row>
    <row r="10894" spans="1:4">
      <c r="A10894" t="s">
        <v>6</v>
      </c>
      <c r="B10894">
        <v>28</v>
      </c>
      <c r="C10894" t="str">
        <f>CHOOSE(MATCH(B10894, {20,25,30,35,40,45,50,55,60,65,70,75,80,85}, 1), "20-24", "25-29", "30-34", "35-39", "40-44", "45-49", "50-54", "55-59", "60-64", "65-69", "70-74", "75-79", "80-84", "85+")</f>
        <v>25-29</v>
      </c>
      <c r="D10894" t="s">
        <v>7</v>
      </c>
    </row>
    <row r="10895" spans="1:4">
      <c r="A10895" t="s">
        <v>6</v>
      </c>
      <c r="B10895">
        <v>32</v>
      </c>
      <c r="C10895" t="str">
        <f>CHOOSE(MATCH(B10895, {20,25,30,35,40,45,50,55,60,65,70,75,80,85}, 1), "20-24", "25-29", "30-34", "35-39", "40-44", "45-49", "50-54", "55-59", "60-64", "65-69", "70-74", "75-79", "80-84", "85+")</f>
        <v>30-34</v>
      </c>
      <c r="D10895" t="s">
        <v>7</v>
      </c>
    </row>
    <row r="10896" spans="1:4">
      <c r="A10896" t="s">
        <v>6</v>
      </c>
      <c r="B10896">
        <v>40</v>
      </c>
      <c r="C10896" t="str">
        <f>CHOOSE(MATCH(B10896, {20,25,30,35,40,45,50,55,60,65,70,75,80,85}, 1), "20-24", "25-29", "30-34", "35-39", "40-44", "45-49", "50-54", "55-59", "60-64", "65-69", "70-74", "75-79", "80-84", "85+")</f>
        <v>40-44</v>
      </c>
      <c r="D10896" t="s">
        <v>7</v>
      </c>
    </row>
    <row r="10897" spans="1:4">
      <c r="A10897" t="s">
        <v>6</v>
      </c>
      <c r="B10897">
        <v>24</v>
      </c>
      <c r="C10897" t="str">
        <f>CHOOSE(MATCH(B10897, {20,25,30,35,40,45,50,55,60,65,70,75,80,85}, 1), "20-24", "25-29", "30-34", "35-39", "40-44", "45-49", "50-54", "55-59", "60-64", "65-69", "70-74", "75-79", "80-84", "85+")</f>
        <v>20-24</v>
      </c>
      <c r="D10897" t="s">
        <v>7</v>
      </c>
    </row>
    <row r="10898" spans="1:4">
      <c r="A10898" t="s">
        <v>6</v>
      </c>
      <c r="B10898">
        <v>63</v>
      </c>
      <c r="C10898" t="str">
        <f>CHOOSE(MATCH(B10898, {20,25,30,35,40,45,50,55,60,65,70,75,80,85}, 1), "20-24", "25-29", "30-34", "35-39", "40-44", "45-49", "50-54", "55-59", "60-64", "65-69", "70-74", "75-79", "80-84", "85+")</f>
        <v>60-64</v>
      </c>
      <c r="D10898" t="s">
        <v>8</v>
      </c>
    </row>
    <row r="10899" spans="1:4">
      <c r="A10899" t="s">
        <v>6</v>
      </c>
      <c r="B10899">
        <v>31</v>
      </c>
      <c r="C10899" t="str">
        <f>CHOOSE(MATCH(B10899, {20,25,30,35,40,45,50,55,60,65,70,75,80,85}, 1), "20-24", "25-29", "30-34", "35-39", "40-44", "45-49", "50-54", "55-59", "60-64", "65-69", "70-74", "75-79", "80-84", "85+")</f>
        <v>30-34</v>
      </c>
      <c r="D10899" t="s">
        <v>7</v>
      </c>
    </row>
    <row r="10900" spans="1:4">
      <c r="A10900" t="s">
        <v>6</v>
      </c>
      <c r="B10900">
        <v>66</v>
      </c>
      <c r="C10900" t="str">
        <f>CHOOSE(MATCH(B10900, {20,25,30,35,40,45,50,55,60,65,70,75,80,85}, 1), "20-24", "25-29", "30-34", "35-39", "40-44", "45-49", "50-54", "55-59", "60-64", "65-69", "70-74", "75-79", "80-84", "85+")</f>
        <v>65-69</v>
      </c>
      <c r="D10900" t="s">
        <v>7</v>
      </c>
    </row>
    <row r="10901" spans="1:4">
      <c r="A10901" t="s">
        <v>6</v>
      </c>
      <c r="B10901">
        <v>26</v>
      </c>
      <c r="C10901" t="str">
        <f>CHOOSE(MATCH(B10901, {20,25,30,35,40,45,50,55,60,65,70,75,80,85}, 1), "20-24", "25-29", "30-34", "35-39", "40-44", "45-49", "50-54", "55-59", "60-64", "65-69", "70-74", "75-79", "80-84", "85+")</f>
        <v>25-29</v>
      </c>
      <c r="D10901" t="s">
        <v>7</v>
      </c>
    </row>
    <row r="10902" spans="1:4">
      <c r="A10902" t="s">
        <v>6</v>
      </c>
      <c r="B10902">
        <v>46</v>
      </c>
      <c r="C10902" t="str">
        <f>CHOOSE(MATCH(B10902, {20,25,30,35,40,45,50,55,60,65,70,75,80,85}, 1), "20-24", "25-29", "30-34", "35-39", "40-44", "45-49", "50-54", "55-59", "60-64", "65-69", "70-74", "75-79", "80-84", "85+")</f>
        <v>45-49</v>
      </c>
      <c r="D10902" t="s">
        <v>7</v>
      </c>
    </row>
    <row r="10903" spans="1:4">
      <c r="A10903" t="s">
        <v>6</v>
      </c>
      <c r="B10903">
        <v>58</v>
      </c>
      <c r="C10903" t="str">
        <f>CHOOSE(MATCH(B10903, {20,25,30,35,40,45,50,55,60,65,70,75,80,85}, 1), "20-24", "25-29", "30-34", "35-39", "40-44", "45-49", "50-54", "55-59", "60-64", "65-69", "70-74", "75-79", "80-84", "85+")</f>
        <v>55-59</v>
      </c>
      <c r="D10903" t="s">
        <v>7</v>
      </c>
    </row>
    <row r="10904" spans="1:4">
      <c r="A10904" t="s">
        <v>6</v>
      </c>
      <c r="B10904">
        <v>35</v>
      </c>
      <c r="C10904" t="str">
        <f>CHOOSE(MATCH(B10904, {20,25,30,35,40,45,50,55,60,65,70,75,80,85}, 1), "20-24", "25-29", "30-34", "35-39", "40-44", "45-49", "50-54", "55-59", "60-64", "65-69", "70-74", "75-79", "80-84", "85+")</f>
        <v>35-39</v>
      </c>
      <c r="D10904" t="s">
        <v>7</v>
      </c>
    </row>
    <row r="10905" spans="1:4">
      <c r="A10905" t="s">
        <v>6</v>
      </c>
      <c r="B10905">
        <v>39</v>
      </c>
      <c r="C10905" t="str">
        <f>CHOOSE(MATCH(B10905, {20,25,30,35,40,45,50,55,60,65,70,75,80,85}, 1), "20-24", "25-29", "30-34", "35-39", "40-44", "45-49", "50-54", "55-59", "60-64", "65-69", "70-74", "75-79", "80-84", "85+")</f>
        <v>35-39</v>
      </c>
      <c r="D10905" t="s">
        <v>8</v>
      </c>
    </row>
    <row r="10906" spans="1:4">
      <c r="A10906" t="s">
        <v>6</v>
      </c>
      <c r="B10906">
        <v>31</v>
      </c>
      <c r="C10906" t="str">
        <f>CHOOSE(MATCH(B10906, {20,25,30,35,40,45,50,55,60,65,70,75,80,85}, 1), "20-24", "25-29", "30-34", "35-39", "40-44", "45-49", "50-54", "55-59", "60-64", "65-69", "70-74", "75-79", "80-84", "85+")</f>
        <v>30-34</v>
      </c>
      <c r="D10906" t="s">
        <v>7</v>
      </c>
    </row>
    <row r="10907" spans="1:4">
      <c r="A10907" t="s">
        <v>6</v>
      </c>
      <c r="B10907">
        <v>42</v>
      </c>
      <c r="C10907" t="str">
        <f>CHOOSE(MATCH(B10907, {20,25,30,35,40,45,50,55,60,65,70,75,80,85}, 1), "20-24", "25-29", "30-34", "35-39", "40-44", "45-49", "50-54", "55-59", "60-64", "65-69", "70-74", "75-79", "80-84", "85+")</f>
        <v>40-44</v>
      </c>
      <c r="D10907" t="s">
        <v>7</v>
      </c>
    </row>
    <row r="10908" spans="1:4">
      <c r="A10908" t="s">
        <v>6</v>
      </c>
      <c r="B10908">
        <v>37</v>
      </c>
      <c r="C10908" t="str">
        <f>CHOOSE(MATCH(B10908, {20,25,30,35,40,45,50,55,60,65,70,75,80,85}, 1), "20-24", "25-29", "30-34", "35-39", "40-44", "45-49", "50-54", "55-59", "60-64", "65-69", "70-74", "75-79", "80-84", "85+")</f>
        <v>35-39</v>
      </c>
      <c r="D10908" t="s">
        <v>7</v>
      </c>
    </row>
    <row r="10909" spans="1:4">
      <c r="A10909" t="s">
        <v>6</v>
      </c>
      <c r="B10909">
        <v>59</v>
      </c>
      <c r="C10909" t="str">
        <f>CHOOSE(MATCH(B10909, {20,25,30,35,40,45,50,55,60,65,70,75,80,85}, 1), "20-24", "25-29", "30-34", "35-39", "40-44", "45-49", "50-54", "55-59", "60-64", "65-69", "70-74", "75-79", "80-84", "85+")</f>
        <v>55-59</v>
      </c>
      <c r="D10909" t="s">
        <v>8</v>
      </c>
    </row>
    <row r="10910" spans="1:4">
      <c r="A10910" t="s">
        <v>6</v>
      </c>
      <c r="B10910">
        <v>55</v>
      </c>
      <c r="C10910" t="str">
        <f>CHOOSE(MATCH(B10910, {20,25,30,35,40,45,50,55,60,65,70,75,80,85}, 1), "20-24", "25-29", "30-34", "35-39", "40-44", "45-49", "50-54", "55-59", "60-64", "65-69", "70-74", "75-79", "80-84", "85+")</f>
        <v>55-59</v>
      </c>
      <c r="D10910" t="s">
        <v>7</v>
      </c>
    </row>
    <row r="10911" spans="1:4">
      <c r="A10911" t="s">
        <v>6</v>
      </c>
      <c r="B10911">
        <v>29</v>
      </c>
      <c r="C10911" t="str">
        <f>CHOOSE(MATCH(B10911, {20,25,30,35,40,45,50,55,60,65,70,75,80,85}, 1), "20-24", "25-29", "30-34", "35-39", "40-44", "45-49", "50-54", "55-59", "60-64", "65-69", "70-74", "75-79", "80-84", "85+")</f>
        <v>25-29</v>
      </c>
      <c r="D10911" t="s">
        <v>7</v>
      </c>
    </row>
    <row r="10912" spans="1:4">
      <c r="A10912" t="s">
        <v>6</v>
      </c>
      <c r="B10912">
        <v>38</v>
      </c>
      <c r="C10912" t="str">
        <f>CHOOSE(MATCH(B10912, {20,25,30,35,40,45,50,55,60,65,70,75,80,85}, 1), "20-24", "25-29", "30-34", "35-39", "40-44", "45-49", "50-54", "55-59", "60-64", "65-69", "70-74", "75-79", "80-84", "85+")</f>
        <v>35-39</v>
      </c>
      <c r="D10912" t="s">
        <v>7</v>
      </c>
    </row>
    <row r="10913" spans="1:4">
      <c r="A10913" t="s">
        <v>6</v>
      </c>
      <c r="B10913">
        <v>23</v>
      </c>
      <c r="C10913" t="str">
        <f>CHOOSE(MATCH(B10913, {20,25,30,35,40,45,50,55,60,65,70,75,80,85}, 1), "20-24", "25-29", "30-34", "35-39", "40-44", "45-49", "50-54", "55-59", "60-64", "65-69", "70-74", "75-79", "80-84", "85+")</f>
        <v>20-24</v>
      </c>
      <c r="D10913" t="s">
        <v>7</v>
      </c>
    </row>
    <row r="10914" spans="1:4">
      <c r="A10914" t="s">
        <v>6</v>
      </c>
      <c r="B10914">
        <v>37</v>
      </c>
      <c r="C10914" t="str">
        <f>CHOOSE(MATCH(B10914, {20,25,30,35,40,45,50,55,60,65,70,75,80,85}, 1), "20-24", "25-29", "30-34", "35-39", "40-44", "45-49", "50-54", "55-59", "60-64", "65-69", "70-74", "75-79", "80-84", "85+")</f>
        <v>35-39</v>
      </c>
      <c r="D10914" t="s">
        <v>8</v>
      </c>
    </row>
    <row r="10915" spans="1:4">
      <c r="A10915" t="s">
        <v>6</v>
      </c>
      <c r="B10915">
        <v>52</v>
      </c>
      <c r="C10915" t="str">
        <f>CHOOSE(MATCH(B10915, {20,25,30,35,40,45,50,55,60,65,70,75,80,85}, 1), "20-24", "25-29", "30-34", "35-39", "40-44", "45-49", "50-54", "55-59", "60-64", "65-69", "70-74", "75-79", "80-84", "85+")</f>
        <v>50-54</v>
      </c>
      <c r="D10915" t="s">
        <v>7</v>
      </c>
    </row>
    <row r="10916" spans="1:4">
      <c r="A10916" t="s">
        <v>6</v>
      </c>
      <c r="B10916">
        <v>43</v>
      </c>
      <c r="C10916" t="str">
        <f>CHOOSE(MATCH(B10916, {20,25,30,35,40,45,50,55,60,65,70,75,80,85}, 1), "20-24", "25-29", "30-34", "35-39", "40-44", "45-49", "50-54", "55-59", "60-64", "65-69", "70-74", "75-79", "80-84", "85+")</f>
        <v>40-44</v>
      </c>
      <c r="D10916" t="s">
        <v>7</v>
      </c>
    </row>
    <row r="10917" spans="1:4">
      <c r="A10917" t="s">
        <v>6</v>
      </c>
      <c r="B10917">
        <v>32</v>
      </c>
      <c r="C10917" t="str">
        <f>CHOOSE(MATCH(B10917, {20,25,30,35,40,45,50,55,60,65,70,75,80,85}, 1), "20-24", "25-29", "30-34", "35-39", "40-44", "45-49", "50-54", "55-59", "60-64", "65-69", "70-74", "75-79", "80-84", "85+")</f>
        <v>30-34</v>
      </c>
      <c r="D10917" t="s">
        <v>8</v>
      </c>
    </row>
    <row r="10918" spans="1:4">
      <c r="A10918" t="s">
        <v>6</v>
      </c>
      <c r="B10918">
        <v>22</v>
      </c>
      <c r="C10918" t="str">
        <f>CHOOSE(MATCH(B10918, {20,25,30,35,40,45,50,55,60,65,70,75,80,85}, 1), "20-24", "25-29", "30-34", "35-39", "40-44", "45-49", "50-54", "55-59", "60-64", "65-69", "70-74", "75-79", "80-84", "85+")</f>
        <v>20-24</v>
      </c>
      <c r="D10918" t="s">
        <v>7</v>
      </c>
    </row>
    <row r="10919" spans="1:4">
      <c r="A10919" t="s">
        <v>6</v>
      </c>
      <c r="B10919">
        <v>29</v>
      </c>
      <c r="C10919" t="str">
        <f>CHOOSE(MATCH(B10919, {20,25,30,35,40,45,50,55,60,65,70,75,80,85}, 1), "20-24", "25-29", "30-34", "35-39", "40-44", "45-49", "50-54", "55-59", "60-64", "65-69", "70-74", "75-79", "80-84", "85+")</f>
        <v>25-29</v>
      </c>
      <c r="D10919" t="s">
        <v>7</v>
      </c>
    </row>
    <row r="10920" spans="1:4">
      <c r="A10920" t="s">
        <v>6</v>
      </c>
      <c r="B10920">
        <v>28</v>
      </c>
      <c r="C10920" t="str">
        <f>CHOOSE(MATCH(B10920, {20,25,30,35,40,45,50,55,60,65,70,75,80,85}, 1), "20-24", "25-29", "30-34", "35-39", "40-44", "45-49", "50-54", "55-59", "60-64", "65-69", "70-74", "75-79", "80-84", "85+")</f>
        <v>25-29</v>
      </c>
      <c r="D10920" t="s">
        <v>8</v>
      </c>
    </row>
    <row r="10921" spans="1:4">
      <c r="A10921" t="s">
        <v>6</v>
      </c>
      <c r="B10921">
        <v>39</v>
      </c>
      <c r="C10921" t="str">
        <f>CHOOSE(MATCH(B10921, {20,25,30,35,40,45,50,55,60,65,70,75,80,85}, 1), "20-24", "25-29", "30-34", "35-39", "40-44", "45-49", "50-54", "55-59", "60-64", "65-69", "70-74", "75-79", "80-84", "85+")</f>
        <v>35-39</v>
      </c>
      <c r="D10921" t="s">
        <v>7</v>
      </c>
    </row>
    <row r="10922" spans="1:4">
      <c r="A10922" t="s">
        <v>6</v>
      </c>
      <c r="B10922">
        <v>38</v>
      </c>
      <c r="C10922" t="str">
        <f>CHOOSE(MATCH(B10922, {20,25,30,35,40,45,50,55,60,65,70,75,80,85}, 1), "20-24", "25-29", "30-34", "35-39", "40-44", "45-49", "50-54", "55-59", "60-64", "65-69", "70-74", "75-79", "80-84", "85+")</f>
        <v>35-39</v>
      </c>
      <c r="D10922" t="s">
        <v>7</v>
      </c>
    </row>
    <row r="10923" spans="1:4">
      <c r="A10923" t="s">
        <v>6</v>
      </c>
      <c r="B10923">
        <v>39</v>
      </c>
      <c r="C10923" t="str">
        <f>CHOOSE(MATCH(B10923, {20,25,30,35,40,45,50,55,60,65,70,75,80,85}, 1), "20-24", "25-29", "30-34", "35-39", "40-44", "45-49", "50-54", "55-59", "60-64", "65-69", "70-74", "75-79", "80-84", "85+")</f>
        <v>35-39</v>
      </c>
      <c r="D10923" t="s">
        <v>8</v>
      </c>
    </row>
    <row r="10924" spans="1:4">
      <c r="A10924" t="s">
        <v>6</v>
      </c>
      <c r="B10924">
        <v>39</v>
      </c>
      <c r="C10924" t="str">
        <f>CHOOSE(MATCH(B10924, {20,25,30,35,40,45,50,55,60,65,70,75,80,85}, 1), "20-24", "25-29", "30-34", "35-39", "40-44", "45-49", "50-54", "55-59", "60-64", "65-69", "70-74", "75-79", "80-84", "85+")</f>
        <v>35-39</v>
      </c>
      <c r="D10924" t="s">
        <v>8</v>
      </c>
    </row>
    <row r="10925" spans="1:4">
      <c r="A10925" t="s">
        <v>6</v>
      </c>
      <c r="B10925">
        <v>28</v>
      </c>
      <c r="C10925" t="str">
        <f>CHOOSE(MATCH(B10925, {20,25,30,35,40,45,50,55,60,65,70,75,80,85}, 1), "20-24", "25-29", "30-34", "35-39", "40-44", "45-49", "50-54", "55-59", "60-64", "65-69", "70-74", "75-79", "80-84", "85+")</f>
        <v>25-29</v>
      </c>
      <c r="D10925" t="s">
        <v>7</v>
      </c>
    </row>
    <row r="10926" spans="1:4">
      <c r="A10926" t="s">
        <v>6</v>
      </c>
      <c r="B10926">
        <v>50</v>
      </c>
      <c r="C10926" t="str">
        <f>CHOOSE(MATCH(B10926, {20,25,30,35,40,45,50,55,60,65,70,75,80,85}, 1), "20-24", "25-29", "30-34", "35-39", "40-44", "45-49", "50-54", "55-59", "60-64", "65-69", "70-74", "75-79", "80-84", "85+")</f>
        <v>50-54</v>
      </c>
      <c r="D10926" t="s">
        <v>8</v>
      </c>
    </row>
    <row r="10927" spans="1:4">
      <c r="A10927" t="s">
        <v>6</v>
      </c>
      <c r="B10927">
        <v>55</v>
      </c>
      <c r="C10927" t="str">
        <f>CHOOSE(MATCH(B10927, {20,25,30,35,40,45,50,55,60,65,70,75,80,85}, 1), "20-24", "25-29", "30-34", "35-39", "40-44", "45-49", "50-54", "55-59", "60-64", "65-69", "70-74", "75-79", "80-84", "85+")</f>
        <v>55-59</v>
      </c>
      <c r="D10927" t="s">
        <v>7</v>
      </c>
    </row>
    <row r="10928" spans="1:4">
      <c r="A10928" t="s">
        <v>6</v>
      </c>
      <c r="B10928">
        <v>34</v>
      </c>
      <c r="C10928" t="str">
        <f>CHOOSE(MATCH(B10928, {20,25,30,35,40,45,50,55,60,65,70,75,80,85}, 1), "20-24", "25-29", "30-34", "35-39", "40-44", "45-49", "50-54", "55-59", "60-64", "65-69", "70-74", "75-79", "80-84", "85+")</f>
        <v>30-34</v>
      </c>
      <c r="D10928" t="s">
        <v>7</v>
      </c>
    </row>
    <row r="10929" spans="1:4">
      <c r="A10929" t="s">
        <v>6</v>
      </c>
      <c r="B10929">
        <v>21</v>
      </c>
      <c r="C10929" t="str">
        <f>CHOOSE(MATCH(B10929, {20,25,30,35,40,45,50,55,60,65,70,75,80,85}, 1), "20-24", "25-29", "30-34", "35-39", "40-44", "45-49", "50-54", "55-59", "60-64", "65-69", "70-74", "75-79", "80-84", "85+")</f>
        <v>20-24</v>
      </c>
      <c r="D10929" t="s">
        <v>8</v>
      </c>
    </row>
    <row r="10930" spans="1:4">
      <c r="A10930" t="s">
        <v>6</v>
      </c>
      <c r="B10930">
        <v>40</v>
      </c>
      <c r="C10930" t="str">
        <f>CHOOSE(MATCH(B10930, {20,25,30,35,40,45,50,55,60,65,70,75,80,85}, 1), "20-24", "25-29", "30-34", "35-39", "40-44", "45-49", "50-54", "55-59", "60-64", "65-69", "70-74", "75-79", "80-84", "85+")</f>
        <v>40-44</v>
      </c>
      <c r="D10930" t="s">
        <v>7</v>
      </c>
    </row>
    <row r="10931" spans="1:4">
      <c r="A10931" t="s">
        <v>6</v>
      </c>
      <c r="B10931">
        <v>78</v>
      </c>
      <c r="C10931" t="str">
        <f>CHOOSE(MATCH(B10931, {20,25,30,35,40,45,50,55,60,65,70,75,80,85}, 1), "20-24", "25-29", "30-34", "35-39", "40-44", "45-49", "50-54", "55-59", "60-64", "65-69", "70-74", "75-79", "80-84", "85+")</f>
        <v>75-79</v>
      </c>
      <c r="D10931" t="s">
        <v>7</v>
      </c>
    </row>
    <row r="10932" spans="1:4">
      <c r="A10932" t="s">
        <v>6</v>
      </c>
      <c r="B10932">
        <v>33</v>
      </c>
      <c r="C10932" t="str">
        <f>CHOOSE(MATCH(B10932, {20,25,30,35,40,45,50,55,60,65,70,75,80,85}, 1), "20-24", "25-29", "30-34", "35-39", "40-44", "45-49", "50-54", "55-59", "60-64", "65-69", "70-74", "75-79", "80-84", "85+")</f>
        <v>30-34</v>
      </c>
      <c r="D10932" t="s">
        <v>7</v>
      </c>
    </row>
    <row r="10933" spans="1:4">
      <c r="A10933" t="s">
        <v>6</v>
      </c>
      <c r="B10933">
        <v>72</v>
      </c>
      <c r="C10933" t="str">
        <f>CHOOSE(MATCH(B10933, {20,25,30,35,40,45,50,55,60,65,70,75,80,85}, 1), "20-24", "25-29", "30-34", "35-39", "40-44", "45-49", "50-54", "55-59", "60-64", "65-69", "70-74", "75-79", "80-84", "85+")</f>
        <v>70-74</v>
      </c>
      <c r="D10933" t="s">
        <v>7</v>
      </c>
    </row>
    <row r="10934" spans="1:4">
      <c r="A10934" t="s">
        <v>6</v>
      </c>
      <c r="B10934">
        <v>79</v>
      </c>
      <c r="C10934" t="str">
        <f>CHOOSE(MATCH(B10934, {20,25,30,35,40,45,50,55,60,65,70,75,80,85}, 1), "20-24", "25-29", "30-34", "35-39", "40-44", "45-49", "50-54", "55-59", "60-64", "65-69", "70-74", "75-79", "80-84", "85+")</f>
        <v>75-79</v>
      </c>
      <c r="D10934" t="s">
        <v>7</v>
      </c>
    </row>
    <row r="10935" spans="1:4">
      <c r="A10935" t="s">
        <v>6</v>
      </c>
      <c r="B10935">
        <v>26</v>
      </c>
      <c r="C10935" t="str">
        <f>CHOOSE(MATCH(B10935, {20,25,30,35,40,45,50,55,60,65,70,75,80,85}, 1), "20-24", "25-29", "30-34", "35-39", "40-44", "45-49", "50-54", "55-59", "60-64", "65-69", "70-74", "75-79", "80-84", "85+")</f>
        <v>25-29</v>
      </c>
      <c r="D10935" t="s">
        <v>8</v>
      </c>
    </row>
    <row r="10936" spans="1:4">
      <c r="A10936" t="s">
        <v>6</v>
      </c>
      <c r="B10936">
        <v>33</v>
      </c>
      <c r="C10936" t="str">
        <f>CHOOSE(MATCH(B10936, {20,25,30,35,40,45,50,55,60,65,70,75,80,85}, 1), "20-24", "25-29", "30-34", "35-39", "40-44", "45-49", "50-54", "55-59", "60-64", "65-69", "70-74", "75-79", "80-84", "85+")</f>
        <v>30-34</v>
      </c>
      <c r="D10936" t="s">
        <v>7</v>
      </c>
    </row>
    <row r="10937" spans="1:4">
      <c r="A10937" t="s">
        <v>6</v>
      </c>
      <c r="B10937">
        <v>51</v>
      </c>
      <c r="C10937" t="str">
        <f>CHOOSE(MATCH(B10937, {20,25,30,35,40,45,50,55,60,65,70,75,80,85}, 1), "20-24", "25-29", "30-34", "35-39", "40-44", "45-49", "50-54", "55-59", "60-64", "65-69", "70-74", "75-79", "80-84", "85+")</f>
        <v>50-54</v>
      </c>
      <c r="D10937" t="s">
        <v>8</v>
      </c>
    </row>
    <row r="10938" spans="1:4">
      <c r="A10938" t="s">
        <v>6</v>
      </c>
      <c r="B10938">
        <v>34</v>
      </c>
      <c r="C10938" t="str">
        <f>CHOOSE(MATCH(B10938, {20,25,30,35,40,45,50,55,60,65,70,75,80,85}, 1), "20-24", "25-29", "30-34", "35-39", "40-44", "45-49", "50-54", "55-59", "60-64", "65-69", "70-74", "75-79", "80-84", "85+")</f>
        <v>30-34</v>
      </c>
      <c r="D10938" t="s">
        <v>8</v>
      </c>
    </row>
    <row r="10939" spans="1:4">
      <c r="A10939" t="s">
        <v>6</v>
      </c>
      <c r="B10939">
        <v>39</v>
      </c>
      <c r="C10939" t="str">
        <f>CHOOSE(MATCH(B10939, {20,25,30,35,40,45,50,55,60,65,70,75,80,85}, 1), "20-24", "25-29", "30-34", "35-39", "40-44", "45-49", "50-54", "55-59", "60-64", "65-69", "70-74", "75-79", "80-84", "85+")</f>
        <v>35-39</v>
      </c>
      <c r="D10939" t="s">
        <v>8</v>
      </c>
    </row>
    <row r="10940" spans="1:4">
      <c r="A10940" t="s">
        <v>6</v>
      </c>
      <c r="B10940">
        <v>55</v>
      </c>
      <c r="C10940" t="str">
        <f>CHOOSE(MATCH(B10940, {20,25,30,35,40,45,50,55,60,65,70,75,80,85}, 1), "20-24", "25-29", "30-34", "35-39", "40-44", "45-49", "50-54", "55-59", "60-64", "65-69", "70-74", "75-79", "80-84", "85+")</f>
        <v>55-59</v>
      </c>
      <c r="D10940" t="s">
        <v>8</v>
      </c>
    </row>
    <row r="10941" spans="1:4">
      <c r="A10941" t="s">
        <v>6</v>
      </c>
      <c r="B10941">
        <v>50</v>
      </c>
      <c r="C10941" t="str">
        <f>CHOOSE(MATCH(B10941, {20,25,30,35,40,45,50,55,60,65,70,75,80,85}, 1), "20-24", "25-29", "30-34", "35-39", "40-44", "45-49", "50-54", "55-59", "60-64", "65-69", "70-74", "75-79", "80-84", "85+")</f>
        <v>50-54</v>
      </c>
      <c r="D10941" t="s">
        <v>8</v>
      </c>
    </row>
    <row r="10942" spans="1:4">
      <c r="A10942" t="s">
        <v>6</v>
      </c>
      <c r="B10942">
        <v>74</v>
      </c>
      <c r="C10942" t="str">
        <f>CHOOSE(MATCH(B10942, {20,25,30,35,40,45,50,55,60,65,70,75,80,85}, 1), "20-24", "25-29", "30-34", "35-39", "40-44", "45-49", "50-54", "55-59", "60-64", "65-69", "70-74", "75-79", "80-84", "85+")</f>
        <v>70-74</v>
      </c>
      <c r="D10942" t="s">
        <v>8</v>
      </c>
    </row>
    <row r="10943" spans="1:4">
      <c r="A10943" t="s">
        <v>6</v>
      </c>
      <c r="B10943">
        <v>74</v>
      </c>
      <c r="C10943" t="str">
        <f>CHOOSE(MATCH(B10943, {20,25,30,35,40,45,50,55,60,65,70,75,80,85}, 1), "20-24", "25-29", "30-34", "35-39", "40-44", "45-49", "50-54", "55-59", "60-64", "65-69", "70-74", "75-79", "80-84", "85+")</f>
        <v>70-74</v>
      </c>
      <c r="D10943" t="s">
        <v>8</v>
      </c>
    </row>
    <row r="10944" spans="1:4">
      <c r="A10944" t="s">
        <v>6</v>
      </c>
      <c r="B10944">
        <v>25</v>
      </c>
      <c r="C10944" t="str">
        <f>CHOOSE(MATCH(B10944, {20,25,30,35,40,45,50,55,60,65,70,75,80,85}, 1), "20-24", "25-29", "30-34", "35-39", "40-44", "45-49", "50-54", "55-59", "60-64", "65-69", "70-74", "75-79", "80-84", "85+")</f>
        <v>25-29</v>
      </c>
      <c r="D10944" t="s">
        <v>7</v>
      </c>
    </row>
    <row r="10945" spans="1:4">
      <c r="A10945" t="s">
        <v>6</v>
      </c>
      <c r="B10945">
        <v>29</v>
      </c>
      <c r="C10945" t="str">
        <f>CHOOSE(MATCH(B10945, {20,25,30,35,40,45,50,55,60,65,70,75,80,85}, 1), "20-24", "25-29", "30-34", "35-39", "40-44", "45-49", "50-54", "55-59", "60-64", "65-69", "70-74", "75-79", "80-84", "85+")</f>
        <v>25-29</v>
      </c>
      <c r="D10945" t="s">
        <v>7</v>
      </c>
    </row>
    <row r="10946" spans="1:4">
      <c r="A10946" t="s">
        <v>6</v>
      </c>
      <c r="B10946">
        <v>34</v>
      </c>
      <c r="C10946" t="str">
        <f>CHOOSE(MATCH(B10946, {20,25,30,35,40,45,50,55,60,65,70,75,80,85}, 1), "20-24", "25-29", "30-34", "35-39", "40-44", "45-49", "50-54", "55-59", "60-64", "65-69", "70-74", "75-79", "80-84", "85+")</f>
        <v>30-34</v>
      </c>
      <c r="D10946" t="s">
        <v>7</v>
      </c>
    </row>
    <row r="10947" spans="1:4">
      <c r="A10947" t="s">
        <v>6</v>
      </c>
      <c r="B10947">
        <v>30</v>
      </c>
      <c r="C10947" t="str">
        <f>CHOOSE(MATCH(B10947, {20,25,30,35,40,45,50,55,60,65,70,75,80,85}, 1), "20-24", "25-29", "30-34", "35-39", "40-44", "45-49", "50-54", "55-59", "60-64", "65-69", "70-74", "75-79", "80-84", "85+")</f>
        <v>30-34</v>
      </c>
      <c r="D10947" t="s">
        <v>7</v>
      </c>
    </row>
    <row r="10948" spans="1:4">
      <c r="A10948" t="s">
        <v>6</v>
      </c>
      <c r="B10948">
        <v>75</v>
      </c>
      <c r="C10948" t="str">
        <f>CHOOSE(MATCH(B10948, {20,25,30,35,40,45,50,55,60,65,70,75,80,85}, 1), "20-24", "25-29", "30-34", "35-39", "40-44", "45-49", "50-54", "55-59", "60-64", "65-69", "70-74", "75-79", "80-84", "85+")</f>
        <v>75-79</v>
      </c>
      <c r="D10948" t="s">
        <v>8</v>
      </c>
    </row>
    <row r="10949" spans="1:4">
      <c r="A10949" t="s">
        <v>6</v>
      </c>
      <c r="B10949">
        <v>28</v>
      </c>
      <c r="C10949" t="str">
        <f>CHOOSE(MATCH(B10949, {20,25,30,35,40,45,50,55,60,65,70,75,80,85}, 1), "20-24", "25-29", "30-34", "35-39", "40-44", "45-49", "50-54", "55-59", "60-64", "65-69", "70-74", "75-79", "80-84", "85+")</f>
        <v>25-29</v>
      </c>
      <c r="D10949" t="s">
        <v>7</v>
      </c>
    </row>
    <row r="10950" spans="1:4">
      <c r="A10950" t="s">
        <v>6</v>
      </c>
      <c r="B10950">
        <v>28</v>
      </c>
      <c r="C10950" t="str">
        <f>CHOOSE(MATCH(B10950, {20,25,30,35,40,45,50,55,60,65,70,75,80,85}, 1), "20-24", "25-29", "30-34", "35-39", "40-44", "45-49", "50-54", "55-59", "60-64", "65-69", "70-74", "75-79", "80-84", "85+")</f>
        <v>25-29</v>
      </c>
      <c r="D10950" t="s">
        <v>8</v>
      </c>
    </row>
    <row r="10951" spans="1:4">
      <c r="A10951" t="s">
        <v>6</v>
      </c>
      <c r="B10951">
        <v>24</v>
      </c>
      <c r="C10951" t="str">
        <f>CHOOSE(MATCH(B10951, {20,25,30,35,40,45,50,55,60,65,70,75,80,85}, 1), "20-24", "25-29", "30-34", "35-39", "40-44", "45-49", "50-54", "55-59", "60-64", "65-69", "70-74", "75-79", "80-84", "85+")</f>
        <v>20-24</v>
      </c>
      <c r="D10951" t="s">
        <v>7</v>
      </c>
    </row>
    <row r="10952" spans="1:4">
      <c r="A10952" t="s">
        <v>6</v>
      </c>
      <c r="B10952">
        <v>51</v>
      </c>
      <c r="C10952" t="str">
        <f>CHOOSE(MATCH(B10952, {20,25,30,35,40,45,50,55,60,65,70,75,80,85}, 1), "20-24", "25-29", "30-34", "35-39", "40-44", "45-49", "50-54", "55-59", "60-64", "65-69", "70-74", "75-79", "80-84", "85+")</f>
        <v>50-54</v>
      </c>
      <c r="D10952" t="s">
        <v>8</v>
      </c>
    </row>
    <row r="10953" spans="1:4">
      <c r="A10953" t="s">
        <v>6</v>
      </c>
      <c r="B10953">
        <v>27</v>
      </c>
      <c r="C10953" t="str">
        <f>CHOOSE(MATCH(B10953, {20,25,30,35,40,45,50,55,60,65,70,75,80,85}, 1), "20-24", "25-29", "30-34", "35-39", "40-44", "45-49", "50-54", "55-59", "60-64", "65-69", "70-74", "75-79", "80-84", "85+")</f>
        <v>25-29</v>
      </c>
      <c r="D10953" t="s">
        <v>7</v>
      </c>
    </row>
    <row r="10954" spans="1:4">
      <c r="A10954" t="s">
        <v>6</v>
      </c>
      <c r="B10954">
        <v>33</v>
      </c>
      <c r="C10954" t="str">
        <f>CHOOSE(MATCH(B10954, {20,25,30,35,40,45,50,55,60,65,70,75,80,85}, 1), "20-24", "25-29", "30-34", "35-39", "40-44", "45-49", "50-54", "55-59", "60-64", "65-69", "70-74", "75-79", "80-84", "85+")</f>
        <v>30-34</v>
      </c>
      <c r="D10954" t="s">
        <v>8</v>
      </c>
    </row>
    <row r="10955" spans="1:4">
      <c r="A10955" t="s">
        <v>6</v>
      </c>
      <c r="B10955">
        <v>31</v>
      </c>
      <c r="C10955" t="str">
        <f>CHOOSE(MATCH(B10955, {20,25,30,35,40,45,50,55,60,65,70,75,80,85}, 1), "20-24", "25-29", "30-34", "35-39", "40-44", "45-49", "50-54", "55-59", "60-64", "65-69", "70-74", "75-79", "80-84", "85+")</f>
        <v>30-34</v>
      </c>
      <c r="D10955" t="s">
        <v>8</v>
      </c>
    </row>
    <row r="10956" spans="1:4">
      <c r="A10956" t="s">
        <v>6</v>
      </c>
      <c r="B10956">
        <v>70</v>
      </c>
      <c r="C10956" t="str">
        <f>CHOOSE(MATCH(B10956, {20,25,30,35,40,45,50,55,60,65,70,75,80,85}, 1), "20-24", "25-29", "30-34", "35-39", "40-44", "45-49", "50-54", "55-59", "60-64", "65-69", "70-74", "75-79", "80-84", "85+")</f>
        <v>70-74</v>
      </c>
      <c r="D10956" t="s">
        <v>7</v>
      </c>
    </row>
    <row r="10957" spans="1:4">
      <c r="A10957" t="s">
        <v>6</v>
      </c>
      <c r="B10957">
        <v>34</v>
      </c>
      <c r="C10957" t="str">
        <f>CHOOSE(MATCH(B10957, {20,25,30,35,40,45,50,55,60,65,70,75,80,85}, 1), "20-24", "25-29", "30-34", "35-39", "40-44", "45-49", "50-54", "55-59", "60-64", "65-69", "70-74", "75-79", "80-84", "85+")</f>
        <v>30-34</v>
      </c>
      <c r="D10957" t="s">
        <v>8</v>
      </c>
    </row>
    <row r="10958" spans="1:4">
      <c r="A10958" t="s">
        <v>6</v>
      </c>
      <c r="B10958">
        <v>43</v>
      </c>
      <c r="C10958" t="str">
        <f>CHOOSE(MATCH(B10958, {20,25,30,35,40,45,50,55,60,65,70,75,80,85}, 1), "20-24", "25-29", "30-34", "35-39", "40-44", "45-49", "50-54", "55-59", "60-64", "65-69", "70-74", "75-79", "80-84", "85+")</f>
        <v>40-44</v>
      </c>
      <c r="D10958" t="s">
        <v>8</v>
      </c>
    </row>
    <row r="10959" spans="1:4">
      <c r="A10959" t="s">
        <v>6</v>
      </c>
      <c r="B10959">
        <v>45</v>
      </c>
      <c r="C10959" t="str">
        <f>CHOOSE(MATCH(B10959, {20,25,30,35,40,45,50,55,60,65,70,75,80,85}, 1), "20-24", "25-29", "30-34", "35-39", "40-44", "45-49", "50-54", "55-59", "60-64", "65-69", "70-74", "75-79", "80-84", "85+")</f>
        <v>45-49</v>
      </c>
      <c r="D10959" t="s">
        <v>7</v>
      </c>
    </row>
    <row r="10960" spans="1:4">
      <c r="A10960" t="s">
        <v>6</v>
      </c>
      <c r="B10960">
        <v>29</v>
      </c>
      <c r="C10960" t="str">
        <f>CHOOSE(MATCH(B10960, {20,25,30,35,40,45,50,55,60,65,70,75,80,85}, 1), "20-24", "25-29", "30-34", "35-39", "40-44", "45-49", "50-54", "55-59", "60-64", "65-69", "70-74", "75-79", "80-84", "85+")</f>
        <v>25-29</v>
      </c>
      <c r="D10960" t="s">
        <v>7</v>
      </c>
    </row>
    <row r="10961" spans="1:4">
      <c r="A10961" t="s">
        <v>6</v>
      </c>
      <c r="B10961">
        <v>75</v>
      </c>
      <c r="C10961" t="str">
        <f>CHOOSE(MATCH(B10961, {20,25,30,35,40,45,50,55,60,65,70,75,80,85}, 1), "20-24", "25-29", "30-34", "35-39", "40-44", "45-49", "50-54", "55-59", "60-64", "65-69", "70-74", "75-79", "80-84", "85+")</f>
        <v>75-79</v>
      </c>
      <c r="D10961" t="s">
        <v>8</v>
      </c>
    </row>
    <row r="10962" spans="1:4">
      <c r="A10962" t="s">
        <v>6</v>
      </c>
      <c r="B10962">
        <v>50</v>
      </c>
      <c r="C10962" t="str">
        <f>CHOOSE(MATCH(B10962, {20,25,30,35,40,45,50,55,60,65,70,75,80,85}, 1), "20-24", "25-29", "30-34", "35-39", "40-44", "45-49", "50-54", "55-59", "60-64", "65-69", "70-74", "75-79", "80-84", "85+")</f>
        <v>50-54</v>
      </c>
      <c r="D10962" t="s">
        <v>8</v>
      </c>
    </row>
    <row r="10963" spans="1:4">
      <c r="A10963" t="s">
        <v>6</v>
      </c>
      <c r="B10963">
        <v>30</v>
      </c>
      <c r="C10963" t="str">
        <f>CHOOSE(MATCH(B10963, {20,25,30,35,40,45,50,55,60,65,70,75,80,85}, 1), "20-24", "25-29", "30-34", "35-39", "40-44", "45-49", "50-54", "55-59", "60-64", "65-69", "70-74", "75-79", "80-84", "85+")</f>
        <v>30-34</v>
      </c>
      <c r="D10963" t="s">
        <v>7</v>
      </c>
    </row>
    <row r="10964" spans="1:4">
      <c r="A10964" t="s">
        <v>6</v>
      </c>
      <c r="B10964">
        <v>34</v>
      </c>
      <c r="C10964" t="str">
        <f>CHOOSE(MATCH(B10964, {20,25,30,35,40,45,50,55,60,65,70,75,80,85}, 1), "20-24", "25-29", "30-34", "35-39", "40-44", "45-49", "50-54", "55-59", "60-64", "65-69", "70-74", "75-79", "80-84", "85+")</f>
        <v>30-34</v>
      </c>
      <c r="D10964" t="s">
        <v>7</v>
      </c>
    </row>
    <row r="10965" spans="1:4">
      <c r="A10965" t="s">
        <v>6</v>
      </c>
      <c r="B10965">
        <v>36</v>
      </c>
      <c r="C10965" t="str">
        <f>CHOOSE(MATCH(B10965, {20,25,30,35,40,45,50,55,60,65,70,75,80,85}, 1), "20-24", "25-29", "30-34", "35-39", "40-44", "45-49", "50-54", "55-59", "60-64", "65-69", "70-74", "75-79", "80-84", "85+")</f>
        <v>35-39</v>
      </c>
      <c r="D10965" t="s">
        <v>8</v>
      </c>
    </row>
    <row r="10966" spans="1:4">
      <c r="A10966" t="s">
        <v>6</v>
      </c>
      <c r="B10966">
        <v>25</v>
      </c>
      <c r="C10966" t="str">
        <f>CHOOSE(MATCH(B10966, {20,25,30,35,40,45,50,55,60,65,70,75,80,85}, 1), "20-24", "25-29", "30-34", "35-39", "40-44", "45-49", "50-54", "55-59", "60-64", "65-69", "70-74", "75-79", "80-84", "85+")</f>
        <v>25-29</v>
      </c>
      <c r="D10966" t="s">
        <v>8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Ashley Klibowitz</cp:lastModifiedBy>
  <cp:revision/>
  <dcterms:created xsi:type="dcterms:W3CDTF">2024-11-09T04:22:42Z</dcterms:created>
  <dcterms:modified xsi:type="dcterms:W3CDTF">2024-11-23T05:15:23Z</dcterms:modified>
  <cp:category/>
  <cp:contentStatus/>
</cp:coreProperties>
</file>